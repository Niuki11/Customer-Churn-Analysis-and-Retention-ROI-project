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5c19946bd0bdda2/"/>
    </mc:Choice>
  </mc:AlternateContent>
  <xr:revisionPtr revIDLastSave="0" documentId="8_{BF4796DB-44DD-47DA-A791-0A717F99899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DASHBOARD" sheetId="1" r:id="rId1"/>
    <sheet name="Customers Raw data" sheetId="2" r:id="rId2"/>
    <sheet name="Revenue Raw data" sheetId="3" r:id="rId3"/>
    <sheet name="Calculations" sheetId="4" r:id="rId4"/>
    <sheet name="Descriptive Statistics" sheetId="5" r:id="rId5"/>
    <sheet name="Segmentation" sheetId="6" r:id="rId6"/>
    <sheet name="Trend Analysis" sheetId="7" r:id="rId7"/>
    <sheet name="Correlation_Analysis" sheetId="8" r:id="rId8"/>
    <sheet name="WhatIf_Scenarios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1" i="7" l="1"/>
  <c r="C21" i="7"/>
  <c r="E20" i="7"/>
  <c r="C20" i="7"/>
  <c r="E19" i="7"/>
  <c r="C19" i="7"/>
  <c r="E18" i="7"/>
  <c r="C18" i="7"/>
  <c r="E17" i="7"/>
  <c r="C17" i="7"/>
  <c r="E16" i="7"/>
  <c r="C16" i="7"/>
  <c r="E15" i="7"/>
  <c r="C15" i="7"/>
  <c r="E14" i="7"/>
  <c r="C14" i="7"/>
  <c r="E13" i="7"/>
  <c r="C13" i="7"/>
  <c r="E12" i="7"/>
  <c r="C12" i="7"/>
  <c r="E11" i="7"/>
  <c r="C11" i="7"/>
  <c r="E10" i="7"/>
  <c r="C10" i="7"/>
  <c r="E9" i="7"/>
  <c r="C9" i="7"/>
  <c r="E8" i="7"/>
  <c r="C8" i="7"/>
  <c r="E7" i="7"/>
  <c r="C7" i="7"/>
  <c r="E6" i="7"/>
  <c r="C6" i="7"/>
  <c r="E5" i="7"/>
  <c r="C5" i="7"/>
  <c r="E4" i="7"/>
  <c r="C4" i="7"/>
  <c r="B42" i="5"/>
  <c r="B41" i="5"/>
  <c r="B40" i="5"/>
  <c r="B39" i="5"/>
  <c r="B38" i="5"/>
  <c r="B37" i="5"/>
  <c r="B36" i="5"/>
  <c r="B35" i="5"/>
  <c r="B32" i="5"/>
  <c r="B31" i="5"/>
  <c r="B30" i="5"/>
  <c r="B29" i="5"/>
  <c r="B28" i="5"/>
  <c r="B27" i="5"/>
  <c r="B26" i="5"/>
  <c r="B25" i="5"/>
  <c r="B22" i="5"/>
  <c r="B21" i="5"/>
  <c r="B20" i="5"/>
  <c r="B19" i="5"/>
  <c r="B18" i="5"/>
  <c r="B17" i="5"/>
  <c r="B16" i="5"/>
  <c r="B15" i="5"/>
  <c r="B12" i="5"/>
  <c r="B11" i="5"/>
  <c r="B10" i="5"/>
  <c r="B9" i="5"/>
  <c r="B8" i="5"/>
  <c r="B7" i="5"/>
  <c r="B6" i="5"/>
  <c r="B5" i="5"/>
  <c r="L1001" i="4"/>
  <c r="K1001" i="4"/>
  <c r="J1001" i="4"/>
  <c r="I1001" i="4"/>
  <c r="H1001" i="4"/>
  <c r="G1001" i="4"/>
  <c r="F1001" i="4"/>
  <c r="Q1001" i="4" s="1"/>
  <c r="E1001" i="4"/>
  <c r="D1001" i="4"/>
  <c r="M1001" i="4" s="1"/>
  <c r="C1001" i="4"/>
  <c r="N1001" i="4" s="1"/>
  <c r="B1001" i="4"/>
  <c r="A1001" i="4"/>
  <c r="L1000" i="4"/>
  <c r="K1000" i="4"/>
  <c r="J1000" i="4"/>
  <c r="I1000" i="4"/>
  <c r="H1000" i="4"/>
  <c r="G1000" i="4"/>
  <c r="F1000" i="4"/>
  <c r="Q1000" i="4" s="1"/>
  <c r="E1000" i="4"/>
  <c r="D1000" i="4"/>
  <c r="M1000" i="4" s="1"/>
  <c r="C1000" i="4"/>
  <c r="N1000" i="4" s="1"/>
  <c r="B1000" i="4"/>
  <c r="A1000" i="4"/>
  <c r="L999" i="4"/>
  <c r="K999" i="4"/>
  <c r="J999" i="4"/>
  <c r="I999" i="4"/>
  <c r="H999" i="4"/>
  <c r="G999" i="4"/>
  <c r="F999" i="4"/>
  <c r="Q999" i="4" s="1"/>
  <c r="E999" i="4"/>
  <c r="D999" i="4"/>
  <c r="M999" i="4" s="1"/>
  <c r="C999" i="4"/>
  <c r="N999" i="4" s="1"/>
  <c r="B999" i="4"/>
  <c r="A999" i="4"/>
  <c r="L998" i="4"/>
  <c r="K998" i="4"/>
  <c r="J998" i="4"/>
  <c r="I998" i="4"/>
  <c r="H998" i="4"/>
  <c r="G998" i="4"/>
  <c r="F998" i="4"/>
  <c r="Q998" i="4" s="1"/>
  <c r="E998" i="4"/>
  <c r="D998" i="4"/>
  <c r="M998" i="4" s="1"/>
  <c r="C998" i="4"/>
  <c r="N998" i="4" s="1"/>
  <c r="B998" i="4"/>
  <c r="A998" i="4"/>
  <c r="L997" i="4"/>
  <c r="K997" i="4"/>
  <c r="J997" i="4"/>
  <c r="I997" i="4"/>
  <c r="H997" i="4"/>
  <c r="G997" i="4"/>
  <c r="F997" i="4"/>
  <c r="Q997" i="4" s="1"/>
  <c r="E997" i="4"/>
  <c r="D997" i="4"/>
  <c r="M997" i="4" s="1"/>
  <c r="C997" i="4"/>
  <c r="N997" i="4" s="1"/>
  <c r="B997" i="4"/>
  <c r="A997" i="4"/>
  <c r="L996" i="4"/>
  <c r="K996" i="4"/>
  <c r="J996" i="4"/>
  <c r="I996" i="4"/>
  <c r="H996" i="4"/>
  <c r="G996" i="4"/>
  <c r="F996" i="4"/>
  <c r="Q996" i="4" s="1"/>
  <c r="E996" i="4"/>
  <c r="D996" i="4"/>
  <c r="M996" i="4" s="1"/>
  <c r="C996" i="4"/>
  <c r="N996" i="4" s="1"/>
  <c r="B996" i="4"/>
  <c r="A996" i="4"/>
  <c r="L995" i="4"/>
  <c r="K995" i="4"/>
  <c r="J995" i="4"/>
  <c r="I995" i="4"/>
  <c r="H995" i="4"/>
  <c r="G995" i="4"/>
  <c r="F995" i="4"/>
  <c r="Q995" i="4" s="1"/>
  <c r="E995" i="4"/>
  <c r="D995" i="4"/>
  <c r="M995" i="4" s="1"/>
  <c r="C995" i="4"/>
  <c r="N995" i="4" s="1"/>
  <c r="B995" i="4"/>
  <c r="A995" i="4"/>
  <c r="L994" i="4"/>
  <c r="K994" i="4"/>
  <c r="J994" i="4"/>
  <c r="I994" i="4"/>
  <c r="H994" i="4"/>
  <c r="G994" i="4"/>
  <c r="F994" i="4"/>
  <c r="Q994" i="4" s="1"/>
  <c r="E994" i="4"/>
  <c r="D994" i="4"/>
  <c r="M994" i="4" s="1"/>
  <c r="C994" i="4"/>
  <c r="N994" i="4" s="1"/>
  <c r="B994" i="4"/>
  <c r="A994" i="4"/>
  <c r="L993" i="4"/>
  <c r="K993" i="4"/>
  <c r="J993" i="4"/>
  <c r="I993" i="4"/>
  <c r="H993" i="4"/>
  <c r="G993" i="4"/>
  <c r="F993" i="4"/>
  <c r="Q993" i="4" s="1"/>
  <c r="E993" i="4"/>
  <c r="D993" i="4"/>
  <c r="M993" i="4" s="1"/>
  <c r="C993" i="4"/>
  <c r="N993" i="4" s="1"/>
  <c r="B993" i="4"/>
  <c r="A993" i="4"/>
  <c r="L992" i="4"/>
  <c r="K992" i="4"/>
  <c r="J992" i="4"/>
  <c r="I992" i="4"/>
  <c r="H992" i="4"/>
  <c r="G992" i="4"/>
  <c r="F992" i="4"/>
  <c r="Q992" i="4" s="1"/>
  <c r="E992" i="4"/>
  <c r="D992" i="4"/>
  <c r="M992" i="4" s="1"/>
  <c r="C992" i="4"/>
  <c r="N992" i="4" s="1"/>
  <c r="B992" i="4"/>
  <c r="A992" i="4"/>
  <c r="L991" i="4"/>
  <c r="K991" i="4"/>
  <c r="J991" i="4"/>
  <c r="I991" i="4"/>
  <c r="H991" i="4"/>
  <c r="G991" i="4"/>
  <c r="F991" i="4"/>
  <c r="Q991" i="4" s="1"/>
  <c r="E991" i="4"/>
  <c r="D991" i="4"/>
  <c r="M991" i="4" s="1"/>
  <c r="C991" i="4"/>
  <c r="N991" i="4" s="1"/>
  <c r="B991" i="4"/>
  <c r="A991" i="4"/>
  <c r="L990" i="4"/>
  <c r="K990" i="4"/>
  <c r="J990" i="4"/>
  <c r="I990" i="4"/>
  <c r="H990" i="4"/>
  <c r="G990" i="4"/>
  <c r="F990" i="4"/>
  <c r="Q990" i="4" s="1"/>
  <c r="E990" i="4"/>
  <c r="D990" i="4"/>
  <c r="M990" i="4" s="1"/>
  <c r="C990" i="4"/>
  <c r="N990" i="4" s="1"/>
  <c r="B990" i="4"/>
  <c r="A990" i="4"/>
  <c r="L989" i="4"/>
  <c r="K989" i="4"/>
  <c r="J989" i="4"/>
  <c r="I989" i="4"/>
  <c r="H989" i="4"/>
  <c r="G989" i="4"/>
  <c r="F989" i="4"/>
  <c r="Q989" i="4" s="1"/>
  <c r="E989" i="4"/>
  <c r="D989" i="4"/>
  <c r="M989" i="4" s="1"/>
  <c r="C989" i="4"/>
  <c r="N989" i="4" s="1"/>
  <c r="B989" i="4"/>
  <c r="A989" i="4"/>
  <c r="L988" i="4"/>
  <c r="K988" i="4"/>
  <c r="J988" i="4"/>
  <c r="I988" i="4"/>
  <c r="H988" i="4"/>
  <c r="G988" i="4"/>
  <c r="F988" i="4"/>
  <c r="Q988" i="4" s="1"/>
  <c r="E988" i="4"/>
  <c r="D988" i="4"/>
  <c r="M988" i="4" s="1"/>
  <c r="C988" i="4"/>
  <c r="N988" i="4" s="1"/>
  <c r="B988" i="4"/>
  <c r="A988" i="4"/>
  <c r="L987" i="4"/>
  <c r="K987" i="4"/>
  <c r="J987" i="4"/>
  <c r="I987" i="4"/>
  <c r="H987" i="4"/>
  <c r="G987" i="4"/>
  <c r="F987" i="4"/>
  <c r="Q987" i="4" s="1"/>
  <c r="E987" i="4"/>
  <c r="D987" i="4"/>
  <c r="M987" i="4" s="1"/>
  <c r="C987" i="4"/>
  <c r="N987" i="4" s="1"/>
  <c r="B987" i="4"/>
  <c r="A987" i="4"/>
  <c r="L986" i="4"/>
  <c r="K986" i="4"/>
  <c r="J986" i="4"/>
  <c r="I986" i="4"/>
  <c r="H986" i="4"/>
  <c r="G986" i="4"/>
  <c r="F986" i="4"/>
  <c r="Q986" i="4" s="1"/>
  <c r="E986" i="4"/>
  <c r="D986" i="4"/>
  <c r="M986" i="4" s="1"/>
  <c r="C986" i="4"/>
  <c r="N986" i="4" s="1"/>
  <c r="B986" i="4"/>
  <c r="A986" i="4"/>
  <c r="L985" i="4"/>
  <c r="K985" i="4"/>
  <c r="J985" i="4"/>
  <c r="I985" i="4"/>
  <c r="H985" i="4"/>
  <c r="G985" i="4"/>
  <c r="F985" i="4"/>
  <c r="Q985" i="4" s="1"/>
  <c r="E985" i="4"/>
  <c r="D985" i="4"/>
  <c r="M985" i="4" s="1"/>
  <c r="C985" i="4"/>
  <c r="N985" i="4" s="1"/>
  <c r="B985" i="4"/>
  <c r="A985" i="4"/>
  <c r="L984" i="4"/>
  <c r="K984" i="4"/>
  <c r="J984" i="4"/>
  <c r="I984" i="4"/>
  <c r="H984" i="4"/>
  <c r="G984" i="4"/>
  <c r="F984" i="4"/>
  <c r="Q984" i="4" s="1"/>
  <c r="E984" i="4"/>
  <c r="D984" i="4"/>
  <c r="M984" i="4" s="1"/>
  <c r="C984" i="4"/>
  <c r="N984" i="4" s="1"/>
  <c r="B984" i="4"/>
  <c r="A984" i="4"/>
  <c r="L983" i="4"/>
  <c r="K983" i="4"/>
  <c r="J983" i="4"/>
  <c r="I983" i="4"/>
  <c r="H983" i="4"/>
  <c r="G983" i="4"/>
  <c r="F983" i="4"/>
  <c r="Q983" i="4" s="1"/>
  <c r="E983" i="4"/>
  <c r="D983" i="4"/>
  <c r="M983" i="4" s="1"/>
  <c r="C983" i="4"/>
  <c r="N983" i="4" s="1"/>
  <c r="B983" i="4"/>
  <c r="A983" i="4"/>
  <c r="L982" i="4"/>
  <c r="K982" i="4"/>
  <c r="J982" i="4"/>
  <c r="I982" i="4"/>
  <c r="H982" i="4"/>
  <c r="G982" i="4"/>
  <c r="F982" i="4"/>
  <c r="Q982" i="4" s="1"/>
  <c r="E982" i="4"/>
  <c r="D982" i="4"/>
  <c r="M982" i="4" s="1"/>
  <c r="C982" i="4"/>
  <c r="N982" i="4" s="1"/>
  <c r="B982" i="4"/>
  <c r="A982" i="4"/>
  <c r="L981" i="4"/>
  <c r="K981" i="4"/>
  <c r="J981" i="4"/>
  <c r="I981" i="4"/>
  <c r="H981" i="4"/>
  <c r="G981" i="4"/>
  <c r="F981" i="4"/>
  <c r="Q981" i="4" s="1"/>
  <c r="E981" i="4"/>
  <c r="D981" i="4"/>
  <c r="M981" i="4" s="1"/>
  <c r="C981" i="4"/>
  <c r="N981" i="4" s="1"/>
  <c r="B981" i="4"/>
  <c r="A981" i="4"/>
  <c r="L980" i="4"/>
  <c r="K980" i="4"/>
  <c r="J980" i="4"/>
  <c r="I980" i="4"/>
  <c r="H980" i="4"/>
  <c r="G980" i="4"/>
  <c r="F980" i="4"/>
  <c r="Q980" i="4" s="1"/>
  <c r="E980" i="4"/>
  <c r="D980" i="4"/>
  <c r="M980" i="4" s="1"/>
  <c r="C980" i="4"/>
  <c r="N980" i="4" s="1"/>
  <c r="B980" i="4"/>
  <c r="A980" i="4"/>
  <c r="L979" i="4"/>
  <c r="K979" i="4"/>
  <c r="J979" i="4"/>
  <c r="I979" i="4"/>
  <c r="H979" i="4"/>
  <c r="G979" i="4"/>
  <c r="F979" i="4"/>
  <c r="Q979" i="4" s="1"/>
  <c r="E979" i="4"/>
  <c r="D979" i="4"/>
  <c r="M979" i="4" s="1"/>
  <c r="C979" i="4"/>
  <c r="N979" i="4" s="1"/>
  <c r="B979" i="4"/>
  <c r="A979" i="4"/>
  <c r="L978" i="4"/>
  <c r="K978" i="4"/>
  <c r="J978" i="4"/>
  <c r="I978" i="4"/>
  <c r="H978" i="4"/>
  <c r="G978" i="4"/>
  <c r="F978" i="4"/>
  <c r="Q978" i="4" s="1"/>
  <c r="E978" i="4"/>
  <c r="D978" i="4"/>
  <c r="M978" i="4" s="1"/>
  <c r="C978" i="4"/>
  <c r="N978" i="4" s="1"/>
  <c r="B978" i="4"/>
  <c r="A978" i="4"/>
  <c r="L977" i="4"/>
  <c r="K977" i="4"/>
  <c r="J977" i="4"/>
  <c r="I977" i="4"/>
  <c r="H977" i="4"/>
  <c r="G977" i="4"/>
  <c r="F977" i="4"/>
  <c r="Q977" i="4" s="1"/>
  <c r="E977" i="4"/>
  <c r="D977" i="4"/>
  <c r="M977" i="4" s="1"/>
  <c r="C977" i="4"/>
  <c r="N977" i="4" s="1"/>
  <c r="B977" i="4"/>
  <c r="A977" i="4"/>
  <c r="L976" i="4"/>
  <c r="K976" i="4"/>
  <c r="J976" i="4"/>
  <c r="I976" i="4"/>
  <c r="H976" i="4"/>
  <c r="G976" i="4"/>
  <c r="F976" i="4"/>
  <c r="Q976" i="4" s="1"/>
  <c r="E976" i="4"/>
  <c r="D976" i="4"/>
  <c r="M976" i="4" s="1"/>
  <c r="C976" i="4"/>
  <c r="N976" i="4" s="1"/>
  <c r="B976" i="4"/>
  <c r="A976" i="4"/>
  <c r="L975" i="4"/>
  <c r="K975" i="4"/>
  <c r="J975" i="4"/>
  <c r="I975" i="4"/>
  <c r="H975" i="4"/>
  <c r="G975" i="4"/>
  <c r="F975" i="4"/>
  <c r="Q975" i="4" s="1"/>
  <c r="E975" i="4"/>
  <c r="D975" i="4"/>
  <c r="M975" i="4" s="1"/>
  <c r="C975" i="4"/>
  <c r="N975" i="4" s="1"/>
  <c r="B975" i="4"/>
  <c r="A975" i="4"/>
  <c r="L974" i="4"/>
  <c r="K974" i="4"/>
  <c r="J974" i="4"/>
  <c r="I974" i="4"/>
  <c r="H974" i="4"/>
  <c r="G974" i="4"/>
  <c r="F974" i="4"/>
  <c r="Q974" i="4" s="1"/>
  <c r="E974" i="4"/>
  <c r="D974" i="4"/>
  <c r="M974" i="4" s="1"/>
  <c r="C974" i="4"/>
  <c r="N974" i="4" s="1"/>
  <c r="B974" i="4"/>
  <c r="A974" i="4"/>
  <c r="L973" i="4"/>
  <c r="K973" i="4"/>
  <c r="J973" i="4"/>
  <c r="I973" i="4"/>
  <c r="H973" i="4"/>
  <c r="G973" i="4"/>
  <c r="F973" i="4"/>
  <c r="Q973" i="4" s="1"/>
  <c r="E973" i="4"/>
  <c r="D973" i="4"/>
  <c r="M973" i="4" s="1"/>
  <c r="C973" i="4"/>
  <c r="N973" i="4" s="1"/>
  <c r="B973" i="4"/>
  <c r="A973" i="4"/>
  <c r="L972" i="4"/>
  <c r="K972" i="4"/>
  <c r="J972" i="4"/>
  <c r="I972" i="4"/>
  <c r="H972" i="4"/>
  <c r="G972" i="4"/>
  <c r="F972" i="4"/>
  <c r="Q972" i="4" s="1"/>
  <c r="E972" i="4"/>
  <c r="D972" i="4"/>
  <c r="M972" i="4" s="1"/>
  <c r="C972" i="4"/>
  <c r="N972" i="4" s="1"/>
  <c r="B972" i="4"/>
  <c r="A972" i="4"/>
  <c r="L971" i="4"/>
  <c r="K971" i="4"/>
  <c r="J971" i="4"/>
  <c r="I971" i="4"/>
  <c r="H971" i="4"/>
  <c r="G971" i="4"/>
  <c r="F971" i="4"/>
  <c r="Q971" i="4" s="1"/>
  <c r="E971" i="4"/>
  <c r="D971" i="4"/>
  <c r="M971" i="4" s="1"/>
  <c r="C971" i="4"/>
  <c r="N971" i="4" s="1"/>
  <c r="B971" i="4"/>
  <c r="A971" i="4"/>
  <c r="L970" i="4"/>
  <c r="K970" i="4"/>
  <c r="J970" i="4"/>
  <c r="I970" i="4"/>
  <c r="H970" i="4"/>
  <c r="G970" i="4"/>
  <c r="F970" i="4"/>
  <c r="Q970" i="4" s="1"/>
  <c r="E970" i="4"/>
  <c r="D970" i="4"/>
  <c r="M970" i="4" s="1"/>
  <c r="C970" i="4"/>
  <c r="N970" i="4" s="1"/>
  <c r="B970" i="4"/>
  <c r="A970" i="4"/>
  <c r="L969" i="4"/>
  <c r="K969" i="4"/>
  <c r="J969" i="4"/>
  <c r="I969" i="4"/>
  <c r="H969" i="4"/>
  <c r="G969" i="4"/>
  <c r="F969" i="4"/>
  <c r="Q969" i="4" s="1"/>
  <c r="E969" i="4"/>
  <c r="D969" i="4"/>
  <c r="M969" i="4" s="1"/>
  <c r="C969" i="4"/>
  <c r="N969" i="4" s="1"/>
  <c r="B969" i="4"/>
  <c r="A969" i="4"/>
  <c r="L968" i="4"/>
  <c r="K968" i="4"/>
  <c r="J968" i="4"/>
  <c r="I968" i="4"/>
  <c r="H968" i="4"/>
  <c r="G968" i="4"/>
  <c r="F968" i="4"/>
  <c r="Q968" i="4" s="1"/>
  <c r="E968" i="4"/>
  <c r="D968" i="4"/>
  <c r="M968" i="4" s="1"/>
  <c r="C968" i="4"/>
  <c r="N968" i="4" s="1"/>
  <c r="B968" i="4"/>
  <c r="A968" i="4"/>
  <c r="L967" i="4"/>
  <c r="K967" i="4"/>
  <c r="J967" i="4"/>
  <c r="I967" i="4"/>
  <c r="H967" i="4"/>
  <c r="G967" i="4"/>
  <c r="F967" i="4"/>
  <c r="Q967" i="4" s="1"/>
  <c r="E967" i="4"/>
  <c r="D967" i="4"/>
  <c r="M967" i="4" s="1"/>
  <c r="C967" i="4"/>
  <c r="N967" i="4" s="1"/>
  <c r="B967" i="4"/>
  <c r="A967" i="4"/>
  <c r="L966" i="4"/>
  <c r="K966" i="4"/>
  <c r="J966" i="4"/>
  <c r="I966" i="4"/>
  <c r="H966" i="4"/>
  <c r="G966" i="4"/>
  <c r="F966" i="4"/>
  <c r="Q966" i="4" s="1"/>
  <c r="E966" i="4"/>
  <c r="D966" i="4"/>
  <c r="M966" i="4" s="1"/>
  <c r="C966" i="4"/>
  <c r="N966" i="4" s="1"/>
  <c r="B966" i="4"/>
  <c r="A966" i="4"/>
  <c r="L965" i="4"/>
  <c r="K965" i="4"/>
  <c r="J965" i="4"/>
  <c r="I965" i="4"/>
  <c r="H965" i="4"/>
  <c r="G965" i="4"/>
  <c r="F965" i="4"/>
  <c r="Q965" i="4" s="1"/>
  <c r="E965" i="4"/>
  <c r="D965" i="4"/>
  <c r="M965" i="4" s="1"/>
  <c r="C965" i="4"/>
  <c r="N965" i="4" s="1"/>
  <c r="B965" i="4"/>
  <c r="A965" i="4"/>
  <c r="L964" i="4"/>
  <c r="K964" i="4"/>
  <c r="J964" i="4"/>
  <c r="I964" i="4"/>
  <c r="H964" i="4"/>
  <c r="G964" i="4"/>
  <c r="F964" i="4"/>
  <c r="Q964" i="4" s="1"/>
  <c r="E964" i="4"/>
  <c r="D964" i="4"/>
  <c r="M964" i="4" s="1"/>
  <c r="C964" i="4"/>
  <c r="N964" i="4" s="1"/>
  <c r="B964" i="4"/>
  <c r="A964" i="4"/>
  <c r="L963" i="4"/>
  <c r="K963" i="4"/>
  <c r="J963" i="4"/>
  <c r="I963" i="4"/>
  <c r="H963" i="4"/>
  <c r="G963" i="4"/>
  <c r="F963" i="4"/>
  <c r="Q963" i="4" s="1"/>
  <c r="E963" i="4"/>
  <c r="D963" i="4"/>
  <c r="M963" i="4" s="1"/>
  <c r="C963" i="4"/>
  <c r="N963" i="4" s="1"/>
  <c r="B963" i="4"/>
  <c r="A963" i="4"/>
  <c r="L962" i="4"/>
  <c r="K962" i="4"/>
  <c r="J962" i="4"/>
  <c r="I962" i="4"/>
  <c r="H962" i="4"/>
  <c r="G962" i="4"/>
  <c r="F962" i="4"/>
  <c r="Q962" i="4" s="1"/>
  <c r="E962" i="4"/>
  <c r="D962" i="4"/>
  <c r="M962" i="4" s="1"/>
  <c r="C962" i="4"/>
  <c r="N962" i="4" s="1"/>
  <c r="B962" i="4"/>
  <c r="A962" i="4"/>
  <c r="L961" i="4"/>
  <c r="K961" i="4"/>
  <c r="J961" i="4"/>
  <c r="I961" i="4"/>
  <c r="H961" i="4"/>
  <c r="G961" i="4"/>
  <c r="F961" i="4"/>
  <c r="Q961" i="4" s="1"/>
  <c r="E961" i="4"/>
  <c r="D961" i="4"/>
  <c r="M961" i="4" s="1"/>
  <c r="C961" i="4"/>
  <c r="N961" i="4" s="1"/>
  <c r="B961" i="4"/>
  <c r="A961" i="4"/>
  <c r="L960" i="4"/>
  <c r="K960" i="4"/>
  <c r="J960" i="4"/>
  <c r="I960" i="4"/>
  <c r="H960" i="4"/>
  <c r="G960" i="4"/>
  <c r="F960" i="4"/>
  <c r="Q960" i="4" s="1"/>
  <c r="E960" i="4"/>
  <c r="D960" i="4"/>
  <c r="M960" i="4" s="1"/>
  <c r="C960" i="4"/>
  <c r="N960" i="4" s="1"/>
  <c r="B960" i="4"/>
  <c r="A960" i="4"/>
  <c r="L959" i="4"/>
  <c r="K959" i="4"/>
  <c r="J959" i="4"/>
  <c r="I959" i="4"/>
  <c r="H959" i="4"/>
  <c r="G959" i="4"/>
  <c r="F959" i="4"/>
  <c r="Q959" i="4" s="1"/>
  <c r="E959" i="4"/>
  <c r="D959" i="4"/>
  <c r="M959" i="4" s="1"/>
  <c r="C959" i="4"/>
  <c r="N959" i="4" s="1"/>
  <c r="B959" i="4"/>
  <c r="A959" i="4"/>
  <c r="L958" i="4"/>
  <c r="K958" i="4"/>
  <c r="J958" i="4"/>
  <c r="I958" i="4"/>
  <c r="H958" i="4"/>
  <c r="G958" i="4"/>
  <c r="F958" i="4"/>
  <c r="Q958" i="4" s="1"/>
  <c r="E958" i="4"/>
  <c r="D958" i="4"/>
  <c r="M958" i="4" s="1"/>
  <c r="C958" i="4"/>
  <c r="N958" i="4" s="1"/>
  <c r="B958" i="4"/>
  <c r="A958" i="4"/>
  <c r="L957" i="4"/>
  <c r="K957" i="4"/>
  <c r="J957" i="4"/>
  <c r="I957" i="4"/>
  <c r="H957" i="4"/>
  <c r="G957" i="4"/>
  <c r="F957" i="4"/>
  <c r="Q957" i="4" s="1"/>
  <c r="E957" i="4"/>
  <c r="D957" i="4"/>
  <c r="M957" i="4" s="1"/>
  <c r="C957" i="4"/>
  <c r="N957" i="4" s="1"/>
  <c r="B957" i="4"/>
  <c r="A957" i="4"/>
  <c r="L956" i="4"/>
  <c r="K956" i="4"/>
  <c r="J956" i="4"/>
  <c r="I956" i="4"/>
  <c r="H956" i="4"/>
  <c r="G956" i="4"/>
  <c r="F956" i="4"/>
  <c r="Q956" i="4" s="1"/>
  <c r="E956" i="4"/>
  <c r="D956" i="4"/>
  <c r="M956" i="4" s="1"/>
  <c r="C956" i="4"/>
  <c r="N956" i="4" s="1"/>
  <c r="B956" i="4"/>
  <c r="A956" i="4"/>
  <c r="L955" i="4"/>
  <c r="K955" i="4"/>
  <c r="J955" i="4"/>
  <c r="I955" i="4"/>
  <c r="H955" i="4"/>
  <c r="G955" i="4"/>
  <c r="F955" i="4"/>
  <c r="Q955" i="4" s="1"/>
  <c r="E955" i="4"/>
  <c r="D955" i="4"/>
  <c r="M955" i="4" s="1"/>
  <c r="C955" i="4"/>
  <c r="N955" i="4" s="1"/>
  <c r="B955" i="4"/>
  <c r="A955" i="4"/>
  <c r="L954" i="4"/>
  <c r="K954" i="4"/>
  <c r="J954" i="4"/>
  <c r="I954" i="4"/>
  <c r="H954" i="4"/>
  <c r="G954" i="4"/>
  <c r="F954" i="4"/>
  <c r="Q954" i="4" s="1"/>
  <c r="E954" i="4"/>
  <c r="D954" i="4"/>
  <c r="M954" i="4" s="1"/>
  <c r="C954" i="4"/>
  <c r="N954" i="4" s="1"/>
  <c r="B954" i="4"/>
  <c r="A954" i="4"/>
  <c r="L953" i="4"/>
  <c r="K953" i="4"/>
  <c r="J953" i="4"/>
  <c r="I953" i="4"/>
  <c r="H953" i="4"/>
  <c r="G953" i="4"/>
  <c r="F953" i="4"/>
  <c r="Q953" i="4" s="1"/>
  <c r="E953" i="4"/>
  <c r="D953" i="4"/>
  <c r="M953" i="4" s="1"/>
  <c r="C953" i="4"/>
  <c r="N953" i="4" s="1"/>
  <c r="B953" i="4"/>
  <c r="A953" i="4"/>
  <c r="L952" i="4"/>
  <c r="K952" i="4"/>
  <c r="J952" i="4"/>
  <c r="I952" i="4"/>
  <c r="H952" i="4"/>
  <c r="G952" i="4"/>
  <c r="F952" i="4"/>
  <c r="Q952" i="4" s="1"/>
  <c r="E952" i="4"/>
  <c r="D952" i="4"/>
  <c r="M952" i="4" s="1"/>
  <c r="C952" i="4"/>
  <c r="N952" i="4" s="1"/>
  <c r="B952" i="4"/>
  <c r="A952" i="4"/>
  <c r="L951" i="4"/>
  <c r="K951" i="4"/>
  <c r="J951" i="4"/>
  <c r="I951" i="4"/>
  <c r="H951" i="4"/>
  <c r="G951" i="4"/>
  <c r="F951" i="4"/>
  <c r="Q951" i="4" s="1"/>
  <c r="E951" i="4"/>
  <c r="D951" i="4"/>
  <c r="M951" i="4" s="1"/>
  <c r="C951" i="4"/>
  <c r="N951" i="4" s="1"/>
  <c r="B951" i="4"/>
  <c r="A951" i="4"/>
  <c r="L950" i="4"/>
  <c r="K950" i="4"/>
  <c r="J950" i="4"/>
  <c r="I950" i="4"/>
  <c r="H950" i="4"/>
  <c r="G950" i="4"/>
  <c r="F950" i="4"/>
  <c r="Q950" i="4" s="1"/>
  <c r="E950" i="4"/>
  <c r="D950" i="4"/>
  <c r="M950" i="4" s="1"/>
  <c r="C950" i="4"/>
  <c r="N950" i="4" s="1"/>
  <c r="B950" i="4"/>
  <c r="A950" i="4"/>
  <c r="L949" i="4"/>
  <c r="K949" i="4"/>
  <c r="J949" i="4"/>
  <c r="I949" i="4"/>
  <c r="H949" i="4"/>
  <c r="G949" i="4"/>
  <c r="F949" i="4"/>
  <c r="Q949" i="4" s="1"/>
  <c r="E949" i="4"/>
  <c r="D949" i="4"/>
  <c r="M949" i="4" s="1"/>
  <c r="C949" i="4"/>
  <c r="N949" i="4" s="1"/>
  <c r="B949" i="4"/>
  <c r="A949" i="4"/>
  <c r="L948" i="4"/>
  <c r="K948" i="4"/>
  <c r="J948" i="4"/>
  <c r="I948" i="4"/>
  <c r="H948" i="4"/>
  <c r="G948" i="4"/>
  <c r="F948" i="4"/>
  <c r="Q948" i="4" s="1"/>
  <c r="E948" i="4"/>
  <c r="D948" i="4"/>
  <c r="M948" i="4" s="1"/>
  <c r="C948" i="4"/>
  <c r="N948" i="4" s="1"/>
  <c r="B948" i="4"/>
  <c r="A948" i="4"/>
  <c r="L947" i="4"/>
  <c r="K947" i="4"/>
  <c r="J947" i="4"/>
  <c r="I947" i="4"/>
  <c r="H947" i="4"/>
  <c r="G947" i="4"/>
  <c r="F947" i="4"/>
  <c r="Q947" i="4" s="1"/>
  <c r="E947" i="4"/>
  <c r="D947" i="4"/>
  <c r="M947" i="4" s="1"/>
  <c r="C947" i="4"/>
  <c r="N947" i="4" s="1"/>
  <c r="B947" i="4"/>
  <c r="A947" i="4"/>
  <c r="L946" i="4"/>
  <c r="K946" i="4"/>
  <c r="J946" i="4"/>
  <c r="I946" i="4"/>
  <c r="H946" i="4"/>
  <c r="G946" i="4"/>
  <c r="F946" i="4"/>
  <c r="Q946" i="4" s="1"/>
  <c r="E946" i="4"/>
  <c r="D946" i="4"/>
  <c r="M946" i="4" s="1"/>
  <c r="C946" i="4"/>
  <c r="N946" i="4" s="1"/>
  <c r="B946" i="4"/>
  <c r="A946" i="4"/>
  <c r="L945" i="4"/>
  <c r="K945" i="4"/>
  <c r="J945" i="4"/>
  <c r="I945" i="4"/>
  <c r="H945" i="4"/>
  <c r="G945" i="4"/>
  <c r="F945" i="4"/>
  <c r="Q945" i="4" s="1"/>
  <c r="E945" i="4"/>
  <c r="D945" i="4"/>
  <c r="M945" i="4" s="1"/>
  <c r="C945" i="4"/>
  <c r="N945" i="4" s="1"/>
  <c r="B945" i="4"/>
  <c r="A945" i="4"/>
  <c r="L944" i="4"/>
  <c r="K944" i="4"/>
  <c r="J944" i="4"/>
  <c r="I944" i="4"/>
  <c r="H944" i="4"/>
  <c r="G944" i="4"/>
  <c r="F944" i="4"/>
  <c r="Q944" i="4" s="1"/>
  <c r="E944" i="4"/>
  <c r="D944" i="4"/>
  <c r="M944" i="4" s="1"/>
  <c r="C944" i="4"/>
  <c r="N944" i="4" s="1"/>
  <c r="B944" i="4"/>
  <c r="A944" i="4"/>
  <c r="L943" i="4"/>
  <c r="K943" i="4"/>
  <c r="J943" i="4"/>
  <c r="I943" i="4"/>
  <c r="H943" i="4"/>
  <c r="G943" i="4"/>
  <c r="F943" i="4"/>
  <c r="Q943" i="4" s="1"/>
  <c r="E943" i="4"/>
  <c r="D943" i="4"/>
  <c r="M943" i="4" s="1"/>
  <c r="C943" i="4"/>
  <c r="N943" i="4" s="1"/>
  <c r="B943" i="4"/>
  <c r="A943" i="4"/>
  <c r="L942" i="4"/>
  <c r="K942" i="4"/>
  <c r="J942" i="4"/>
  <c r="I942" i="4"/>
  <c r="H942" i="4"/>
  <c r="G942" i="4"/>
  <c r="F942" i="4"/>
  <c r="Q942" i="4" s="1"/>
  <c r="E942" i="4"/>
  <c r="D942" i="4"/>
  <c r="M942" i="4" s="1"/>
  <c r="C942" i="4"/>
  <c r="N942" i="4" s="1"/>
  <c r="B942" i="4"/>
  <c r="A942" i="4"/>
  <c r="L941" i="4"/>
  <c r="K941" i="4"/>
  <c r="J941" i="4"/>
  <c r="I941" i="4"/>
  <c r="H941" i="4"/>
  <c r="G941" i="4"/>
  <c r="F941" i="4"/>
  <c r="Q941" i="4" s="1"/>
  <c r="E941" i="4"/>
  <c r="D941" i="4"/>
  <c r="M941" i="4" s="1"/>
  <c r="C941" i="4"/>
  <c r="N941" i="4" s="1"/>
  <c r="B941" i="4"/>
  <c r="A941" i="4"/>
  <c r="L940" i="4"/>
  <c r="K940" i="4"/>
  <c r="J940" i="4"/>
  <c r="I940" i="4"/>
  <c r="H940" i="4"/>
  <c r="G940" i="4"/>
  <c r="F940" i="4"/>
  <c r="Q940" i="4" s="1"/>
  <c r="E940" i="4"/>
  <c r="D940" i="4"/>
  <c r="M940" i="4" s="1"/>
  <c r="C940" i="4"/>
  <c r="N940" i="4" s="1"/>
  <c r="B940" i="4"/>
  <c r="A940" i="4"/>
  <c r="L939" i="4"/>
  <c r="K939" i="4"/>
  <c r="J939" i="4"/>
  <c r="I939" i="4"/>
  <c r="H939" i="4"/>
  <c r="G939" i="4"/>
  <c r="F939" i="4"/>
  <c r="Q939" i="4" s="1"/>
  <c r="E939" i="4"/>
  <c r="D939" i="4"/>
  <c r="M939" i="4" s="1"/>
  <c r="C939" i="4"/>
  <c r="N939" i="4" s="1"/>
  <c r="B939" i="4"/>
  <c r="A939" i="4"/>
  <c r="L938" i="4"/>
  <c r="K938" i="4"/>
  <c r="J938" i="4"/>
  <c r="I938" i="4"/>
  <c r="H938" i="4"/>
  <c r="G938" i="4"/>
  <c r="F938" i="4"/>
  <c r="Q938" i="4" s="1"/>
  <c r="E938" i="4"/>
  <c r="D938" i="4"/>
  <c r="M938" i="4" s="1"/>
  <c r="C938" i="4"/>
  <c r="N938" i="4" s="1"/>
  <c r="B938" i="4"/>
  <c r="A938" i="4"/>
  <c r="L937" i="4"/>
  <c r="K937" i="4"/>
  <c r="J937" i="4"/>
  <c r="I937" i="4"/>
  <c r="H937" i="4"/>
  <c r="G937" i="4"/>
  <c r="F937" i="4"/>
  <c r="Q937" i="4" s="1"/>
  <c r="E937" i="4"/>
  <c r="D937" i="4"/>
  <c r="M937" i="4" s="1"/>
  <c r="C937" i="4"/>
  <c r="N937" i="4" s="1"/>
  <c r="B937" i="4"/>
  <c r="A937" i="4"/>
  <c r="L936" i="4"/>
  <c r="K936" i="4"/>
  <c r="J936" i="4"/>
  <c r="I936" i="4"/>
  <c r="H936" i="4"/>
  <c r="G936" i="4"/>
  <c r="F936" i="4"/>
  <c r="Q936" i="4" s="1"/>
  <c r="E936" i="4"/>
  <c r="D936" i="4"/>
  <c r="M936" i="4" s="1"/>
  <c r="C936" i="4"/>
  <c r="N936" i="4" s="1"/>
  <c r="B936" i="4"/>
  <c r="A936" i="4"/>
  <c r="L935" i="4"/>
  <c r="K935" i="4"/>
  <c r="J935" i="4"/>
  <c r="I935" i="4"/>
  <c r="H935" i="4"/>
  <c r="G935" i="4"/>
  <c r="F935" i="4"/>
  <c r="Q935" i="4" s="1"/>
  <c r="E935" i="4"/>
  <c r="D935" i="4"/>
  <c r="M935" i="4" s="1"/>
  <c r="C935" i="4"/>
  <c r="N935" i="4" s="1"/>
  <c r="B935" i="4"/>
  <c r="A935" i="4"/>
  <c r="L934" i="4"/>
  <c r="K934" i="4"/>
  <c r="J934" i="4"/>
  <c r="I934" i="4"/>
  <c r="H934" i="4"/>
  <c r="G934" i="4"/>
  <c r="F934" i="4"/>
  <c r="Q934" i="4" s="1"/>
  <c r="E934" i="4"/>
  <c r="D934" i="4"/>
  <c r="M934" i="4" s="1"/>
  <c r="C934" i="4"/>
  <c r="N934" i="4" s="1"/>
  <c r="B934" i="4"/>
  <c r="A934" i="4"/>
  <c r="L933" i="4"/>
  <c r="K933" i="4"/>
  <c r="J933" i="4"/>
  <c r="I933" i="4"/>
  <c r="H933" i="4"/>
  <c r="G933" i="4"/>
  <c r="F933" i="4"/>
  <c r="Q933" i="4" s="1"/>
  <c r="E933" i="4"/>
  <c r="D933" i="4"/>
  <c r="M933" i="4" s="1"/>
  <c r="C933" i="4"/>
  <c r="N933" i="4" s="1"/>
  <c r="B933" i="4"/>
  <c r="A933" i="4"/>
  <c r="L932" i="4"/>
  <c r="K932" i="4"/>
  <c r="J932" i="4"/>
  <c r="I932" i="4"/>
  <c r="H932" i="4"/>
  <c r="G932" i="4"/>
  <c r="F932" i="4"/>
  <c r="Q932" i="4" s="1"/>
  <c r="E932" i="4"/>
  <c r="D932" i="4"/>
  <c r="M932" i="4" s="1"/>
  <c r="C932" i="4"/>
  <c r="N932" i="4" s="1"/>
  <c r="B932" i="4"/>
  <c r="A932" i="4"/>
  <c r="L931" i="4"/>
  <c r="K931" i="4"/>
  <c r="J931" i="4"/>
  <c r="I931" i="4"/>
  <c r="H931" i="4"/>
  <c r="G931" i="4"/>
  <c r="F931" i="4"/>
  <c r="Q931" i="4" s="1"/>
  <c r="E931" i="4"/>
  <c r="D931" i="4"/>
  <c r="M931" i="4" s="1"/>
  <c r="C931" i="4"/>
  <c r="N931" i="4" s="1"/>
  <c r="B931" i="4"/>
  <c r="A931" i="4"/>
  <c r="L930" i="4"/>
  <c r="K930" i="4"/>
  <c r="J930" i="4"/>
  <c r="I930" i="4"/>
  <c r="H930" i="4"/>
  <c r="G930" i="4"/>
  <c r="F930" i="4"/>
  <c r="Q930" i="4" s="1"/>
  <c r="E930" i="4"/>
  <c r="D930" i="4"/>
  <c r="M930" i="4" s="1"/>
  <c r="C930" i="4"/>
  <c r="N930" i="4" s="1"/>
  <c r="B930" i="4"/>
  <c r="A930" i="4"/>
  <c r="L929" i="4"/>
  <c r="K929" i="4"/>
  <c r="J929" i="4"/>
  <c r="I929" i="4"/>
  <c r="H929" i="4"/>
  <c r="G929" i="4"/>
  <c r="F929" i="4"/>
  <c r="Q929" i="4" s="1"/>
  <c r="E929" i="4"/>
  <c r="D929" i="4"/>
  <c r="M929" i="4" s="1"/>
  <c r="C929" i="4"/>
  <c r="N929" i="4" s="1"/>
  <c r="B929" i="4"/>
  <c r="A929" i="4"/>
  <c r="L928" i="4"/>
  <c r="K928" i="4"/>
  <c r="J928" i="4"/>
  <c r="I928" i="4"/>
  <c r="H928" i="4"/>
  <c r="G928" i="4"/>
  <c r="F928" i="4"/>
  <c r="Q928" i="4" s="1"/>
  <c r="E928" i="4"/>
  <c r="D928" i="4"/>
  <c r="M928" i="4" s="1"/>
  <c r="C928" i="4"/>
  <c r="N928" i="4" s="1"/>
  <c r="B928" i="4"/>
  <c r="A928" i="4"/>
  <c r="L927" i="4"/>
  <c r="K927" i="4"/>
  <c r="J927" i="4"/>
  <c r="I927" i="4"/>
  <c r="H927" i="4"/>
  <c r="G927" i="4"/>
  <c r="F927" i="4"/>
  <c r="Q927" i="4" s="1"/>
  <c r="E927" i="4"/>
  <c r="D927" i="4"/>
  <c r="M927" i="4" s="1"/>
  <c r="C927" i="4"/>
  <c r="N927" i="4" s="1"/>
  <c r="B927" i="4"/>
  <c r="A927" i="4"/>
  <c r="L926" i="4"/>
  <c r="K926" i="4"/>
  <c r="J926" i="4"/>
  <c r="I926" i="4"/>
  <c r="H926" i="4"/>
  <c r="G926" i="4"/>
  <c r="F926" i="4"/>
  <c r="Q926" i="4" s="1"/>
  <c r="E926" i="4"/>
  <c r="D926" i="4"/>
  <c r="M926" i="4" s="1"/>
  <c r="C926" i="4"/>
  <c r="N926" i="4" s="1"/>
  <c r="B926" i="4"/>
  <c r="A926" i="4"/>
  <c r="L925" i="4"/>
  <c r="K925" i="4"/>
  <c r="J925" i="4"/>
  <c r="I925" i="4"/>
  <c r="H925" i="4"/>
  <c r="G925" i="4"/>
  <c r="F925" i="4"/>
  <c r="Q925" i="4" s="1"/>
  <c r="E925" i="4"/>
  <c r="D925" i="4"/>
  <c r="M925" i="4" s="1"/>
  <c r="C925" i="4"/>
  <c r="N925" i="4" s="1"/>
  <c r="B925" i="4"/>
  <c r="A925" i="4"/>
  <c r="L924" i="4"/>
  <c r="K924" i="4"/>
  <c r="J924" i="4"/>
  <c r="I924" i="4"/>
  <c r="H924" i="4"/>
  <c r="G924" i="4"/>
  <c r="F924" i="4"/>
  <c r="Q924" i="4" s="1"/>
  <c r="E924" i="4"/>
  <c r="D924" i="4"/>
  <c r="M924" i="4" s="1"/>
  <c r="C924" i="4"/>
  <c r="N924" i="4" s="1"/>
  <c r="B924" i="4"/>
  <c r="A924" i="4"/>
  <c r="L923" i="4"/>
  <c r="K923" i="4"/>
  <c r="J923" i="4"/>
  <c r="I923" i="4"/>
  <c r="H923" i="4"/>
  <c r="G923" i="4"/>
  <c r="F923" i="4"/>
  <c r="Q923" i="4" s="1"/>
  <c r="E923" i="4"/>
  <c r="D923" i="4"/>
  <c r="M923" i="4" s="1"/>
  <c r="C923" i="4"/>
  <c r="N923" i="4" s="1"/>
  <c r="B923" i="4"/>
  <c r="A923" i="4"/>
  <c r="L922" i="4"/>
  <c r="K922" i="4"/>
  <c r="J922" i="4"/>
  <c r="I922" i="4"/>
  <c r="H922" i="4"/>
  <c r="G922" i="4"/>
  <c r="F922" i="4"/>
  <c r="Q922" i="4" s="1"/>
  <c r="E922" i="4"/>
  <c r="D922" i="4"/>
  <c r="M922" i="4" s="1"/>
  <c r="C922" i="4"/>
  <c r="N922" i="4" s="1"/>
  <c r="B922" i="4"/>
  <c r="A922" i="4"/>
  <c r="L921" i="4"/>
  <c r="K921" i="4"/>
  <c r="J921" i="4"/>
  <c r="I921" i="4"/>
  <c r="H921" i="4"/>
  <c r="G921" i="4"/>
  <c r="F921" i="4"/>
  <c r="Q921" i="4" s="1"/>
  <c r="E921" i="4"/>
  <c r="D921" i="4"/>
  <c r="M921" i="4" s="1"/>
  <c r="C921" i="4"/>
  <c r="N921" i="4" s="1"/>
  <c r="B921" i="4"/>
  <c r="A921" i="4"/>
  <c r="L920" i="4"/>
  <c r="K920" i="4"/>
  <c r="J920" i="4"/>
  <c r="I920" i="4"/>
  <c r="H920" i="4"/>
  <c r="G920" i="4"/>
  <c r="F920" i="4"/>
  <c r="Q920" i="4" s="1"/>
  <c r="E920" i="4"/>
  <c r="D920" i="4"/>
  <c r="M920" i="4" s="1"/>
  <c r="C920" i="4"/>
  <c r="N920" i="4" s="1"/>
  <c r="B920" i="4"/>
  <c r="A920" i="4"/>
  <c r="L919" i="4"/>
  <c r="K919" i="4"/>
  <c r="J919" i="4"/>
  <c r="I919" i="4"/>
  <c r="H919" i="4"/>
  <c r="G919" i="4"/>
  <c r="F919" i="4"/>
  <c r="Q919" i="4" s="1"/>
  <c r="E919" i="4"/>
  <c r="D919" i="4"/>
  <c r="M919" i="4" s="1"/>
  <c r="C919" i="4"/>
  <c r="N919" i="4" s="1"/>
  <c r="B919" i="4"/>
  <c r="A919" i="4"/>
  <c r="L918" i="4"/>
  <c r="K918" i="4"/>
  <c r="J918" i="4"/>
  <c r="I918" i="4"/>
  <c r="H918" i="4"/>
  <c r="G918" i="4"/>
  <c r="F918" i="4"/>
  <c r="Q918" i="4" s="1"/>
  <c r="E918" i="4"/>
  <c r="D918" i="4"/>
  <c r="M918" i="4" s="1"/>
  <c r="C918" i="4"/>
  <c r="N918" i="4" s="1"/>
  <c r="B918" i="4"/>
  <c r="A918" i="4"/>
  <c r="L917" i="4"/>
  <c r="K917" i="4"/>
  <c r="J917" i="4"/>
  <c r="I917" i="4"/>
  <c r="H917" i="4"/>
  <c r="G917" i="4"/>
  <c r="F917" i="4"/>
  <c r="Q917" i="4" s="1"/>
  <c r="E917" i="4"/>
  <c r="D917" i="4"/>
  <c r="M917" i="4" s="1"/>
  <c r="C917" i="4"/>
  <c r="N917" i="4" s="1"/>
  <c r="B917" i="4"/>
  <c r="A917" i="4"/>
  <c r="L916" i="4"/>
  <c r="K916" i="4"/>
  <c r="J916" i="4"/>
  <c r="I916" i="4"/>
  <c r="H916" i="4"/>
  <c r="G916" i="4"/>
  <c r="F916" i="4"/>
  <c r="Q916" i="4" s="1"/>
  <c r="E916" i="4"/>
  <c r="D916" i="4"/>
  <c r="M916" i="4" s="1"/>
  <c r="C916" i="4"/>
  <c r="N916" i="4" s="1"/>
  <c r="B916" i="4"/>
  <c r="A916" i="4"/>
  <c r="L915" i="4"/>
  <c r="K915" i="4"/>
  <c r="J915" i="4"/>
  <c r="I915" i="4"/>
  <c r="H915" i="4"/>
  <c r="G915" i="4"/>
  <c r="F915" i="4"/>
  <c r="Q915" i="4" s="1"/>
  <c r="E915" i="4"/>
  <c r="D915" i="4"/>
  <c r="M915" i="4" s="1"/>
  <c r="C915" i="4"/>
  <c r="N915" i="4" s="1"/>
  <c r="B915" i="4"/>
  <c r="A915" i="4"/>
  <c r="L914" i="4"/>
  <c r="K914" i="4"/>
  <c r="J914" i="4"/>
  <c r="I914" i="4"/>
  <c r="H914" i="4"/>
  <c r="G914" i="4"/>
  <c r="F914" i="4"/>
  <c r="Q914" i="4" s="1"/>
  <c r="E914" i="4"/>
  <c r="D914" i="4"/>
  <c r="M914" i="4" s="1"/>
  <c r="C914" i="4"/>
  <c r="N914" i="4" s="1"/>
  <c r="B914" i="4"/>
  <c r="A914" i="4"/>
  <c r="L913" i="4"/>
  <c r="K913" i="4"/>
  <c r="J913" i="4"/>
  <c r="I913" i="4"/>
  <c r="H913" i="4"/>
  <c r="G913" i="4"/>
  <c r="F913" i="4"/>
  <c r="Q913" i="4" s="1"/>
  <c r="E913" i="4"/>
  <c r="D913" i="4"/>
  <c r="M913" i="4" s="1"/>
  <c r="C913" i="4"/>
  <c r="N913" i="4" s="1"/>
  <c r="B913" i="4"/>
  <c r="A913" i="4"/>
  <c r="L912" i="4"/>
  <c r="K912" i="4"/>
  <c r="J912" i="4"/>
  <c r="I912" i="4"/>
  <c r="H912" i="4"/>
  <c r="G912" i="4"/>
  <c r="F912" i="4"/>
  <c r="Q912" i="4" s="1"/>
  <c r="E912" i="4"/>
  <c r="D912" i="4"/>
  <c r="M912" i="4" s="1"/>
  <c r="C912" i="4"/>
  <c r="N912" i="4" s="1"/>
  <c r="B912" i="4"/>
  <c r="A912" i="4"/>
  <c r="L911" i="4"/>
  <c r="K911" i="4"/>
  <c r="J911" i="4"/>
  <c r="I911" i="4"/>
  <c r="H911" i="4"/>
  <c r="G911" i="4"/>
  <c r="F911" i="4"/>
  <c r="Q911" i="4" s="1"/>
  <c r="E911" i="4"/>
  <c r="D911" i="4"/>
  <c r="M911" i="4" s="1"/>
  <c r="C911" i="4"/>
  <c r="N911" i="4" s="1"/>
  <c r="B911" i="4"/>
  <c r="A911" i="4"/>
  <c r="L910" i="4"/>
  <c r="K910" i="4"/>
  <c r="J910" i="4"/>
  <c r="I910" i="4"/>
  <c r="H910" i="4"/>
  <c r="G910" i="4"/>
  <c r="F910" i="4"/>
  <c r="Q910" i="4" s="1"/>
  <c r="E910" i="4"/>
  <c r="D910" i="4"/>
  <c r="M910" i="4" s="1"/>
  <c r="C910" i="4"/>
  <c r="N910" i="4" s="1"/>
  <c r="B910" i="4"/>
  <c r="A910" i="4"/>
  <c r="L909" i="4"/>
  <c r="K909" i="4"/>
  <c r="J909" i="4"/>
  <c r="I909" i="4"/>
  <c r="H909" i="4"/>
  <c r="G909" i="4"/>
  <c r="F909" i="4"/>
  <c r="Q909" i="4" s="1"/>
  <c r="E909" i="4"/>
  <c r="D909" i="4"/>
  <c r="M909" i="4" s="1"/>
  <c r="C909" i="4"/>
  <c r="N909" i="4" s="1"/>
  <c r="B909" i="4"/>
  <c r="A909" i="4"/>
  <c r="L908" i="4"/>
  <c r="K908" i="4"/>
  <c r="J908" i="4"/>
  <c r="I908" i="4"/>
  <c r="H908" i="4"/>
  <c r="G908" i="4"/>
  <c r="F908" i="4"/>
  <c r="Q908" i="4" s="1"/>
  <c r="E908" i="4"/>
  <c r="D908" i="4"/>
  <c r="M908" i="4" s="1"/>
  <c r="C908" i="4"/>
  <c r="N908" i="4" s="1"/>
  <c r="B908" i="4"/>
  <c r="A908" i="4"/>
  <c r="L907" i="4"/>
  <c r="K907" i="4"/>
  <c r="J907" i="4"/>
  <c r="I907" i="4"/>
  <c r="H907" i="4"/>
  <c r="G907" i="4"/>
  <c r="F907" i="4"/>
  <c r="Q907" i="4" s="1"/>
  <c r="E907" i="4"/>
  <c r="D907" i="4"/>
  <c r="M907" i="4" s="1"/>
  <c r="C907" i="4"/>
  <c r="N907" i="4" s="1"/>
  <c r="B907" i="4"/>
  <c r="A907" i="4"/>
  <c r="L906" i="4"/>
  <c r="K906" i="4"/>
  <c r="J906" i="4"/>
  <c r="I906" i="4"/>
  <c r="H906" i="4"/>
  <c r="G906" i="4"/>
  <c r="F906" i="4"/>
  <c r="Q906" i="4" s="1"/>
  <c r="E906" i="4"/>
  <c r="D906" i="4"/>
  <c r="M906" i="4" s="1"/>
  <c r="C906" i="4"/>
  <c r="N906" i="4" s="1"/>
  <c r="B906" i="4"/>
  <c r="A906" i="4"/>
  <c r="L905" i="4"/>
  <c r="K905" i="4"/>
  <c r="J905" i="4"/>
  <c r="I905" i="4"/>
  <c r="H905" i="4"/>
  <c r="G905" i="4"/>
  <c r="F905" i="4"/>
  <c r="Q905" i="4" s="1"/>
  <c r="E905" i="4"/>
  <c r="D905" i="4"/>
  <c r="M905" i="4" s="1"/>
  <c r="C905" i="4"/>
  <c r="N905" i="4" s="1"/>
  <c r="B905" i="4"/>
  <c r="A905" i="4"/>
  <c r="L904" i="4"/>
  <c r="K904" i="4"/>
  <c r="J904" i="4"/>
  <c r="I904" i="4"/>
  <c r="H904" i="4"/>
  <c r="G904" i="4"/>
  <c r="F904" i="4"/>
  <c r="Q904" i="4" s="1"/>
  <c r="E904" i="4"/>
  <c r="D904" i="4"/>
  <c r="M904" i="4" s="1"/>
  <c r="C904" i="4"/>
  <c r="N904" i="4" s="1"/>
  <c r="B904" i="4"/>
  <c r="A904" i="4"/>
  <c r="L903" i="4"/>
  <c r="K903" i="4"/>
  <c r="J903" i="4"/>
  <c r="I903" i="4"/>
  <c r="H903" i="4"/>
  <c r="G903" i="4"/>
  <c r="F903" i="4"/>
  <c r="Q903" i="4" s="1"/>
  <c r="E903" i="4"/>
  <c r="D903" i="4"/>
  <c r="M903" i="4" s="1"/>
  <c r="C903" i="4"/>
  <c r="N903" i="4" s="1"/>
  <c r="B903" i="4"/>
  <c r="A903" i="4"/>
  <c r="L902" i="4"/>
  <c r="K902" i="4"/>
  <c r="J902" i="4"/>
  <c r="I902" i="4"/>
  <c r="H902" i="4"/>
  <c r="G902" i="4"/>
  <c r="F902" i="4"/>
  <c r="Q902" i="4" s="1"/>
  <c r="E902" i="4"/>
  <c r="D902" i="4"/>
  <c r="M902" i="4" s="1"/>
  <c r="C902" i="4"/>
  <c r="N902" i="4" s="1"/>
  <c r="B902" i="4"/>
  <c r="A902" i="4"/>
  <c r="L901" i="4"/>
  <c r="K901" i="4"/>
  <c r="J901" i="4"/>
  <c r="I901" i="4"/>
  <c r="H901" i="4"/>
  <c r="G901" i="4"/>
  <c r="F901" i="4"/>
  <c r="Q901" i="4" s="1"/>
  <c r="E901" i="4"/>
  <c r="D901" i="4"/>
  <c r="M901" i="4" s="1"/>
  <c r="C901" i="4"/>
  <c r="N901" i="4" s="1"/>
  <c r="B901" i="4"/>
  <c r="A901" i="4"/>
  <c r="L900" i="4"/>
  <c r="K900" i="4"/>
  <c r="J900" i="4"/>
  <c r="I900" i="4"/>
  <c r="H900" i="4"/>
  <c r="G900" i="4"/>
  <c r="F900" i="4"/>
  <c r="Q900" i="4" s="1"/>
  <c r="E900" i="4"/>
  <c r="D900" i="4"/>
  <c r="M900" i="4" s="1"/>
  <c r="C900" i="4"/>
  <c r="N900" i="4" s="1"/>
  <c r="B900" i="4"/>
  <c r="A900" i="4"/>
  <c r="L899" i="4"/>
  <c r="K899" i="4"/>
  <c r="J899" i="4"/>
  <c r="I899" i="4"/>
  <c r="H899" i="4"/>
  <c r="G899" i="4"/>
  <c r="F899" i="4"/>
  <c r="Q899" i="4" s="1"/>
  <c r="E899" i="4"/>
  <c r="D899" i="4"/>
  <c r="M899" i="4" s="1"/>
  <c r="C899" i="4"/>
  <c r="N899" i="4" s="1"/>
  <c r="B899" i="4"/>
  <c r="A899" i="4"/>
  <c r="L898" i="4"/>
  <c r="K898" i="4"/>
  <c r="J898" i="4"/>
  <c r="I898" i="4"/>
  <c r="H898" i="4"/>
  <c r="G898" i="4"/>
  <c r="F898" i="4"/>
  <c r="Q898" i="4" s="1"/>
  <c r="E898" i="4"/>
  <c r="D898" i="4"/>
  <c r="M898" i="4" s="1"/>
  <c r="C898" i="4"/>
  <c r="N898" i="4" s="1"/>
  <c r="B898" i="4"/>
  <c r="A898" i="4"/>
  <c r="L897" i="4"/>
  <c r="K897" i="4"/>
  <c r="J897" i="4"/>
  <c r="I897" i="4"/>
  <c r="H897" i="4"/>
  <c r="G897" i="4"/>
  <c r="F897" i="4"/>
  <c r="Q897" i="4" s="1"/>
  <c r="E897" i="4"/>
  <c r="D897" i="4"/>
  <c r="M897" i="4" s="1"/>
  <c r="C897" i="4"/>
  <c r="N897" i="4" s="1"/>
  <c r="B897" i="4"/>
  <c r="A897" i="4"/>
  <c r="L896" i="4"/>
  <c r="K896" i="4"/>
  <c r="J896" i="4"/>
  <c r="I896" i="4"/>
  <c r="H896" i="4"/>
  <c r="G896" i="4"/>
  <c r="F896" i="4"/>
  <c r="Q896" i="4" s="1"/>
  <c r="E896" i="4"/>
  <c r="D896" i="4"/>
  <c r="M896" i="4" s="1"/>
  <c r="C896" i="4"/>
  <c r="N896" i="4" s="1"/>
  <c r="B896" i="4"/>
  <c r="A896" i="4"/>
  <c r="L895" i="4"/>
  <c r="K895" i="4"/>
  <c r="J895" i="4"/>
  <c r="I895" i="4"/>
  <c r="H895" i="4"/>
  <c r="G895" i="4"/>
  <c r="F895" i="4"/>
  <c r="Q895" i="4" s="1"/>
  <c r="E895" i="4"/>
  <c r="D895" i="4"/>
  <c r="M895" i="4" s="1"/>
  <c r="C895" i="4"/>
  <c r="N895" i="4" s="1"/>
  <c r="B895" i="4"/>
  <c r="A895" i="4"/>
  <c r="L894" i="4"/>
  <c r="K894" i="4"/>
  <c r="J894" i="4"/>
  <c r="I894" i="4"/>
  <c r="H894" i="4"/>
  <c r="G894" i="4"/>
  <c r="F894" i="4"/>
  <c r="Q894" i="4" s="1"/>
  <c r="E894" i="4"/>
  <c r="D894" i="4"/>
  <c r="M894" i="4" s="1"/>
  <c r="C894" i="4"/>
  <c r="N894" i="4" s="1"/>
  <c r="B894" i="4"/>
  <c r="A894" i="4"/>
  <c r="L893" i="4"/>
  <c r="K893" i="4"/>
  <c r="J893" i="4"/>
  <c r="I893" i="4"/>
  <c r="H893" i="4"/>
  <c r="G893" i="4"/>
  <c r="F893" i="4"/>
  <c r="Q893" i="4" s="1"/>
  <c r="E893" i="4"/>
  <c r="D893" i="4"/>
  <c r="M893" i="4" s="1"/>
  <c r="C893" i="4"/>
  <c r="N893" i="4" s="1"/>
  <c r="B893" i="4"/>
  <c r="A893" i="4"/>
  <c r="L892" i="4"/>
  <c r="K892" i="4"/>
  <c r="J892" i="4"/>
  <c r="I892" i="4"/>
  <c r="H892" i="4"/>
  <c r="G892" i="4"/>
  <c r="F892" i="4"/>
  <c r="Q892" i="4" s="1"/>
  <c r="E892" i="4"/>
  <c r="D892" i="4"/>
  <c r="M892" i="4" s="1"/>
  <c r="C892" i="4"/>
  <c r="N892" i="4" s="1"/>
  <c r="B892" i="4"/>
  <c r="A892" i="4"/>
  <c r="L891" i="4"/>
  <c r="K891" i="4"/>
  <c r="J891" i="4"/>
  <c r="I891" i="4"/>
  <c r="H891" i="4"/>
  <c r="G891" i="4"/>
  <c r="F891" i="4"/>
  <c r="Q891" i="4" s="1"/>
  <c r="E891" i="4"/>
  <c r="D891" i="4"/>
  <c r="M891" i="4" s="1"/>
  <c r="C891" i="4"/>
  <c r="N891" i="4" s="1"/>
  <c r="B891" i="4"/>
  <c r="A891" i="4"/>
  <c r="L890" i="4"/>
  <c r="K890" i="4"/>
  <c r="J890" i="4"/>
  <c r="I890" i="4"/>
  <c r="H890" i="4"/>
  <c r="G890" i="4"/>
  <c r="F890" i="4"/>
  <c r="Q890" i="4" s="1"/>
  <c r="E890" i="4"/>
  <c r="D890" i="4"/>
  <c r="M890" i="4" s="1"/>
  <c r="C890" i="4"/>
  <c r="N890" i="4" s="1"/>
  <c r="B890" i="4"/>
  <c r="A890" i="4"/>
  <c r="L889" i="4"/>
  <c r="K889" i="4"/>
  <c r="J889" i="4"/>
  <c r="I889" i="4"/>
  <c r="H889" i="4"/>
  <c r="G889" i="4"/>
  <c r="F889" i="4"/>
  <c r="Q889" i="4" s="1"/>
  <c r="E889" i="4"/>
  <c r="D889" i="4"/>
  <c r="M889" i="4" s="1"/>
  <c r="C889" i="4"/>
  <c r="N889" i="4" s="1"/>
  <c r="B889" i="4"/>
  <c r="A889" i="4"/>
  <c r="L888" i="4"/>
  <c r="K888" i="4"/>
  <c r="J888" i="4"/>
  <c r="I888" i="4"/>
  <c r="H888" i="4"/>
  <c r="G888" i="4"/>
  <c r="F888" i="4"/>
  <c r="Q888" i="4" s="1"/>
  <c r="E888" i="4"/>
  <c r="D888" i="4"/>
  <c r="M888" i="4" s="1"/>
  <c r="C888" i="4"/>
  <c r="N888" i="4" s="1"/>
  <c r="B888" i="4"/>
  <c r="A888" i="4"/>
  <c r="L887" i="4"/>
  <c r="K887" i="4"/>
  <c r="J887" i="4"/>
  <c r="I887" i="4"/>
  <c r="H887" i="4"/>
  <c r="G887" i="4"/>
  <c r="F887" i="4"/>
  <c r="Q887" i="4" s="1"/>
  <c r="E887" i="4"/>
  <c r="D887" i="4"/>
  <c r="M887" i="4" s="1"/>
  <c r="C887" i="4"/>
  <c r="N887" i="4" s="1"/>
  <c r="B887" i="4"/>
  <c r="A887" i="4"/>
  <c r="L886" i="4"/>
  <c r="K886" i="4"/>
  <c r="J886" i="4"/>
  <c r="I886" i="4"/>
  <c r="H886" i="4"/>
  <c r="G886" i="4"/>
  <c r="F886" i="4"/>
  <c r="Q886" i="4" s="1"/>
  <c r="E886" i="4"/>
  <c r="D886" i="4"/>
  <c r="M886" i="4" s="1"/>
  <c r="C886" i="4"/>
  <c r="N886" i="4" s="1"/>
  <c r="B886" i="4"/>
  <c r="A886" i="4"/>
  <c r="L885" i="4"/>
  <c r="K885" i="4"/>
  <c r="J885" i="4"/>
  <c r="I885" i="4"/>
  <c r="H885" i="4"/>
  <c r="G885" i="4"/>
  <c r="F885" i="4"/>
  <c r="Q885" i="4" s="1"/>
  <c r="E885" i="4"/>
  <c r="D885" i="4"/>
  <c r="M885" i="4" s="1"/>
  <c r="C885" i="4"/>
  <c r="N885" i="4" s="1"/>
  <c r="B885" i="4"/>
  <c r="A885" i="4"/>
  <c r="L884" i="4"/>
  <c r="K884" i="4"/>
  <c r="J884" i="4"/>
  <c r="I884" i="4"/>
  <c r="H884" i="4"/>
  <c r="G884" i="4"/>
  <c r="F884" i="4"/>
  <c r="Q884" i="4" s="1"/>
  <c r="E884" i="4"/>
  <c r="D884" i="4"/>
  <c r="M884" i="4" s="1"/>
  <c r="C884" i="4"/>
  <c r="N884" i="4" s="1"/>
  <c r="B884" i="4"/>
  <c r="A884" i="4"/>
  <c r="L883" i="4"/>
  <c r="K883" i="4"/>
  <c r="J883" i="4"/>
  <c r="I883" i="4"/>
  <c r="H883" i="4"/>
  <c r="G883" i="4"/>
  <c r="F883" i="4"/>
  <c r="Q883" i="4" s="1"/>
  <c r="E883" i="4"/>
  <c r="D883" i="4"/>
  <c r="M883" i="4" s="1"/>
  <c r="C883" i="4"/>
  <c r="N883" i="4" s="1"/>
  <c r="B883" i="4"/>
  <c r="A883" i="4"/>
  <c r="L882" i="4"/>
  <c r="K882" i="4"/>
  <c r="J882" i="4"/>
  <c r="I882" i="4"/>
  <c r="H882" i="4"/>
  <c r="G882" i="4"/>
  <c r="F882" i="4"/>
  <c r="Q882" i="4" s="1"/>
  <c r="E882" i="4"/>
  <c r="D882" i="4"/>
  <c r="M882" i="4" s="1"/>
  <c r="C882" i="4"/>
  <c r="N882" i="4" s="1"/>
  <c r="B882" i="4"/>
  <c r="A882" i="4"/>
  <c r="L881" i="4"/>
  <c r="K881" i="4"/>
  <c r="J881" i="4"/>
  <c r="I881" i="4"/>
  <c r="H881" i="4"/>
  <c r="G881" i="4"/>
  <c r="F881" i="4"/>
  <c r="Q881" i="4" s="1"/>
  <c r="E881" i="4"/>
  <c r="D881" i="4"/>
  <c r="M881" i="4" s="1"/>
  <c r="C881" i="4"/>
  <c r="N881" i="4" s="1"/>
  <c r="B881" i="4"/>
  <c r="A881" i="4"/>
  <c r="L880" i="4"/>
  <c r="K880" i="4"/>
  <c r="J880" i="4"/>
  <c r="I880" i="4"/>
  <c r="H880" i="4"/>
  <c r="G880" i="4"/>
  <c r="F880" i="4"/>
  <c r="Q880" i="4" s="1"/>
  <c r="E880" i="4"/>
  <c r="D880" i="4"/>
  <c r="M880" i="4" s="1"/>
  <c r="C880" i="4"/>
  <c r="N880" i="4" s="1"/>
  <c r="B880" i="4"/>
  <c r="A880" i="4"/>
  <c r="L879" i="4"/>
  <c r="K879" i="4"/>
  <c r="J879" i="4"/>
  <c r="I879" i="4"/>
  <c r="H879" i="4"/>
  <c r="G879" i="4"/>
  <c r="F879" i="4"/>
  <c r="Q879" i="4" s="1"/>
  <c r="E879" i="4"/>
  <c r="D879" i="4"/>
  <c r="M879" i="4" s="1"/>
  <c r="C879" i="4"/>
  <c r="N879" i="4" s="1"/>
  <c r="B879" i="4"/>
  <c r="A879" i="4"/>
  <c r="L878" i="4"/>
  <c r="K878" i="4"/>
  <c r="J878" i="4"/>
  <c r="I878" i="4"/>
  <c r="H878" i="4"/>
  <c r="G878" i="4"/>
  <c r="F878" i="4"/>
  <c r="Q878" i="4" s="1"/>
  <c r="E878" i="4"/>
  <c r="D878" i="4"/>
  <c r="M878" i="4" s="1"/>
  <c r="C878" i="4"/>
  <c r="N878" i="4" s="1"/>
  <c r="B878" i="4"/>
  <c r="A878" i="4"/>
  <c r="L877" i="4"/>
  <c r="K877" i="4"/>
  <c r="J877" i="4"/>
  <c r="I877" i="4"/>
  <c r="H877" i="4"/>
  <c r="G877" i="4"/>
  <c r="F877" i="4"/>
  <c r="Q877" i="4" s="1"/>
  <c r="E877" i="4"/>
  <c r="D877" i="4"/>
  <c r="M877" i="4" s="1"/>
  <c r="C877" i="4"/>
  <c r="N877" i="4" s="1"/>
  <c r="B877" i="4"/>
  <c r="A877" i="4"/>
  <c r="L876" i="4"/>
  <c r="K876" i="4"/>
  <c r="J876" i="4"/>
  <c r="I876" i="4"/>
  <c r="H876" i="4"/>
  <c r="G876" i="4"/>
  <c r="F876" i="4"/>
  <c r="Q876" i="4" s="1"/>
  <c r="E876" i="4"/>
  <c r="D876" i="4"/>
  <c r="M876" i="4" s="1"/>
  <c r="C876" i="4"/>
  <c r="N876" i="4" s="1"/>
  <c r="B876" i="4"/>
  <c r="A876" i="4"/>
  <c r="L875" i="4"/>
  <c r="K875" i="4"/>
  <c r="J875" i="4"/>
  <c r="I875" i="4"/>
  <c r="H875" i="4"/>
  <c r="G875" i="4"/>
  <c r="F875" i="4"/>
  <c r="Q875" i="4" s="1"/>
  <c r="E875" i="4"/>
  <c r="D875" i="4"/>
  <c r="M875" i="4" s="1"/>
  <c r="C875" i="4"/>
  <c r="N875" i="4" s="1"/>
  <c r="B875" i="4"/>
  <c r="A875" i="4"/>
  <c r="L874" i="4"/>
  <c r="K874" i="4"/>
  <c r="J874" i="4"/>
  <c r="I874" i="4"/>
  <c r="H874" i="4"/>
  <c r="G874" i="4"/>
  <c r="F874" i="4"/>
  <c r="Q874" i="4" s="1"/>
  <c r="E874" i="4"/>
  <c r="D874" i="4"/>
  <c r="M874" i="4" s="1"/>
  <c r="C874" i="4"/>
  <c r="N874" i="4" s="1"/>
  <c r="B874" i="4"/>
  <c r="A874" i="4"/>
  <c r="L873" i="4"/>
  <c r="K873" i="4"/>
  <c r="J873" i="4"/>
  <c r="I873" i="4"/>
  <c r="H873" i="4"/>
  <c r="G873" i="4"/>
  <c r="F873" i="4"/>
  <c r="Q873" i="4" s="1"/>
  <c r="E873" i="4"/>
  <c r="D873" i="4"/>
  <c r="M873" i="4" s="1"/>
  <c r="C873" i="4"/>
  <c r="N873" i="4" s="1"/>
  <c r="B873" i="4"/>
  <c r="A873" i="4"/>
  <c r="L872" i="4"/>
  <c r="K872" i="4"/>
  <c r="J872" i="4"/>
  <c r="I872" i="4"/>
  <c r="H872" i="4"/>
  <c r="G872" i="4"/>
  <c r="F872" i="4"/>
  <c r="Q872" i="4" s="1"/>
  <c r="E872" i="4"/>
  <c r="D872" i="4"/>
  <c r="M872" i="4" s="1"/>
  <c r="C872" i="4"/>
  <c r="N872" i="4" s="1"/>
  <c r="B872" i="4"/>
  <c r="A872" i="4"/>
  <c r="L871" i="4"/>
  <c r="K871" i="4"/>
  <c r="J871" i="4"/>
  <c r="I871" i="4"/>
  <c r="H871" i="4"/>
  <c r="G871" i="4"/>
  <c r="F871" i="4"/>
  <c r="Q871" i="4" s="1"/>
  <c r="E871" i="4"/>
  <c r="D871" i="4"/>
  <c r="M871" i="4" s="1"/>
  <c r="C871" i="4"/>
  <c r="N871" i="4" s="1"/>
  <c r="B871" i="4"/>
  <c r="A871" i="4"/>
  <c r="L870" i="4"/>
  <c r="K870" i="4"/>
  <c r="J870" i="4"/>
  <c r="I870" i="4"/>
  <c r="H870" i="4"/>
  <c r="G870" i="4"/>
  <c r="F870" i="4"/>
  <c r="Q870" i="4" s="1"/>
  <c r="E870" i="4"/>
  <c r="D870" i="4"/>
  <c r="M870" i="4" s="1"/>
  <c r="C870" i="4"/>
  <c r="N870" i="4" s="1"/>
  <c r="B870" i="4"/>
  <c r="A870" i="4"/>
  <c r="L869" i="4"/>
  <c r="K869" i="4"/>
  <c r="J869" i="4"/>
  <c r="I869" i="4"/>
  <c r="H869" i="4"/>
  <c r="G869" i="4"/>
  <c r="F869" i="4"/>
  <c r="Q869" i="4" s="1"/>
  <c r="E869" i="4"/>
  <c r="D869" i="4"/>
  <c r="M869" i="4" s="1"/>
  <c r="C869" i="4"/>
  <c r="N869" i="4" s="1"/>
  <c r="B869" i="4"/>
  <c r="A869" i="4"/>
  <c r="L868" i="4"/>
  <c r="K868" i="4"/>
  <c r="J868" i="4"/>
  <c r="I868" i="4"/>
  <c r="H868" i="4"/>
  <c r="G868" i="4"/>
  <c r="F868" i="4"/>
  <c r="Q868" i="4" s="1"/>
  <c r="E868" i="4"/>
  <c r="D868" i="4"/>
  <c r="M868" i="4" s="1"/>
  <c r="C868" i="4"/>
  <c r="N868" i="4" s="1"/>
  <c r="B868" i="4"/>
  <c r="A868" i="4"/>
  <c r="L867" i="4"/>
  <c r="K867" i="4"/>
  <c r="J867" i="4"/>
  <c r="I867" i="4"/>
  <c r="H867" i="4"/>
  <c r="G867" i="4"/>
  <c r="F867" i="4"/>
  <c r="Q867" i="4" s="1"/>
  <c r="E867" i="4"/>
  <c r="D867" i="4"/>
  <c r="M867" i="4" s="1"/>
  <c r="C867" i="4"/>
  <c r="N867" i="4" s="1"/>
  <c r="B867" i="4"/>
  <c r="A867" i="4"/>
  <c r="L866" i="4"/>
  <c r="K866" i="4"/>
  <c r="J866" i="4"/>
  <c r="I866" i="4"/>
  <c r="H866" i="4"/>
  <c r="G866" i="4"/>
  <c r="F866" i="4"/>
  <c r="Q866" i="4" s="1"/>
  <c r="E866" i="4"/>
  <c r="D866" i="4"/>
  <c r="M866" i="4" s="1"/>
  <c r="C866" i="4"/>
  <c r="N866" i="4" s="1"/>
  <c r="B866" i="4"/>
  <c r="A866" i="4"/>
  <c r="L865" i="4"/>
  <c r="K865" i="4"/>
  <c r="J865" i="4"/>
  <c r="I865" i="4"/>
  <c r="H865" i="4"/>
  <c r="G865" i="4"/>
  <c r="F865" i="4"/>
  <c r="Q865" i="4" s="1"/>
  <c r="E865" i="4"/>
  <c r="D865" i="4"/>
  <c r="M865" i="4" s="1"/>
  <c r="C865" i="4"/>
  <c r="N865" i="4" s="1"/>
  <c r="B865" i="4"/>
  <c r="A865" i="4"/>
  <c r="L864" i="4"/>
  <c r="K864" i="4"/>
  <c r="J864" i="4"/>
  <c r="I864" i="4"/>
  <c r="H864" i="4"/>
  <c r="G864" i="4"/>
  <c r="F864" i="4"/>
  <c r="Q864" i="4" s="1"/>
  <c r="E864" i="4"/>
  <c r="D864" i="4"/>
  <c r="M864" i="4" s="1"/>
  <c r="C864" i="4"/>
  <c r="N864" i="4" s="1"/>
  <c r="B864" i="4"/>
  <c r="A864" i="4"/>
  <c r="L863" i="4"/>
  <c r="K863" i="4"/>
  <c r="J863" i="4"/>
  <c r="I863" i="4"/>
  <c r="H863" i="4"/>
  <c r="G863" i="4"/>
  <c r="F863" i="4"/>
  <c r="Q863" i="4" s="1"/>
  <c r="E863" i="4"/>
  <c r="D863" i="4"/>
  <c r="M863" i="4" s="1"/>
  <c r="C863" i="4"/>
  <c r="N863" i="4" s="1"/>
  <c r="B863" i="4"/>
  <c r="A863" i="4"/>
  <c r="L862" i="4"/>
  <c r="K862" i="4"/>
  <c r="J862" i="4"/>
  <c r="I862" i="4"/>
  <c r="H862" i="4"/>
  <c r="G862" i="4"/>
  <c r="F862" i="4"/>
  <c r="Q862" i="4" s="1"/>
  <c r="E862" i="4"/>
  <c r="D862" i="4"/>
  <c r="M862" i="4" s="1"/>
  <c r="C862" i="4"/>
  <c r="N862" i="4" s="1"/>
  <c r="B862" i="4"/>
  <c r="A862" i="4"/>
  <c r="L861" i="4"/>
  <c r="K861" i="4"/>
  <c r="J861" i="4"/>
  <c r="I861" i="4"/>
  <c r="H861" i="4"/>
  <c r="G861" i="4"/>
  <c r="F861" i="4"/>
  <c r="Q861" i="4" s="1"/>
  <c r="E861" i="4"/>
  <c r="D861" i="4"/>
  <c r="M861" i="4" s="1"/>
  <c r="C861" i="4"/>
  <c r="N861" i="4" s="1"/>
  <c r="B861" i="4"/>
  <c r="A861" i="4"/>
  <c r="L860" i="4"/>
  <c r="K860" i="4"/>
  <c r="J860" i="4"/>
  <c r="I860" i="4"/>
  <c r="H860" i="4"/>
  <c r="G860" i="4"/>
  <c r="F860" i="4"/>
  <c r="Q860" i="4" s="1"/>
  <c r="E860" i="4"/>
  <c r="D860" i="4"/>
  <c r="M860" i="4" s="1"/>
  <c r="C860" i="4"/>
  <c r="N860" i="4" s="1"/>
  <c r="B860" i="4"/>
  <c r="A860" i="4"/>
  <c r="L859" i="4"/>
  <c r="K859" i="4"/>
  <c r="J859" i="4"/>
  <c r="I859" i="4"/>
  <c r="H859" i="4"/>
  <c r="G859" i="4"/>
  <c r="F859" i="4"/>
  <c r="Q859" i="4" s="1"/>
  <c r="E859" i="4"/>
  <c r="D859" i="4"/>
  <c r="M859" i="4" s="1"/>
  <c r="C859" i="4"/>
  <c r="N859" i="4" s="1"/>
  <c r="B859" i="4"/>
  <c r="A859" i="4"/>
  <c r="L858" i="4"/>
  <c r="K858" i="4"/>
  <c r="J858" i="4"/>
  <c r="I858" i="4"/>
  <c r="H858" i="4"/>
  <c r="G858" i="4"/>
  <c r="F858" i="4"/>
  <c r="Q858" i="4" s="1"/>
  <c r="E858" i="4"/>
  <c r="D858" i="4"/>
  <c r="M858" i="4" s="1"/>
  <c r="C858" i="4"/>
  <c r="N858" i="4" s="1"/>
  <c r="B858" i="4"/>
  <c r="A858" i="4"/>
  <c r="L857" i="4"/>
  <c r="K857" i="4"/>
  <c r="J857" i="4"/>
  <c r="I857" i="4"/>
  <c r="H857" i="4"/>
  <c r="G857" i="4"/>
  <c r="F857" i="4"/>
  <c r="Q857" i="4" s="1"/>
  <c r="E857" i="4"/>
  <c r="D857" i="4"/>
  <c r="M857" i="4" s="1"/>
  <c r="C857" i="4"/>
  <c r="N857" i="4" s="1"/>
  <c r="B857" i="4"/>
  <c r="A857" i="4"/>
  <c r="L856" i="4"/>
  <c r="K856" i="4"/>
  <c r="J856" i="4"/>
  <c r="I856" i="4"/>
  <c r="H856" i="4"/>
  <c r="G856" i="4"/>
  <c r="F856" i="4"/>
  <c r="Q856" i="4" s="1"/>
  <c r="E856" i="4"/>
  <c r="D856" i="4"/>
  <c r="M856" i="4" s="1"/>
  <c r="C856" i="4"/>
  <c r="N856" i="4" s="1"/>
  <c r="B856" i="4"/>
  <c r="A856" i="4"/>
  <c r="L855" i="4"/>
  <c r="K855" i="4"/>
  <c r="J855" i="4"/>
  <c r="I855" i="4"/>
  <c r="H855" i="4"/>
  <c r="G855" i="4"/>
  <c r="F855" i="4"/>
  <c r="Q855" i="4" s="1"/>
  <c r="E855" i="4"/>
  <c r="D855" i="4"/>
  <c r="M855" i="4" s="1"/>
  <c r="C855" i="4"/>
  <c r="N855" i="4" s="1"/>
  <c r="B855" i="4"/>
  <c r="A855" i="4"/>
  <c r="L854" i="4"/>
  <c r="K854" i="4"/>
  <c r="J854" i="4"/>
  <c r="I854" i="4"/>
  <c r="H854" i="4"/>
  <c r="G854" i="4"/>
  <c r="F854" i="4"/>
  <c r="Q854" i="4" s="1"/>
  <c r="E854" i="4"/>
  <c r="D854" i="4"/>
  <c r="M854" i="4" s="1"/>
  <c r="C854" i="4"/>
  <c r="N854" i="4" s="1"/>
  <c r="B854" i="4"/>
  <c r="A854" i="4"/>
  <c r="L853" i="4"/>
  <c r="K853" i="4"/>
  <c r="J853" i="4"/>
  <c r="I853" i="4"/>
  <c r="H853" i="4"/>
  <c r="G853" i="4"/>
  <c r="F853" i="4"/>
  <c r="Q853" i="4" s="1"/>
  <c r="E853" i="4"/>
  <c r="D853" i="4"/>
  <c r="M853" i="4" s="1"/>
  <c r="C853" i="4"/>
  <c r="N853" i="4" s="1"/>
  <c r="B853" i="4"/>
  <c r="A853" i="4"/>
  <c r="L852" i="4"/>
  <c r="K852" i="4"/>
  <c r="J852" i="4"/>
  <c r="I852" i="4"/>
  <c r="H852" i="4"/>
  <c r="G852" i="4"/>
  <c r="F852" i="4"/>
  <c r="Q852" i="4" s="1"/>
  <c r="E852" i="4"/>
  <c r="D852" i="4"/>
  <c r="M852" i="4" s="1"/>
  <c r="C852" i="4"/>
  <c r="N852" i="4" s="1"/>
  <c r="B852" i="4"/>
  <c r="A852" i="4"/>
  <c r="L851" i="4"/>
  <c r="K851" i="4"/>
  <c r="J851" i="4"/>
  <c r="I851" i="4"/>
  <c r="H851" i="4"/>
  <c r="G851" i="4"/>
  <c r="F851" i="4"/>
  <c r="Q851" i="4" s="1"/>
  <c r="E851" i="4"/>
  <c r="D851" i="4"/>
  <c r="M851" i="4" s="1"/>
  <c r="C851" i="4"/>
  <c r="N851" i="4" s="1"/>
  <c r="B851" i="4"/>
  <c r="A851" i="4"/>
  <c r="L850" i="4"/>
  <c r="K850" i="4"/>
  <c r="J850" i="4"/>
  <c r="I850" i="4"/>
  <c r="H850" i="4"/>
  <c r="G850" i="4"/>
  <c r="F850" i="4"/>
  <c r="Q850" i="4" s="1"/>
  <c r="E850" i="4"/>
  <c r="D850" i="4"/>
  <c r="M850" i="4" s="1"/>
  <c r="C850" i="4"/>
  <c r="N850" i="4" s="1"/>
  <c r="B850" i="4"/>
  <c r="A850" i="4"/>
  <c r="L849" i="4"/>
  <c r="K849" i="4"/>
  <c r="J849" i="4"/>
  <c r="I849" i="4"/>
  <c r="H849" i="4"/>
  <c r="G849" i="4"/>
  <c r="F849" i="4"/>
  <c r="Q849" i="4" s="1"/>
  <c r="E849" i="4"/>
  <c r="D849" i="4"/>
  <c r="M849" i="4" s="1"/>
  <c r="C849" i="4"/>
  <c r="N849" i="4" s="1"/>
  <c r="B849" i="4"/>
  <c r="A849" i="4"/>
  <c r="L848" i="4"/>
  <c r="K848" i="4"/>
  <c r="J848" i="4"/>
  <c r="I848" i="4"/>
  <c r="H848" i="4"/>
  <c r="G848" i="4"/>
  <c r="F848" i="4"/>
  <c r="Q848" i="4" s="1"/>
  <c r="E848" i="4"/>
  <c r="D848" i="4"/>
  <c r="M848" i="4" s="1"/>
  <c r="C848" i="4"/>
  <c r="N848" i="4" s="1"/>
  <c r="B848" i="4"/>
  <c r="A848" i="4"/>
  <c r="L847" i="4"/>
  <c r="K847" i="4"/>
  <c r="J847" i="4"/>
  <c r="I847" i="4"/>
  <c r="H847" i="4"/>
  <c r="G847" i="4"/>
  <c r="F847" i="4"/>
  <c r="Q847" i="4" s="1"/>
  <c r="E847" i="4"/>
  <c r="D847" i="4"/>
  <c r="M847" i="4" s="1"/>
  <c r="C847" i="4"/>
  <c r="N847" i="4" s="1"/>
  <c r="B847" i="4"/>
  <c r="A847" i="4"/>
  <c r="L846" i="4"/>
  <c r="K846" i="4"/>
  <c r="J846" i="4"/>
  <c r="I846" i="4"/>
  <c r="H846" i="4"/>
  <c r="G846" i="4"/>
  <c r="F846" i="4"/>
  <c r="Q846" i="4" s="1"/>
  <c r="E846" i="4"/>
  <c r="D846" i="4"/>
  <c r="M846" i="4" s="1"/>
  <c r="C846" i="4"/>
  <c r="N846" i="4" s="1"/>
  <c r="B846" i="4"/>
  <c r="A846" i="4"/>
  <c r="L845" i="4"/>
  <c r="K845" i="4"/>
  <c r="J845" i="4"/>
  <c r="I845" i="4"/>
  <c r="H845" i="4"/>
  <c r="G845" i="4"/>
  <c r="F845" i="4"/>
  <c r="Q845" i="4" s="1"/>
  <c r="E845" i="4"/>
  <c r="D845" i="4"/>
  <c r="M845" i="4" s="1"/>
  <c r="C845" i="4"/>
  <c r="N845" i="4" s="1"/>
  <c r="B845" i="4"/>
  <c r="A845" i="4"/>
  <c r="L844" i="4"/>
  <c r="K844" i="4"/>
  <c r="J844" i="4"/>
  <c r="I844" i="4"/>
  <c r="H844" i="4"/>
  <c r="G844" i="4"/>
  <c r="F844" i="4"/>
  <c r="Q844" i="4" s="1"/>
  <c r="E844" i="4"/>
  <c r="D844" i="4"/>
  <c r="M844" i="4" s="1"/>
  <c r="C844" i="4"/>
  <c r="N844" i="4" s="1"/>
  <c r="B844" i="4"/>
  <c r="A844" i="4"/>
  <c r="L843" i="4"/>
  <c r="K843" i="4"/>
  <c r="J843" i="4"/>
  <c r="I843" i="4"/>
  <c r="H843" i="4"/>
  <c r="G843" i="4"/>
  <c r="F843" i="4"/>
  <c r="Q843" i="4" s="1"/>
  <c r="E843" i="4"/>
  <c r="D843" i="4"/>
  <c r="M843" i="4" s="1"/>
  <c r="C843" i="4"/>
  <c r="N843" i="4" s="1"/>
  <c r="B843" i="4"/>
  <c r="A843" i="4"/>
  <c r="L842" i="4"/>
  <c r="K842" i="4"/>
  <c r="J842" i="4"/>
  <c r="I842" i="4"/>
  <c r="H842" i="4"/>
  <c r="G842" i="4"/>
  <c r="F842" i="4"/>
  <c r="Q842" i="4" s="1"/>
  <c r="E842" i="4"/>
  <c r="D842" i="4"/>
  <c r="M842" i="4" s="1"/>
  <c r="C842" i="4"/>
  <c r="N842" i="4" s="1"/>
  <c r="B842" i="4"/>
  <c r="A842" i="4"/>
  <c r="L841" i="4"/>
  <c r="K841" i="4"/>
  <c r="J841" i="4"/>
  <c r="I841" i="4"/>
  <c r="H841" i="4"/>
  <c r="G841" i="4"/>
  <c r="F841" i="4"/>
  <c r="Q841" i="4" s="1"/>
  <c r="E841" i="4"/>
  <c r="D841" i="4"/>
  <c r="M841" i="4" s="1"/>
  <c r="C841" i="4"/>
  <c r="N841" i="4" s="1"/>
  <c r="B841" i="4"/>
  <c r="A841" i="4"/>
  <c r="L840" i="4"/>
  <c r="K840" i="4"/>
  <c r="J840" i="4"/>
  <c r="I840" i="4"/>
  <c r="H840" i="4"/>
  <c r="G840" i="4"/>
  <c r="F840" i="4"/>
  <c r="Q840" i="4" s="1"/>
  <c r="E840" i="4"/>
  <c r="D840" i="4"/>
  <c r="M840" i="4" s="1"/>
  <c r="C840" i="4"/>
  <c r="N840" i="4" s="1"/>
  <c r="B840" i="4"/>
  <c r="A840" i="4"/>
  <c r="L839" i="4"/>
  <c r="K839" i="4"/>
  <c r="J839" i="4"/>
  <c r="I839" i="4"/>
  <c r="H839" i="4"/>
  <c r="G839" i="4"/>
  <c r="F839" i="4"/>
  <c r="Q839" i="4" s="1"/>
  <c r="E839" i="4"/>
  <c r="D839" i="4"/>
  <c r="M839" i="4" s="1"/>
  <c r="C839" i="4"/>
  <c r="N839" i="4" s="1"/>
  <c r="B839" i="4"/>
  <c r="A839" i="4"/>
  <c r="L838" i="4"/>
  <c r="K838" i="4"/>
  <c r="J838" i="4"/>
  <c r="I838" i="4"/>
  <c r="H838" i="4"/>
  <c r="G838" i="4"/>
  <c r="F838" i="4"/>
  <c r="Q838" i="4" s="1"/>
  <c r="E838" i="4"/>
  <c r="D838" i="4"/>
  <c r="M838" i="4" s="1"/>
  <c r="C838" i="4"/>
  <c r="N838" i="4" s="1"/>
  <c r="B838" i="4"/>
  <c r="A838" i="4"/>
  <c r="L837" i="4"/>
  <c r="K837" i="4"/>
  <c r="J837" i="4"/>
  <c r="I837" i="4"/>
  <c r="H837" i="4"/>
  <c r="G837" i="4"/>
  <c r="F837" i="4"/>
  <c r="Q837" i="4" s="1"/>
  <c r="E837" i="4"/>
  <c r="D837" i="4"/>
  <c r="M837" i="4" s="1"/>
  <c r="C837" i="4"/>
  <c r="N837" i="4" s="1"/>
  <c r="B837" i="4"/>
  <c r="A837" i="4"/>
  <c r="L836" i="4"/>
  <c r="K836" i="4"/>
  <c r="J836" i="4"/>
  <c r="I836" i="4"/>
  <c r="H836" i="4"/>
  <c r="G836" i="4"/>
  <c r="F836" i="4"/>
  <c r="Q836" i="4" s="1"/>
  <c r="E836" i="4"/>
  <c r="D836" i="4"/>
  <c r="M836" i="4" s="1"/>
  <c r="C836" i="4"/>
  <c r="N836" i="4" s="1"/>
  <c r="B836" i="4"/>
  <c r="A836" i="4"/>
  <c r="L835" i="4"/>
  <c r="K835" i="4"/>
  <c r="J835" i="4"/>
  <c r="I835" i="4"/>
  <c r="H835" i="4"/>
  <c r="G835" i="4"/>
  <c r="F835" i="4"/>
  <c r="Q835" i="4" s="1"/>
  <c r="E835" i="4"/>
  <c r="D835" i="4"/>
  <c r="M835" i="4" s="1"/>
  <c r="C835" i="4"/>
  <c r="N835" i="4" s="1"/>
  <c r="B835" i="4"/>
  <c r="A835" i="4"/>
  <c r="L834" i="4"/>
  <c r="K834" i="4"/>
  <c r="J834" i="4"/>
  <c r="I834" i="4"/>
  <c r="H834" i="4"/>
  <c r="G834" i="4"/>
  <c r="F834" i="4"/>
  <c r="Q834" i="4" s="1"/>
  <c r="E834" i="4"/>
  <c r="D834" i="4"/>
  <c r="M834" i="4" s="1"/>
  <c r="C834" i="4"/>
  <c r="N834" i="4" s="1"/>
  <c r="B834" i="4"/>
  <c r="A834" i="4"/>
  <c r="L833" i="4"/>
  <c r="K833" i="4"/>
  <c r="J833" i="4"/>
  <c r="I833" i="4"/>
  <c r="H833" i="4"/>
  <c r="G833" i="4"/>
  <c r="F833" i="4"/>
  <c r="Q833" i="4" s="1"/>
  <c r="E833" i="4"/>
  <c r="D833" i="4"/>
  <c r="M833" i="4" s="1"/>
  <c r="C833" i="4"/>
  <c r="N833" i="4" s="1"/>
  <c r="B833" i="4"/>
  <c r="A833" i="4"/>
  <c r="L832" i="4"/>
  <c r="K832" i="4"/>
  <c r="J832" i="4"/>
  <c r="I832" i="4"/>
  <c r="H832" i="4"/>
  <c r="G832" i="4"/>
  <c r="F832" i="4"/>
  <c r="Q832" i="4" s="1"/>
  <c r="E832" i="4"/>
  <c r="D832" i="4"/>
  <c r="M832" i="4" s="1"/>
  <c r="C832" i="4"/>
  <c r="N832" i="4" s="1"/>
  <c r="B832" i="4"/>
  <c r="A832" i="4"/>
  <c r="L831" i="4"/>
  <c r="K831" i="4"/>
  <c r="J831" i="4"/>
  <c r="I831" i="4"/>
  <c r="H831" i="4"/>
  <c r="G831" i="4"/>
  <c r="F831" i="4"/>
  <c r="Q831" i="4" s="1"/>
  <c r="E831" i="4"/>
  <c r="D831" i="4"/>
  <c r="M831" i="4" s="1"/>
  <c r="C831" i="4"/>
  <c r="N831" i="4" s="1"/>
  <c r="B831" i="4"/>
  <c r="A831" i="4"/>
  <c r="L830" i="4"/>
  <c r="K830" i="4"/>
  <c r="J830" i="4"/>
  <c r="I830" i="4"/>
  <c r="H830" i="4"/>
  <c r="G830" i="4"/>
  <c r="F830" i="4"/>
  <c r="Q830" i="4" s="1"/>
  <c r="E830" i="4"/>
  <c r="D830" i="4"/>
  <c r="M830" i="4" s="1"/>
  <c r="C830" i="4"/>
  <c r="N830" i="4" s="1"/>
  <c r="B830" i="4"/>
  <c r="A830" i="4"/>
  <c r="L829" i="4"/>
  <c r="K829" i="4"/>
  <c r="J829" i="4"/>
  <c r="I829" i="4"/>
  <c r="H829" i="4"/>
  <c r="G829" i="4"/>
  <c r="F829" i="4"/>
  <c r="Q829" i="4" s="1"/>
  <c r="E829" i="4"/>
  <c r="D829" i="4"/>
  <c r="M829" i="4" s="1"/>
  <c r="C829" i="4"/>
  <c r="N829" i="4" s="1"/>
  <c r="B829" i="4"/>
  <c r="A829" i="4"/>
  <c r="L828" i="4"/>
  <c r="K828" i="4"/>
  <c r="J828" i="4"/>
  <c r="I828" i="4"/>
  <c r="H828" i="4"/>
  <c r="G828" i="4"/>
  <c r="F828" i="4"/>
  <c r="Q828" i="4" s="1"/>
  <c r="E828" i="4"/>
  <c r="D828" i="4"/>
  <c r="M828" i="4" s="1"/>
  <c r="C828" i="4"/>
  <c r="N828" i="4" s="1"/>
  <c r="B828" i="4"/>
  <c r="A828" i="4"/>
  <c r="L827" i="4"/>
  <c r="K827" i="4"/>
  <c r="J827" i="4"/>
  <c r="I827" i="4"/>
  <c r="H827" i="4"/>
  <c r="G827" i="4"/>
  <c r="F827" i="4"/>
  <c r="Q827" i="4" s="1"/>
  <c r="E827" i="4"/>
  <c r="D827" i="4"/>
  <c r="M827" i="4" s="1"/>
  <c r="C827" i="4"/>
  <c r="N827" i="4" s="1"/>
  <c r="B827" i="4"/>
  <c r="A827" i="4"/>
  <c r="L826" i="4"/>
  <c r="K826" i="4"/>
  <c r="J826" i="4"/>
  <c r="I826" i="4"/>
  <c r="H826" i="4"/>
  <c r="G826" i="4"/>
  <c r="F826" i="4"/>
  <c r="Q826" i="4" s="1"/>
  <c r="E826" i="4"/>
  <c r="D826" i="4"/>
  <c r="M826" i="4" s="1"/>
  <c r="C826" i="4"/>
  <c r="N826" i="4" s="1"/>
  <c r="B826" i="4"/>
  <c r="A826" i="4"/>
  <c r="L825" i="4"/>
  <c r="K825" i="4"/>
  <c r="J825" i="4"/>
  <c r="I825" i="4"/>
  <c r="H825" i="4"/>
  <c r="G825" i="4"/>
  <c r="F825" i="4"/>
  <c r="Q825" i="4" s="1"/>
  <c r="E825" i="4"/>
  <c r="D825" i="4"/>
  <c r="M825" i="4" s="1"/>
  <c r="C825" i="4"/>
  <c r="N825" i="4" s="1"/>
  <c r="B825" i="4"/>
  <c r="A825" i="4"/>
  <c r="L824" i="4"/>
  <c r="K824" i="4"/>
  <c r="J824" i="4"/>
  <c r="I824" i="4"/>
  <c r="H824" i="4"/>
  <c r="G824" i="4"/>
  <c r="F824" i="4"/>
  <c r="Q824" i="4" s="1"/>
  <c r="E824" i="4"/>
  <c r="D824" i="4"/>
  <c r="M824" i="4" s="1"/>
  <c r="C824" i="4"/>
  <c r="N824" i="4" s="1"/>
  <c r="B824" i="4"/>
  <c r="A824" i="4"/>
  <c r="L823" i="4"/>
  <c r="K823" i="4"/>
  <c r="J823" i="4"/>
  <c r="I823" i="4"/>
  <c r="H823" i="4"/>
  <c r="G823" i="4"/>
  <c r="F823" i="4"/>
  <c r="Q823" i="4" s="1"/>
  <c r="E823" i="4"/>
  <c r="D823" i="4"/>
  <c r="M823" i="4" s="1"/>
  <c r="C823" i="4"/>
  <c r="N823" i="4" s="1"/>
  <c r="B823" i="4"/>
  <c r="A823" i="4"/>
  <c r="L822" i="4"/>
  <c r="K822" i="4"/>
  <c r="J822" i="4"/>
  <c r="I822" i="4"/>
  <c r="H822" i="4"/>
  <c r="G822" i="4"/>
  <c r="F822" i="4"/>
  <c r="Q822" i="4" s="1"/>
  <c r="E822" i="4"/>
  <c r="D822" i="4"/>
  <c r="M822" i="4" s="1"/>
  <c r="C822" i="4"/>
  <c r="N822" i="4" s="1"/>
  <c r="B822" i="4"/>
  <c r="A822" i="4"/>
  <c r="L821" i="4"/>
  <c r="K821" i="4"/>
  <c r="J821" i="4"/>
  <c r="I821" i="4"/>
  <c r="H821" i="4"/>
  <c r="G821" i="4"/>
  <c r="F821" i="4"/>
  <c r="Q821" i="4" s="1"/>
  <c r="E821" i="4"/>
  <c r="D821" i="4"/>
  <c r="M821" i="4" s="1"/>
  <c r="C821" i="4"/>
  <c r="N821" i="4" s="1"/>
  <c r="B821" i="4"/>
  <c r="A821" i="4"/>
  <c r="L820" i="4"/>
  <c r="K820" i="4"/>
  <c r="J820" i="4"/>
  <c r="I820" i="4"/>
  <c r="H820" i="4"/>
  <c r="G820" i="4"/>
  <c r="F820" i="4"/>
  <c r="Q820" i="4" s="1"/>
  <c r="E820" i="4"/>
  <c r="D820" i="4"/>
  <c r="M820" i="4" s="1"/>
  <c r="C820" i="4"/>
  <c r="N820" i="4" s="1"/>
  <c r="B820" i="4"/>
  <c r="A820" i="4"/>
  <c r="L819" i="4"/>
  <c r="K819" i="4"/>
  <c r="J819" i="4"/>
  <c r="I819" i="4"/>
  <c r="H819" i="4"/>
  <c r="G819" i="4"/>
  <c r="F819" i="4"/>
  <c r="Q819" i="4" s="1"/>
  <c r="E819" i="4"/>
  <c r="D819" i="4"/>
  <c r="M819" i="4" s="1"/>
  <c r="C819" i="4"/>
  <c r="N819" i="4" s="1"/>
  <c r="B819" i="4"/>
  <c r="A819" i="4"/>
  <c r="L818" i="4"/>
  <c r="K818" i="4"/>
  <c r="J818" i="4"/>
  <c r="I818" i="4"/>
  <c r="H818" i="4"/>
  <c r="G818" i="4"/>
  <c r="F818" i="4"/>
  <c r="Q818" i="4" s="1"/>
  <c r="E818" i="4"/>
  <c r="D818" i="4"/>
  <c r="M818" i="4" s="1"/>
  <c r="C818" i="4"/>
  <c r="N818" i="4" s="1"/>
  <c r="B818" i="4"/>
  <c r="A818" i="4"/>
  <c r="L817" i="4"/>
  <c r="K817" i="4"/>
  <c r="J817" i="4"/>
  <c r="I817" i="4"/>
  <c r="H817" i="4"/>
  <c r="G817" i="4"/>
  <c r="F817" i="4"/>
  <c r="Q817" i="4" s="1"/>
  <c r="E817" i="4"/>
  <c r="D817" i="4"/>
  <c r="M817" i="4" s="1"/>
  <c r="C817" i="4"/>
  <c r="N817" i="4" s="1"/>
  <c r="B817" i="4"/>
  <c r="A817" i="4"/>
  <c r="L816" i="4"/>
  <c r="K816" i="4"/>
  <c r="J816" i="4"/>
  <c r="I816" i="4"/>
  <c r="H816" i="4"/>
  <c r="G816" i="4"/>
  <c r="F816" i="4"/>
  <c r="Q816" i="4" s="1"/>
  <c r="E816" i="4"/>
  <c r="D816" i="4"/>
  <c r="M816" i="4" s="1"/>
  <c r="C816" i="4"/>
  <c r="N816" i="4" s="1"/>
  <c r="B816" i="4"/>
  <c r="A816" i="4"/>
  <c r="L815" i="4"/>
  <c r="K815" i="4"/>
  <c r="J815" i="4"/>
  <c r="I815" i="4"/>
  <c r="H815" i="4"/>
  <c r="G815" i="4"/>
  <c r="F815" i="4"/>
  <c r="Q815" i="4" s="1"/>
  <c r="E815" i="4"/>
  <c r="D815" i="4"/>
  <c r="M815" i="4" s="1"/>
  <c r="C815" i="4"/>
  <c r="N815" i="4" s="1"/>
  <c r="B815" i="4"/>
  <c r="A815" i="4"/>
  <c r="L814" i="4"/>
  <c r="K814" i="4"/>
  <c r="J814" i="4"/>
  <c r="I814" i="4"/>
  <c r="H814" i="4"/>
  <c r="G814" i="4"/>
  <c r="F814" i="4"/>
  <c r="Q814" i="4" s="1"/>
  <c r="E814" i="4"/>
  <c r="D814" i="4"/>
  <c r="M814" i="4" s="1"/>
  <c r="C814" i="4"/>
  <c r="N814" i="4" s="1"/>
  <c r="B814" i="4"/>
  <c r="A814" i="4"/>
  <c r="L813" i="4"/>
  <c r="K813" i="4"/>
  <c r="J813" i="4"/>
  <c r="I813" i="4"/>
  <c r="H813" i="4"/>
  <c r="G813" i="4"/>
  <c r="F813" i="4"/>
  <c r="Q813" i="4" s="1"/>
  <c r="E813" i="4"/>
  <c r="D813" i="4"/>
  <c r="M813" i="4" s="1"/>
  <c r="C813" i="4"/>
  <c r="N813" i="4" s="1"/>
  <c r="B813" i="4"/>
  <c r="A813" i="4"/>
  <c r="L812" i="4"/>
  <c r="K812" i="4"/>
  <c r="J812" i="4"/>
  <c r="I812" i="4"/>
  <c r="H812" i="4"/>
  <c r="G812" i="4"/>
  <c r="F812" i="4"/>
  <c r="Q812" i="4" s="1"/>
  <c r="E812" i="4"/>
  <c r="D812" i="4"/>
  <c r="M812" i="4" s="1"/>
  <c r="C812" i="4"/>
  <c r="N812" i="4" s="1"/>
  <c r="B812" i="4"/>
  <c r="A812" i="4"/>
  <c r="L811" i="4"/>
  <c r="K811" i="4"/>
  <c r="J811" i="4"/>
  <c r="I811" i="4"/>
  <c r="H811" i="4"/>
  <c r="G811" i="4"/>
  <c r="F811" i="4"/>
  <c r="Q811" i="4" s="1"/>
  <c r="E811" i="4"/>
  <c r="D811" i="4"/>
  <c r="M811" i="4" s="1"/>
  <c r="C811" i="4"/>
  <c r="N811" i="4" s="1"/>
  <c r="B811" i="4"/>
  <c r="A811" i="4"/>
  <c r="L810" i="4"/>
  <c r="K810" i="4"/>
  <c r="J810" i="4"/>
  <c r="I810" i="4"/>
  <c r="H810" i="4"/>
  <c r="G810" i="4"/>
  <c r="F810" i="4"/>
  <c r="Q810" i="4" s="1"/>
  <c r="E810" i="4"/>
  <c r="D810" i="4"/>
  <c r="M810" i="4" s="1"/>
  <c r="C810" i="4"/>
  <c r="N810" i="4" s="1"/>
  <c r="B810" i="4"/>
  <c r="A810" i="4"/>
  <c r="L809" i="4"/>
  <c r="K809" i="4"/>
  <c r="J809" i="4"/>
  <c r="I809" i="4"/>
  <c r="H809" i="4"/>
  <c r="G809" i="4"/>
  <c r="F809" i="4"/>
  <c r="Q809" i="4" s="1"/>
  <c r="E809" i="4"/>
  <c r="D809" i="4"/>
  <c r="M809" i="4" s="1"/>
  <c r="C809" i="4"/>
  <c r="N809" i="4" s="1"/>
  <c r="B809" i="4"/>
  <c r="A809" i="4"/>
  <c r="L808" i="4"/>
  <c r="K808" i="4"/>
  <c r="J808" i="4"/>
  <c r="I808" i="4"/>
  <c r="H808" i="4"/>
  <c r="G808" i="4"/>
  <c r="F808" i="4"/>
  <c r="Q808" i="4" s="1"/>
  <c r="E808" i="4"/>
  <c r="D808" i="4"/>
  <c r="M808" i="4" s="1"/>
  <c r="C808" i="4"/>
  <c r="N808" i="4" s="1"/>
  <c r="B808" i="4"/>
  <c r="A808" i="4"/>
  <c r="L807" i="4"/>
  <c r="K807" i="4"/>
  <c r="J807" i="4"/>
  <c r="I807" i="4"/>
  <c r="H807" i="4"/>
  <c r="G807" i="4"/>
  <c r="F807" i="4"/>
  <c r="Q807" i="4" s="1"/>
  <c r="E807" i="4"/>
  <c r="D807" i="4"/>
  <c r="M807" i="4" s="1"/>
  <c r="C807" i="4"/>
  <c r="N807" i="4" s="1"/>
  <c r="B807" i="4"/>
  <c r="A807" i="4"/>
  <c r="L806" i="4"/>
  <c r="K806" i="4"/>
  <c r="J806" i="4"/>
  <c r="I806" i="4"/>
  <c r="H806" i="4"/>
  <c r="G806" i="4"/>
  <c r="F806" i="4"/>
  <c r="Q806" i="4" s="1"/>
  <c r="E806" i="4"/>
  <c r="D806" i="4"/>
  <c r="M806" i="4" s="1"/>
  <c r="C806" i="4"/>
  <c r="N806" i="4" s="1"/>
  <c r="B806" i="4"/>
  <c r="A806" i="4"/>
  <c r="L805" i="4"/>
  <c r="K805" i="4"/>
  <c r="J805" i="4"/>
  <c r="I805" i="4"/>
  <c r="H805" i="4"/>
  <c r="G805" i="4"/>
  <c r="F805" i="4"/>
  <c r="Q805" i="4" s="1"/>
  <c r="E805" i="4"/>
  <c r="D805" i="4"/>
  <c r="M805" i="4" s="1"/>
  <c r="C805" i="4"/>
  <c r="N805" i="4" s="1"/>
  <c r="B805" i="4"/>
  <c r="A805" i="4"/>
  <c r="L804" i="4"/>
  <c r="K804" i="4"/>
  <c r="J804" i="4"/>
  <c r="I804" i="4"/>
  <c r="H804" i="4"/>
  <c r="G804" i="4"/>
  <c r="F804" i="4"/>
  <c r="Q804" i="4" s="1"/>
  <c r="E804" i="4"/>
  <c r="D804" i="4"/>
  <c r="M804" i="4" s="1"/>
  <c r="C804" i="4"/>
  <c r="N804" i="4" s="1"/>
  <c r="B804" i="4"/>
  <c r="A804" i="4"/>
  <c r="L803" i="4"/>
  <c r="K803" i="4"/>
  <c r="J803" i="4"/>
  <c r="I803" i="4"/>
  <c r="H803" i="4"/>
  <c r="G803" i="4"/>
  <c r="F803" i="4"/>
  <c r="Q803" i="4" s="1"/>
  <c r="E803" i="4"/>
  <c r="D803" i="4"/>
  <c r="M803" i="4" s="1"/>
  <c r="C803" i="4"/>
  <c r="N803" i="4" s="1"/>
  <c r="B803" i="4"/>
  <c r="A803" i="4"/>
  <c r="L802" i="4"/>
  <c r="K802" i="4"/>
  <c r="J802" i="4"/>
  <c r="I802" i="4"/>
  <c r="H802" i="4"/>
  <c r="G802" i="4"/>
  <c r="F802" i="4"/>
  <c r="Q802" i="4" s="1"/>
  <c r="E802" i="4"/>
  <c r="D802" i="4"/>
  <c r="M802" i="4" s="1"/>
  <c r="C802" i="4"/>
  <c r="N802" i="4" s="1"/>
  <c r="B802" i="4"/>
  <c r="A802" i="4"/>
  <c r="L801" i="4"/>
  <c r="K801" i="4"/>
  <c r="J801" i="4"/>
  <c r="I801" i="4"/>
  <c r="H801" i="4"/>
  <c r="G801" i="4"/>
  <c r="F801" i="4"/>
  <c r="Q801" i="4" s="1"/>
  <c r="E801" i="4"/>
  <c r="D801" i="4"/>
  <c r="M801" i="4" s="1"/>
  <c r="C801" i="4"/>
  <c r="N801" i="4" s="1"/>
  <c r="B801" i="4"/>
  <c r="A801" i="4"/>
  <c r="L800" i="4"/>
  <c r="K800" i="4"/>
  <c r="J800" i="4"/>
  <c r="I800" i="4"/>
  <c r="H800" i="4"/>
  <c r="G800" i="4"/>
  <c r="F800" i="4"/>
  <c r="Q800" i="4" s="1"/>
  <c r="E800" i="4"/>
  <c r="D800" i="4"/>
  <c r="M800" i="4" s="1"/>
  <c r="C800" i="4"/>
  <c r="N800" i="4" s="1"/>
  <c r="B800" i="4"/>
  <c r="A800" i="4"/>
  <c r="L799" i="4"/>
  <c r="K799" i="4"/>
  <c r="J799" i="4"/>
  <c r="I799" i="4"/>
  <c r="H799" i="4"/>
  <c r="G799" i="4"/>
  <c r="F799" i="4"/>
  <c r="Q799" i="4" s="1"/>
  <c r="E799" i="4"/>
  <c r="D799" i="4"/>
  <c r="M799" i="4" s="1"/>
  <c r="C799" i="4"/>
  <c r="N799" i="4" s="1"/>
  <c r="B799" i="4"/>
  <c r="A799" i="4"/>
  <c r="L798" i="4"/>
  <c r="K798" i="4"/>
  <c r="J798" i="4"/>
  <c r="I798" i="4"/>
  <c r="H798" i="4"/>
  <c r="G798" i="4"/>
  <c r="F798" i="4"/>
  <c r="Q798" i="4" s="1"/>
  <c r="E798" i="4"/>
  <c r="D798" i="4"/>
  <c r="M798" i="4" s="1"/>
  <c r="C798" i="4"/>
  <c r="N798" i="4" s="1"/>
  <c r="B798" i="4"/>
  <c r="A798" i="4"/>
  <c r="L797" i="4"/>
  <c r="K797" i="4"/>
  <c r="J797" i="4"/>
  <c r="I797" i="4"/>
  <c r="H797" i="4"/>
  <c r="G797" i="4"/>
  <c r="F797" i="4"/>
  <c r="Q797" i="4" s="1"/>
  <c r="E797" i="4"/>
  <c r="D797" i="4"/>
  <c r="M797" i="4" s="1"/>
  <c r="C797" i="4"/>
  <c r="N797" i="4" s="1"/>
  <c r="B797" i="4"/>
  <c r="A797" i="4"/>
  <c r="L796" i="4"/>
  <c r="K796" i="4"/>
  <c r="J796" i="4"/>
  <c r="I796" i="4"/>
  <c r="H796" i="4"/>
  <c r="G796" i="4"/>
  <c r="F796" i="4"/>
  <c r="Q796" i="4" s="1"/>
  <c r="E796" i="4"/>
  <c r="D796" i="4"/>
  <c r="M796" i="4" s="1"/>
  <c r="C796" i="4"/>
  <c r="N796" i="4" s="1"/>
  <c r="B796" i="4"/>
  <c r="A796" i="4"/>
  <c r="L795" i="4"/>
  <c r="K795" i="4"/>
  <c r="J795" i="4"/>
  <c r="I795" i="4"/>
  <c r="H795" i="4"/>
  <c r="G795" i="4"/>
  <c r="F795" i="4"/>
  <c r="Q795" i="4" s="1"/>
  <c r="E795" i="4"/>
  <c r="D795" i="4"/>
  <c r="M795" i="4" s="1"/>
  <c r="C795" i="4"/>
  <c r="N795" i="4" s="1"/>
  <c r="B795" i="4"/>
  <c r="A795" i="4"/>
  <c r="L794" i="4"/>
  <c r="K794" i="4"/>
  <c r="J794" i="4"/>
  <c r="I794" i="4"/>
  <c r="H794" i="4"/>
  <c r="G794" i="4"/>
  <c r="F794" i="4"/>
  <c r="Q794" i="4" s="1"/>
  <c r="E794" i="4"/>
  <c r="D794" i="4"/>
  <c r="M794" i="4" s="1"/>
  <c r="C794" i="4"/>
  <c r="N794" i="4" s="1"/>
  <c r="B794" i="4"/>
  <c r="A794" i="4"/>
  <c r="L793" i="4"/>
  <c r="K793" i="4"/>
  <c r="J793" i="4"/>
  <c r="I793" i="4"/>
  <c r="H793" i="4"/>
  <c r="G793" i="4"/>
  <c r="F793" i="4"/>
  <c r="Q793" i="4" s="1"/>
  <c r="E793" i="4"/>
  <c r="D793" i="4"/>
  <c r="M793" i="4" s="1"/>
  <c r="C793" i="4"/>
  <c r="N793" i="4" s="1"/>
  <c r="B793" i="4"/>
  <c r="A793" i="4"/>
  <c r="L792" i="4"/>
  <c r="K792" i="4"/>
  <c r="J792" i="4"/>
  <c r="I792" i="4"/>
  <c r="H792" i="4"/>
  <c r="G792" i="4"/>
  <c r="F792" i="4"/>
  <c r="Q792" i="4" s="1"/>
  <c r="E792" i="4"/>
  <c r="D792" i="4"/>
  <c r="M792" i="4" s="1"/>
  <c r="C792" i="4"/>
  <c r="N792" i="4" s="1"/>
  <c r="B792" i="4"/>
  <c r="A792" i="4"/>
  <c r="L791" i="4"/>
  <c r="K791" i="4"/>
  <c r="J791" i="4"/>
  <c r="I791" i="4"/>
  <c r="H791" i="4"/>
  <c r="G791" i="4"/>
  <c r="F791" i="4"/>
  <c r="Q791" i="4" s="1"/>
  <c r="E791" i="4"/>
  <c r="D791" i="4"/>
  <c r="M791" i="4" s="1"/>
  <c r="C791" i="4"/>
  <c r="N791" i="4" s="1"/>
  <c r="B791" i="4"/>
  <c r="A791" i="4"/>
  <c r="L790" i="4"/>
  <c r="K790" i="4"/>
  <c r="J790" i="4"/>
  <c r="I790" i="4"/>
  <c r="H790" i="4"/>
  <c r="G790" i="4"/>
  <c r="F790" i="4"/>
  <c r="Q790" i="4" s="1"/>
  <c r="E790" i="4"/>
  <c r="D790" i="4"/>
  <c r="M790" i="4" s="1"/>
  <c r="C790" i="4"/>
  <c r="N790" i="4" s="1"/>
  <c r="B790" i="4"/>
  <c r="A790" i="4"/>
  <c r="L789" i="4"/>
  <c r="K789" i="4"/>
  <c r="J789" i="4"/>
  <c r="I789" i="4"/>
  <c r="H789" i="4"/>
  <c r="G789" i="4"/>
  <c r="F789" i="4"/>
  <c r="Q789" i="4" s="1"/>
  <c r="E789" i="4"/>
  <c r="D789" i="4"/>
  <c r="M789" i="4" s="1"/>
  <c r="C789" i="4"/>
  <c r="N789" i="4" s="1"/>
  <c r="B789" i="4"/>
  <c r="A789" i="4"/>
  <c r="L788" i="4"/>
  <c r="K788" i="4"/>
  <c r="J788" i="4"/>
  <c r="I788" i="4"/>
  <c r="H788" i="4"/>
  <c r="G788" i="4"/>
  <c r="F788" i="4"/>
  <c r="Q788" i="4" s="1"/>
  <c r="E788" i="4"/>
  <c r="D788" i="4"/>
  <c r="M788" i="4" s="1"/>
  <c r="C788" i="4"/>
  <c r="N788" i="4" s="1"/>
  <c r="B788" i="4"/>
  <c r="A788" i="4"/>
  <c r="L787" i="4"/>
  <c r="K787" i="4"/>
  <c r="J787" i="4"/>
  <c r="I787" i="4"/>
  <c r="H787" i="4"/>
  <c r="G787" i="4"/>
  <c r="F787" i="4"/>
  <c r="Q787" i="4" s="1"/>
  <c r="E787" i="4"/>
  <c r="D787" i="4"/>
  <c r="M787" i="4" s="1"/>
  <c r="C787" i="4"/>
  <c r="N787" i="4" s="1"/>
  <c r="B787" i="4"/>
  <c r="A787" i="4"/>
  <c r="L786" i="4"/>
  <c r="K786" i="4"/>
  <c r="J786" i="4"/>
  <c r="I786" i="4"/>
  <c r="H786" i="4"/>
  <c r="G786" i="4"/>
  <c r="F786" i="4"/>
  <c r="Q786" i="4" s="1"/>
  <c r="E786" i="4"/>
  <c r="D786" i="4"/>
  <c r="M786" i="4" s="1"/>
  <c r="C786" i="4"/>
  <c r="N786" i="4" s="1"/>
  <c r="B786" i="4"/>
  <c r="A786" i="4"/>
  <c r="L785" i="4"/>
  <c r="K785" i="4"/>
  <c r="J785" i="4"/>
  <c r="I785" i="4"/>
  <c r="H785" i="4"/>
  <c r="G785" i="4"/>
  <c r="F785" i="4"/>
  <c r="Q785" i="4" s="1"/>
  <c r="E785" i="4"/>
  <c r="D785" i="4"/>
  <c r="M785" i="4" s="1"/>
  <c r="C785" i="4"/>
  <c r="N785" i="4" s="1"/>
  <c r="B785" i="4"/>
  <c r="A785" i="4"/>
  <c r="L784" i="4"/>
  <c r="K784" i="4"/>
  <c r="J784" i="4"/>
  <c r="I784" i="4"/>
  <c r="H784" i="4"/>
  <c r="G784" i="4"/>
  <c r="F784" i="4"/>
  <c r="Q784" i="4" s="1"/>
  <c r="E784" i="4"/>
  <c r="D784" i="4"/>
  <c r="M784" i="4" s="1"/>
  <c r="C784" i="4"/>
  <c r="N784" i="4" s="1"/>
  <c r="B784" i="4"/>
  <c r="A784" i="4"/>
  <c r="L783" i="4"/>
  <c r="K783" i="4"/>
  <c r="J783" i="4"/>
  <c r="I783" i="4"/>
  <c r="H783" i="4"/>
  <c r="G783" i="4"/>
  <c r="F783" i="4"/>
  <c r="Q783" i="4" s="1"/>
  <c r="E783" i="4"/>
  <c r="D783" i="4"/>
  <c r="M783" i="4" s="1"/>
  <c r="C783" i="4"/>
  <c r="N783" i="4" s="1"/>
  <c r="B783" i="4"/>
  <c r="A783" i="4"/>
  <c r="L782" i="4"/>
  <c r="K782" i="4"/>
  <c r="J782" i="4"/>
  <c r="I782" i="4"/>
  <c r="H782" i="4"/>
  <c r="G782" i="4"/>
  <c r="F782" i="4"/>
  <c r="Q782" i="4" s="1"/>
  <c r="E782" i="4"/>
  <c r="D782" i="4"/>
  <c r="M782" i="4" s="1"/>
  <c r="C782" i="4"/>
  <c r="N782" i="4" s="1"/>
  <c r="B782" i="4"/>
  <c r="A782" i="4"/>
  <c r="L781" i="4"/>
  <c r="K781" i="4"/>
  <c r="J781" i="4"/>
  <c r="I781" i="4"/>
  <c r="H781" i="4"/>
  <c r="G781" i="4"/>
  <c r="F781" i="4"/>
  <c r="Q781" i="4" s="1"/>
  <c r="E781" i="4"/>
  <c r="D781" i="4"/>
  <c r="M781" i="4" s="1"/>
  <c r="C781" i="4"/>
  <c r="N781" i="4" s="1"/>
  <c r="B781" i="4"/>
  <c r="A781" i="4"/>
  <c r="L780" i="4"/>
  <c r="K780" i="4"/>
  <c r="J780" i="4"/>
  <c r="I780" i="4"/>
  <c r="H780" i="4"/>
  <c r="G780" i="4"/>
  <c r="F780" i="4"/>
  <c r="Q780" i="4" s="1"/>
  <c r="E780" i="4"/>
  <c r="D780" i="4"/>
  <c r="M780" i="4" s="1"/>
  <c r="C780" i="4"/>
  <c r="N780" i="4" s="1"/>
  <c r="B780" i="4"/>
  <c r="A780" i="4"/>
  <c r="L779" i="4"/>
  <c r="K779" i="4"/>
  <c r="J779" i="4"/>
  <c r="I779" i="4"/>
  <c r="H779" i="4"/>
  <c r="G779" i="4"/>
  <c r="F779" i="4"/>
  <c r="Q779" i="4" s="1"/>
  <c r="E779" i="4"/>
  <c r="D779" i="4"/>
  <c r="M779" i="4" s="1"/>
  <c r="C779" i="4"/>
  <c r="N779" i="4" s="1"/>
  <c r="B779" i="4"/>
  <c r="A779" i="4"/>
  <c r="L778" i="4"/>
  <c r="K778" i="4"/>
  <c r="J778" i="4"/>
  <c r="I778" i="4"/>
  <c r="H778" i="4"/>
  <c r="G778" i="4"/>
  <c r="F778" i="4"/>
  <c r="Q778" i="4" s="1"/>
  <c r="E778" i="4"/>
  <c r="D778" i="4"/>
  <c r="M778" i="4" s="1"/>
  <c r="C778" i="4"/>
  <c r="N778" i="4" s="1"/>
  <c r="B778" i="4"/>
  <c r="A778" i="4"/>
  <c r="L777" i="4"/>
  <c r="K777" i="4"/>
  <c r="J777" i="4"/>
  <c r="I777" i="4"/>
  <c r="H777" i="4"/>
  <c r="G777" i="4"/>
  <c r="F777" i="4"/>
  <c r="Q777" i="4" s="1"/>
  <c r="E777" i="4"/>
  <c r="D777" i="4"/>
  <c r="M777" i="4" s="1"/>
  <c r="C777" i="4"/>
  <c r="N777" i="4" s="1"/>
  <c r="B777" i="4"/>
  <c r="A777" i="4"/>
  <c r="L776" i="4"/>
  <c r="K776" i="4"/>
  <c r="J776" i="4"/>
  <c r="I776" i="4"/>
  <c r="H776" i="4"/>
  <c r="G776" i="4"/>
  <c r="F776" i="4"/>
  <c r="Q776" i="4" s="1"/>
  <c r="E776" i="4"/>
  <c r="D776" i="4"/>
  <c r="M776" i="4" s="1"/>
  <c r="C776" i="4"/>
  <c r="N776" i="4" s="1"/>
  <c r="B776" i="4"/>
  <c r="A776" i="4"/>
  <c r="L775" i="4"/>
  <c r="K775" i="4"/>
  <c r="J775" i="4"/>
  <c r="I775" i="4"/>
  <c r="H775" i="4"/>
  <c r="G775" i="4"/>
  <c r="F775" i="4"/>
  <c r="Q775" i="4" s="1"/>
  <c r="E775" i="4"/>
  <c r="D775" i="4"/>
  <c r="M775" i="4" s="1"/>
  <c r="C775" i="4"/>
  <c r="N775" i="4" s="1"/>
  <c r="B775" i="4"/>
  <c r="A775" i="4"/>
  <c r="L774" i="4"/>
  <c r="K774" i="4"/>
  <c r="J774" i="4"/>
  <c r="I774" i="4"/>
  <c r="H774" i="4"/>
  <c r="G774" i="4"/>
  <c r="F774" i="4"/>
  <c r="Q774" i="4" s="1"/>
  <c r="E774" i="4"/>
  <c r="D774" i="4"/>
  <c r="M774" i="4" s="1"/>
  <c r="C774" i="4"/>
  <c r="N774" i="4" s="1"/>
  <c r="B774" i="4"/>
  <c r="A774" i="4"/>
  <c r="L773" i="4"/>
  <c r="K773" i="4"/>
  <c r="J773" i="4"/>
  <c r="I773" i="4"/>
  <c r="H773" i="4"/>
  <c r="G773" i="4"/>
  <c r="F773" i="4"/>
  <c r="Q773" i="4" s="1"/>
  <c r="E773" i="4"/>
  <c r="D773" i="4"/>
  <c r="M773" i="4" s="1"/>
  <c r="C773" i="4"/>
  <c r="N773" i="4" s="1"/>
  <c r="B773" i="4"/>
  <c r="A773" i="4"/>
  <c r="L772" i="4"/>
  <c r="K772" i="4"/>
  <c r="J772" i="4"/>
  <c r="I772" i="4"/>
  <c r="H772" i="4"/>
  <c r="G772" i="4"/>
  <c r="F772" i="4"/>
  <c r="Q772" i="4" s="1"/>
  <c r="E772" i="4"/>
  <c r="D772" i="4"/>
  <c r="M772" i="4" s="1"/>
  <c r="C772" i="4"/>
  <c r="N772" i="4" s="1"/>
  <c r="B772" i="4"/>
  <c r="A772" i="4"/>
  <c r="L771" i="4"/>
  <c r="K771" i="4"/>
  <c r="J771" i="4"/>
  <c r="I771" i="4"/>
  <c r="H771" i="4"/>
  <c r="G771" i="4"/>
  <c r="F771" i="4"/>
  <c r="Q771" i="4" s="1"/>
  <c r="E771" i="4"/>
  <c r="D771" i="4"/>
  <c r="M771" i="4" s="1"/>
  <c r="C771" i="4"/>
  <c r="N771" i="4" s="1"/>
  <c r="B771" i="4"/>
  <c r="A771" i="4"/>
  <c r="L770" i="4"/>
  <c r="K770" i="4"/>
  <c r="J770" i="4"/>
  <c r="I770" i="4"/>
  <c r="H770" i="4"/>
  <c r="G770" i="4"/>
  <c r="F770" i="4"/>
  <c r="Q770" i="4" s="1"/>
  <c r="E770" i="4"/>
  <c r="D770" i="4"/>
  <c r="M770" i="4" s="1"/>
  <c r="C770" i="4"/>
  <c r="N770" i="4" s="1"/>
  <c r="B770" i="4"/>
  <c r="A770" i="4"/>
  <c r="L769" i="4"/>
  <c r="K769" i="4"/>
  <c r="J769" i="4"/>
  <c r="I769" i="4"/>
  <c r="H769" i="4"/>
  <c r="G769" i="4"/>
  <c r="F769" i="4"/>
  <c r="Q769" i="4" s="1"/>
  <c r="E769" i="4"/>
  <c r="D769" i="4"/>
  <c r="M769" i="4" s="1"/>
  <c r="C769" i="4"/>
  <c r="N769" i="4" s="1"/>
  <c r="B769" i="4"/>
  <c r="A769" i="4"/>
  <c r="L768" i="4"/>
  <c r="K768" i="4"/>
  <c r="J768" i="4"/>
  <c r="I768" i="4"/>
  <c r="H768" i="4"/>
  <c r="G768" i="4"/>
  <c r="F768" i="4"/>
  <c r="Q768" i="4" s="1"/>
  <c r="E768" i="4"/>
  <c r="D768" i="4"/>
  <c r="M768" i="4" s="1"/>
  <c r="C768" i="4"/>
  <c r="N768" i="4" s="1"/>
  <c r="B768" i="4"/>
  <c r="A768" i="4"/>
  <c r="L767" i="4"/>
  <c r="K767" i="4"/>
  <c r="J767" i="4"/>
  <c r="I767" i="4"/>
  <c r="H767" i="4"/>
  <c r="G767" i="4"/>
  <c r="F767" i="4"/>
  <c r="Q767" i="4" s="1"/>
  <c r="E767" i="4"/>
  <c r="D767" i="4"/>
  <c r="M767" i="4" s="1"/>
  <c r="C767" i="4"/>
  <c r="N767" i="4" s="1"/>
  <c r="B767" i="4"/>
  <c r="A767" i="4"/>
  <c r="L766" i="4"/>
  <c r="K766" i="4"/>
  <c r="J766" i="4"/>
  <c r="I766" i="4"/>
  <c r="H766" i="4"/>
  <c r="G766" i="4"/>
  <c r="F766" i="4"/>
  <c r="Q766" i="4" s="1"/>
  <c r="E766" i="4"/>
  <c r="D766" i="4"/>
  <c r="M766" i="4" s="1"/>
  <c r="C766" i="4"/>
  <c r="N766" i="4" s="1"/>
  <c r="B766" i="4"/>
  <c r="A766" i="4"/>
  <c r="L765" i="4"/>
  <c r="K765" i="4"/>
  <c r="J765" i="4"/>
  <c r="I765" i="4"/>
  <c r="H765" i="4"/>
  <c r="G765" i="4"/>
  <c r="F765" i="4"/>
  <c r="Q765" i="4" s="1"/>
  <c r="E765" i="4"/>
  <c r="D765" i="4"/>
  <c r="M765" i="4" s="1"/>
  <c r="C765" i="4"/>
  <c r="N765" i="4" s="1"/>
  <c r="B765" i="4"/>
  <c r="A765" i="4"/>
  <c r="L764" i="4"/>
  <c r="K764" i="4"/>
  <c r="J764" i="4"/>
  <c r="I764" i="4"/>
  <c r="H764" i="4"/>
  <c r="G764" i="4"/>
  <c r="F764" i="4"/>
  <c r="Q764" i="4" s="1"/>
  <c r="E764" i="4"/>
  <c r="D764" i="4"/>
  <c r="M764" i="4" s="1"/>
  <c r="C764" i="4"/>
  <c r="N764" i="4" s="1"/>
  <c r="B764" i="4"/>
  <c r="A764" i="4"/>
  <c r="L763" i="4"/>
  <c r="K763" i="4"/>
  <c r="J763" i="4"/>
  <c r="I763" i="4"/>
  <c r="H763" i="4"/>
  <c r="G763" i="4"/>
  <c r="F763" i="4"/>
  <c r="Q763" i="4" s="1"/>
  <c r="E763" i="4"/>
  <c r="D763" i="4"/>
  <c r="M763" i="4" s="1"/>
  <c r="C763" i="4"/>
  <c r="N763" i="4" s="1"/>
  <c r="B763" i="4"/>
  <c r="A763" i="4"/>
  <c r="L762" i="4"/>
  <c r="K762" i="4"/>
  <c r="J762" i="4"/>
  <c r="I762" i="4"/>
  <c r="H762" i="4"/>
  <c r="G762" i="4"/>
  <c r="F762" i="4"/>
  <c r="Q762" i="4" s="1"/>
  <c r="E762" i="4"/>
  <c r="D762" i="4"/>
  <c r="M762" i="4" s="1"/>
  <c r="C762" i="4"/>
  <c r="N762" i="4" s="1"/>
  <c r="B762" i="4"/>
  <c r="A762" i="4"/>
  <c r="L761" i="4"/>
  <c r="K761" i="4"/>
  <c r="J761" i="4"/>
  <c r="I761" i="4"/>
  <c r="H761" i="4"/>
  <c r="G761" i="4"/>
  <c r="F761" i="4"/>
  <c r="Q761" i="4" s="1"/>
  <c r="E761" i="4"/>
  <c r="D761" i="4"/>
  <c r="M761" i="4" s="1"/>
  <c r="C761" i="4"/>
  <c r="N761" i="4" s="1"/>
  <c r="B761" i="4"/>
  <c r="A761" i="4"/>
  <c r="L760" i="4"/>
  <c r="K760" i="4"/>
  <c r="J760" i="4"/>
  <c r="I760" i="4"/>
  <c r="H760" i="4"/>
  <c r="G760" i="4"/>
  <c r="F760" i="4"/>
  <c r="Q760" i="4" s="1"/>
  <c r="E760" i="4"/>
  <c r="D760" i="4"/>
  <c r="M760" i="4" s="1"/>
  <c r="C760" i="4"/>
  <c r="N760" i="4" s="1"/>
  <c r="B760" i="4"/>
  <c r="A760" i="4"/>
  <c r="L759" i="4"/>
  <c r="K759" i="4"/>
  <c r="J759" i="4"/>
  <c r="I759" i="4"/>
  <c r="H759" i="4"/>
  <c r="G759" i="4"/>
  <c r="F759" i="4"/>
  <c r="Q759" i="4" s="1"/>
  <c r="E759" i="4"/>
  <c r="D759" i="4"/>
  <c r="M759" i="4" s="1"/>
  <c r="C759" i="4"/>
  <c r="N759" i="4" s="1"/>
  <c r="B759" i="4"/>
  <c r="A759" i="4"/>
  <c r="L758" i="4"/>
  <c r="K758" i="4"/>
  <c r="J758" i="4"/>
  <c r="I758" i="4"/>
  <c r="H758" i="4"/>
  <c r="G758" i="4"/>
  <c r="F758" i="4"/>
  <c r="Q758" i="4" s="1"/>
  <c r="E758" i="4"/>
  <c r="D758" i="4"/>
  <c r="M758" i="4" s="1"/>
  <c r="C758" i="4"/>
  <c r="N758" i="4" s="1"/>
  <c r="B758" i="4"/>
  <c r="A758" i="4"/>
  <c r="L757" i="4"/>
  <c r="K757" i="4"/>
  <c r="J757" i="4"/>
  <c r="I757" i="4"/>
  <c r="H757" i="4"/>
  <c r="G757" i="4"/>
  <c r="F757" i="4"/>
  <c r="Q757" i="4" s="1"/>
  <c r="E757" i="4"/>
  <c r="D757" i="4"/>
  <c r="M757" i="4" s="1"/>
  <c r="C757" i="4"/>
  <c r="N757" i="4" s="1"/>
  <c r="B757" i="4"/>
  <c r="A757" i="4"/>
  <c r="L756" i="4"/>
  <c r="K756" i="4"/>
  <c r="J756" i="4"/>
  <c r="I756" i="4"/>
  <c r="H756" i="4"/>
  <c r="G756" i="4"/>
  <c r="F756" i="4"/>
  <c r="Q756" i="4" s="1"/>
  <c r="E756" i="4"/>
  <c r="D756" i="4"/>
  <c r="M756" i="4" s="1"/>
  <c r="C756" i="4"/>
  <c r="N756" i="4" s="1"/>
  <c r="B756" i="4"/>
  <c r="A756" i="4"/>
  <c r="L755" i="4"/>
  <c r="K755" i="4"/>
  <c r="J755" i="4"/>
  <c r="I755" i="4"/>
  <c r="H755" i="4"/>
  <c r="G755" i="4"/>
  <c r="F755" i="4"/>
  <c r="Q755" i="4" s="1"/>
  <c r="E755" i="4"/>
  <c r="D755" i="4"/>
  <c r="M755" i="4" s="1"/>
  <c r="C755" i="4"/>
  <c r="N755" i="4" s="1"/>
  <c r="B755" i="4"/>
  <c r="A755" i="4"/>
  <c r="L754" i="4"/>
  <c r="K754" i="4"/>
  <c r="J754" i="4"/>
  <c r="I754" i="4"/>
  <c r="H754" i="4"/>
  <c r="G754" i="4"/>
  <c r="F754" i="4"/>
  <c r="Q754" i="4" s="1"/>
  <c r="E754" i="4"/>
  <c r="D754" i="4"/>
  <c r="M754" i="4" s="1"/>
  <c r="C754" i="4"/>
  <c r="N754" i="4" s="1"/>
  <c r="B754" i="4"/>
  <c r="A754" i="4"/>
  <c r="L753" i="4"/>
  <c r="K753" i="4"/>
  <c r="J753" i="4"/>
  <c r="I753" i="4"/>
  <c r="H753" i="4"/>
  <c r="G753" i="4"/>
  <c r="F753" i="4"/>
  <c r="Q753" i="4" s="1"/>
  <c r="E753" i="4"/>
  <c r="D753" i="4"/>
  <c r="M753" i="4" s="1"/>
  <c r="C753" i="4"/>
  <c r="N753" i="4" s="1"/>
  <c r="B753" i="4"/>
  <c r="A753" i="4"/>
  <c r="L752" i="4"/>
  <c r="K752" i="4"/>
  <c r="J752" i="4"/>
  <c r="I752" i="4"/>
  <c r="H752" i="4"/>
  <c r="G752" i="4"/>
  <c r="F752" i="4"/>
  <c r="Q752" i="4" s="1"/>
  <c r="E752" i="4"/>
  <c r="D752" i="4"/>
  <c r="M752" i="4" s="1"/>
  <c r="C752" i="4"/>
  <c r="N752" i="4" s="1"/>
  <c r="B752" i="4"/>
  <c r="A752" i="4"/>
  <c r="L751" i="4"/>
  <c r="K751" i="4"/>
  <c r="J751" i="4"/>
  <c r="I751" i="4"/>
  <c r="H751" i="4"/>
  <c r="G751" i="4"/>
  <c r="F751" i="4"/>
  <c r="Q751" i="4" s="1"/>
  <c r="E751" i="4"/>
  <c r="D751" i="4"/>
  <c r="M751" i="4" s="1"/>
  <c r="C751" i="4"/>
  <c r="N751" i="4" s="1"/>
  <c r="B751" i="4"/>
  <c r="A751" i="4"/>
  <c r="L750" i="4"/>
  <c r="K750" i="4"/>
  <c r="J750" i="4"/>
  <c r="I750" i="4"/>
  <c r="H750" i="4"/>
  <c r="G750" i="4"/>
  <c r="F750" i="4"/>
  <c r="Q750" i="4" s="1"/>
  <c r="E750" i="4"/>
  <c r="D750" i="4"/>
  <c r="M750" i="4" s="1"/>
  <c r="C750" i="4"/>
  <c r="N750" i="4" s="1"/>
  <c r="B750" i="4"/>
  <c r="A750" i="4"/>
  <c r="L749" i="4"/>
  <c r="K749" i="4"/>
  <c r="J749" i="4"/>
  <c r="I749" i="4"/>
  <c r="H749" i="4"/>
  <c r="G749" i="4"/>
  <c r="F749" i="4"/>
  <c r="Q749" i="4" s="1"/>
  <c r="E749" i="4"/>
  <c r="D749" i="4"/>
  <c r="C749" i="4"/>
  <c r="N749" i="4" s="1"/>
  <c r="B749" i="4"/>
  <c r="A749" i="4"/>
  <c r="L748" i="4"/>
  <c r="K748" i="4"/>
  <c r="J748" i="4"/>
  <c r="I748" i="4"/>
  <c r="H748" i="4"/>
  <c r="G748" i="4"/>
  <c r="F748" i="4"/>
  <c r="Q748" i="4" s="1"/>
  <c r="E748" i="4"/>
  <c r="D748" i="4"/>
  <c r="C748" i="4"/>
  <c r="B748" i="4"/>
  <c r="A748" i="4"/>
  <c r="B8" i="1" s="1"/>
  <c r="Q747" i="4"/>
  <c r="P747" i="4"/>
  <c r="N747" i="4"/>
  <c r="L747" i="4"/>
  <c r="K747" i="4"/>
  <c r="J747" i="4"/>
  <c r="I747" i="4"/>
  <c r="H747" i="4"/>
  <c r="G747" i="4"/>
  <c r="F747" i="4"/>
  <c r="E747" i="4"/>
  <c r="D747" i="4"/>
  <c r="C747" i="4"/>
  <c r="B747" i="4"/>
  <c r="A747" i="4"/>
  <c r="L746" i="4"/>
  <c r="K746" i="4"/>
  <c r="J746" i="4"/>
  <c r="I746" i="4"/>
  <c r="H746" i="4"/>
  <c r="G746" i="4"/>
  <c r="F746" i="4"/>
  <c r="Q746" i="4" s="1"/>
  <c r="E746" i="4"/>
  <c r="D746" i="4"/>
  <c r="M746" i="4" s="1"/>
  <c r="C746" i="4"/>
  <c r="N746" i="4" s="1"/>
  <c r="B746" i="4"/>
  <c r="A746" i="4"/>
  <c r="L745" i="4"/>
  <c r="K745" i="4"/>
  <c r="J745" i="4"/>
  <c r="I745" i="4"/>
  <c r="H745" i="4"/>
  <c r="G745" i="4"/>
  <c r="F745" i="4"/>
  <c r="Q745" i="4" s="1"/>
  <c r="E745" i="4"/>
  <c r="D745" i="4"/>
  <c r="M745" i="4" s="1"/>
  <c r="C745" i="4"/>
  <c r="N745" i="4" s="1"/>
  <c r="B745" i="4"/>
  <c r="A745" i="4"/>
  <c r="L744" i="4"/>
  <c r="K744" i="4"/>
  <c r="J744" i="4"/>
  <c r="I744" i="4"/>
  <c r="H744" i="4"/>
  <c r="G744" i="4"/>
  <c r="F744" i="4"/>
  <c r="Q744" i="4" s="1"/>
  <c r="E744" i="4"/>
  <c r="D744" i="4"/>
  <c r="M744" i="4" s="1"/>
  <c r="C744" i="4"/>
  <c r="N744" i="4" s="1"/>
  <c r="B744" i="4"/>
  <c r="A744" i="4"/>
  <c r="L743" i="4"/>
  <c r="K743" i="4"/>
  <c r="J743" i="4"/>
  <c r="I743" i="4"/>
  <c r="H743" i="4"/>
  <c r="G743" i="4"/>
  <c r="F743" i="4"/>
  <c r="Q743" i="4" s="1"/>
  <c r="E743" i="4"/>
  <c r="D743" i="4"/>
  <c r="M743" i="4" s="1"/>
  <c r="C743" i="4"/>
  <c r="N743" i="4" s="1"/>
  <c r="B743" i="4"/>
  <c r="A743" i="4"/>
  <c r="L742" i="4"/>
  <c r="K742" i="4"/>
  <c r="J742" i="4"/>
  <c r="I742" i="4"/>
  <c r="H742" i="4"/>
  <c r="G742" i="4"/>
  <c r="F742" i="4"/>
  <c r="Q742" i="4" s="1"/>
  <c r="E742" i="4"/>
  <c r="D742" i="4"/>
  <c r="C742" i="4"/>
  <c r="N742" i="4" s="1"/>
  <c r="B742" i="4"/>
  <c r="A742" i="4"/>
  <c r="L741" i="4"/>
  <c r="K741" i="4"/>
  <c r="J741" i="4"/>
  <c r="I741" i="4"/>
  <c r="H741" i="4"/>
  <c r="G741" i="4"/>
  <c r="F741" i="4"/>
  <c r="Q741" i="4" s="1"/>
  <c r="E741" i="4"/>
  <c r="D741" i="4"/>
  <c r="M741" i="4" s="1"/>
  <c r="C741" i="4"/>
  <c r="N741" i="4" s="1"/>
  <c r="B741" i="4"/>
  <c r="A741" i="4"/>
  <c r="L740" i="4"/>
  <c r="K740" i="4"/>
  <c r="J740" i="4"/>
  <c r="I740" i="4"/>
  <c r="H740" i="4"/>
  <c r="G740" i="4"/>
  <c r="F740" i="4"/>
  <c r="Q740" i="4" s="1"/>
  <c r="E740" i="4"/>
  <c r="D740" i="4"/>
  <c r="M740" i="4" s="1"/>
  <c r="C740" i="4"/>
  <c r="N740" i="4" s="1"/>
  <c r="B740" i="4"/>
  <c r="A740" i="4"/>
  <c r="L739" i="4"/>
  <c r="K739" i="4"/>
  <c r="J739" i="4"/>
  <c r="I739" i="4"/>
  <c r="H739" i="4"/>
  <c r="G739" i="4"/>
  <c r="F739" i="4"/>
  <c r="Q739" i="4" s="1"/>
  <c r="E739" i="4"/>
  <c r="D739" i="4"/>
  <c r="C739" i="4"/>
  <c r="N739" i="4" s="1"/>
  <c r="B739" i="4"/>
  <c r="A739" i="4"/>
  <c r="L738" i="4"/>
  <c r="K738" i="4"/>
  <c r="J738" i="4"/>
  <c r="I738" i="4"/>
  <c r="H738" i="4"/>
  <c r="G738" i="4"/>
  <c r="F738" i="4"/>
  <c r="Q738" i="4" s="1"/>
  <c r="E738" i="4"/>
  <c r="D738" i="4"/>
  <c r="M738" i="4" s="1"/>
  <c r="C738" i="4"/>
  <c r="N738" i="4" s="1"/>
  <c r="B738" i="4"/>
  <c r="A738" i="4"/>
  <c r="L737" i="4"/>
  <c r="K737" i="4"/>
  <c r="J737" i="4"/>
  <c r="I737" i="4"/>
  <c r="H737" i="4"/>
  <c r="G737" i="4"/>
  <c r="F737" i="4"/>
  <c r="Q737" i="4" s="1"/>
  <c r="E737" i="4"/>
  <c r="D737" i="4"/>
  <c r="M737" i="4" s="1"/>
  <c r="C737" i="4"/>
  <c r="N737" i="4" s="1"/>
  <c r="B737" i="4"/>
  <c r="A737" i="4"/>
  <c r="L736" i="4"/>
  <c r="K736" i="4"/>
  <c r="J736" i="4"/>
  <c r="I736" i="4"/>
  <c r="H736" i="4"/>
  <c r="G736" i="4"/>
  <c r="F736" i="4"/>
  <c r="Q736" i="4" s="1"/>
  <c r="E736" i="4"/>
  <c r="D736" i="4"/>
  <c r="M736" i="4" s="1"/>
  <c r="C736" i="4"/>
  <c r="N736" i="4" s="1"/>
  <c r="B736" i="4"/>
  <c r="A736" i="4"/>
  <c r="L735" i="4"/>
  <c r="K735" i="4"/>
  <c r="J735" i="4"/>
  <c r="I735" i="4"/>
  <c r="H735" i="4"/>
  <c r="G735" i="4"/>
  <c r="F735" i="4"/>
  <c r="Q735" i="4" s="1"/>
  <c r="E735" i="4"/>
  <c r="D735" i="4"/>
  <c r="M735" i="4" s="1"/>
  <c r="C735" i="4"/>
  <c r="N735" i="4" s="1"/>
  <c r="B735" i="4"/>
  <c r="A735" i="4"/>
  <c r="L734" i="4"/>
  <c r="K734" i="4"/>
  <c r="J734" i="4"/>
  <c r="I734" i="4"/>
  <c r="H734" i="4"/>
  <c r="G734" i="4"/>
  <c r="F734" i="4"/>
  <c r="Q734" i="4" s="1"/>
  <c r="E734" i="4"/>
  <c r="D734" i="4"/>
  <c r="M734" i="4" s="1"/>
  <c r="C734" i="4"/>
  <c r="N734" i="4" s="1"/>
  <c r="B734" i="4"/>
  <c r="A734" i="4"/>
  <c r="L733" i="4"/>
  <c r="K733" i="4"/>
  <c r="J733" i="4"/>
  <c r="I733" i="4"/>
  <c r="H733" i="4"/>
  <c r="G733" i="4"/>
  <c r="F733" i="4"/>
  <c r="Q733" i="4" s="1"/>
  <c r="E733" i="4"/>
  <c r="D733" i="4"/>
  <c r="M733" i="4" s="1"/>
  <c r="C733" i="4"/>
  <c r="N733" i="4" s="1"/>
  <c r="B733" i="4"/>
  <c r="A733" i="4"/>
  <c r="L732" i="4"/>
  <c r="K732" i="4"/>
  <c r="J732" i="4"/>
  <c r="I732" i="4"/>
  <c r="H732" i="4"/>
  <c r="G732" i="4"/>
  <c r="F732" i="4"/>
  <c r="Q732" i="4" s="1"/>
  <c r="E732" i="4"/>
  <c r="D732" i="4"/>
  <c r="M732" i="4" s="1"/>
  <c r="C732" i="4"/>
  <c r="N732" i="4" s="1"/>
  <c r="B732" i="4"/>
  <c r="A732" i="4"/>
  <c r="L731" i="4"/>
  <c r="K731" i="4"/>
  <c r="J731" i="4"/>
  <c r="I731" i="4"/>
  <c r="H731" i="4"/>
  <c r="G731" i="4"/>
  <c r="F731" i="4"/>
  <c r="Q731" i="4" s="1"/>
  <c r="E731" i="4"/>
  <c r="D731" i="4"/>
  <c r="M731" i="4" s="1"/>
  <c r="C731" i="4"/>
  <c r="N731" i="4" s="1"/>
  <c r="B731" i="4"/>
  <c r="A731" i="4"/>
  <c r="L730" i="4"/>
  <c r="K730" i="4"/>
  <c r="J730" i="4"/>
  <c r="I730" i="4"/>
  <c r="H730" i="4"/>
  <c r="G730" i="4"/>
  <c r="F730" i="4"/>
  <c r="Q730" i="4" s="1"/>
  <c r="E730" i="4"/>
  <c r="D730" i="4"/>
  <c r="M730" i="4" s="1"/>
  <c r="C730" i="4"/>
  <c r="N730" i="4" s="1"/>
  <c r="B730" i="4"/>
  <c r="A730" i="4"/>
  <c r="L729" i="4"/>
  <c r="K729" i="4"/>
  <c r="J729" i="4"/>
  <c r="I729" i="4"/>
  <c r="H729" i="4"/>
  <c r="G729" i="4"/>
  <c r="F729" i="4"/>
  <c r="Q729" i="4" s="1"/>
  <c r="E729" i="4"/>
  <c r="D729" i="4"/>
  <c r="M729" i="4" s="1"/>
  <c r="C729" i="4"/>
  <c r="N729" i="4" s="1"/>
  <c r="B729" i="4"/>
  <c r="A729" i="4"/>
  <c r="L728" i="4"/>
  <c r="K728" i="4"/>
  <c r="J728" i="4"/>
  <c r="I728" i="4"/>
  <c r="H728" i="4"/>
  <c r="G728" i="4"/>
  <c r="F728" i="4"/>
  <c r="Q728" i="4" s="1"/>
  <c r="E728" i="4"/>
  <c r="D728" i="4"/>
  <c r="M728" i="4" s="1"/>
  <c r="C728" i="4"/>
  <c r="N728" i="4" s="1"/>
  <c r="B728" i="4"/>
  <c r="A728" i="4"/>
  <c r="L727" i="4"/>
  <c r="K727" i="4"/>
  <c r="J727" i="4"/>
  <c r="I727" i="4"/>
  <c r="H727" i="4"/>
  <c r="G727" i="4"/>
  <c r="F727" i="4"/>
  <c r="Q727" i="4" s="1"/>
  <c r="E727" i="4"/>
  <c r="D727" i="4"/>
  <c r="M727" i="4" s="1"/>
  <c r="C727" i="4"/>
  <c r="N727" i="4" s="1"/>
  <c r="B727" i="4"/>
  <c r="A727" i="4"/>
  <c r="L726" i="4"/>
  <c r="K726" i="4"/>
  <c r="J726" i="4"/>
  <c r="I726" i="4"/>
  <c r="H726" i="4"/>
  <c r="G726" i="4"/>
  <c r="F726" i="4"/>
  <c r="Q726" i="4" s="1"/>
  <c r="E726" i="4"/>
  <c r="D726" i="4"/>
  <c r="M726" i="4" s="1"/>
  <c r="C726" i="4"/>
  <c r="N726" i="4" s="1"/>
  <c r="B726" i="4"/>
  <c r="A726" i="4"/>
  <c r="L725" i="4"/>
  <c r="K725" i="4"/>
  <c r="J725" i="4"/>
  <c r="I725" i="4"/>
  <c r="H725" i="4"/>
  <c r="G725" i="4"/>
  <c r="F725" i="4"/>
  <c r="Q725" i="4" s="1"/>
  <c r="E725" i="4"/>
  <c r="D725" i="4"/>
  <c r="M725" i="4" s="1"/>
  <c r="C725" i="4"/>
  <c r="N725" i="4" s="1"/>
  <c r="B725" i="4"/>
  <c r="A725" i="4"/>
  <c r="L724" i="4"/>
  <c r="K724" i="4"/>
  <c r="J724" i="4"/>
  <c r="I724" i="4"/>
  <c r="H724" i="4"/>
  <c r="G724" i="4"/>
  <c r="F724" i="4"/>
  <c r="Q724" i="4" s="1"/>
  <c r="E724" i="4"/>
  <c r="D724" i="4"/>
  <c r="M724" i="4" s="1"/>
  <c r="C724" i="4"/>
  <c r="N724" i="4" s="1"/>
  <c r="B724" i="4"/>
  <c r="A724" i="4"/>
  <c r="L723" i="4"/>
  <c r="K723" i="4"/>
  <c r="J723" i="4"/>
  <c r="I723" i="4"/>
  <c r="H723" i="4"/>
  <c r="G723" i="4"/>
  <c r="F723" i="4"/>
  <c r="Q723" i="4" s="1"/>
  <c r="E723" i="4"/>
  <c r="D723" i="4"/>
  <c r="M723" i="4" s="1"/>
  <c r="C723" i="4"/>
  <c r="N723" i="4" s="1"/>
  <c r="B723" i="4"/>
  <c r="A723" i="4"/>
  <c r="L722" i="4"/>
  <c r="K722" i="4"/>
  <c r="J722" i="4"/>
  <c r="I722" i="4"/>
  <c r="H722" i="4"/>
  <c r="G722" i="4"/>
  <c r="F722" i="4"/>
  <c r="Q722" i="4" s="1"/>
  <c r="E722" i="4"/>
  <c r="D722" i="4"/>
  <c r="M722" i="4" s="1"/>
  <c r="C722" i="4"/>
  <c r="N722" i="4" s="1"/>
  <c r="B722" i="4"/>
  <c r="A722" i="4"/>
  <c r="L721" i="4"/>
  <c r="K721" i="4"/>
  <c r="J721" i="4"/>
  <c r="I721" i="4"/>
  <c r="H721" i="4"/>
  <c r="G721" i="4"/>
  <c r="F721" i="4"/>
  <c r="Q721" i="4" s="1"/>
  <c r="E721" i="4"/>
  <c r="D721" i="4"/>
  <c r="M721" i="4" s="1"/>
  <c r="C721" i="4"/>
  <c r="N721" i="4" s="1"/>
  <c r="B721" i="4"/>
  <c r="A721" i="4"/>
  <c r="L720" i="4"/>
  <c r="K720" i="4"/>
  <c r="J720" i="4"/>
  <c r="I720" i="4"/>
  <c r="H720" i="4"/>
  <c r="G720" i="4"/>
  <c r="F720" i="4"/>
  <c r="Q720" i="4" s="1"/>
  <c r="E720" i="4"/>
  <c r="D720" i="4"/>
  <c r="M720" i="4" s="1"/>
  <c r="C720" i="4"/>
  <c r="N720" i="4" s="1"/>
  <c r="B720" i="4"/>
  <c r="A720" i="4"/>
  <c r="L719" i="4"/>
  <c r="K719" i="4"/>
  <c r="J719" i="4"/>
  <c r="I719" i="4"/>
  <c r="H719" i="4"/>
  <c r="G719" i="4"/>
  <c r="F719" i="4"/>
  <c r="Q719" i="4" s="1"/>
  <c r="E719" i="4"/>
  <c r="D719" i="4"/>
  <c r="M719" i="4" s="1"/>
  <c r="C719" i="4"/>
  <c r="N719" i="4" s="1"/>
  <c r="B719" i="4"/>
  <c r="A719" i="4"/>
  <c r="L718" i="4"/>
  <c r="K718" i="4"/>
  <c r="J718" i="4"/>
  <c r="I718" i="4"/>
  <c r="H718" i="4"/>
  <c r="G718" i="4"/>
  <c r="F718" i="4"/>
  <c r="Q718" i="4" s="1"/>
  <c r="E718" i="4"/>
  <c r="D718" i="4"/>
  <c r="C718" i="4"/>
  <c r="N718" i="4" s="1"/>
  <c r="B718" i="4"/>
  <c r="A718" i="4"/>
  <c r="L717" i="4"/>
  <c r="K717" i="4"/>
  <c r="J717" i="4"/>
  <c r="I717" i="4"/>
  <c r="H717" i="4"/>
  <c r="G717" i="4"/>
  <c r="F717" i="4"/>
  <c r="Q717" i="4" s="1"/>
  <c r="E717" i="4"/>
  <c r="D717" i="4"/>
  <c r="C717" i="4"/>
  <c r="N717" i="4" s="1"/>
  <c r="B717" i="4"/>
  <c r="A717" i="4"/>
  <c r="L716" i="4"/>
  <c r="K716" i="4"/>
  <c r="J716" i="4"/>
  <c r="I716" i="4"/>
  <c r="H716" i="4"/>
  <c r="G716" i="4"/>
  <c r="F716" i="4"/>
  <c r="Q716" i="4" s="1"/>
  <c r="E716" i="4"/>
  <c r="D716" i="4"/>
  <c r="C716" i="4"/>
  <c r="N716" i="4" s="1"/>
  <c r="B716" i="4"/>
  <c r="A716" i="4"/>
  <c r="L715" i="4"/>
  <c r="K715" i="4"/>
  <c r="J715" i="4"/>
  <c r="I715" i="4"/>
  <c r="H715" i="4"/>
  <c r="G715" i="4"/>
  <c r="F715" i="4"/>
  <c r="Q715" i="4" s="1"/>
  <c r="E715" i="4"/>
  <c r="D715" i="4"/>
  <c r="C715" i="4"/>
  <c r="N715" i="4" s="1"/>
  <c r="B715" i="4"/>
  <c r="A715" i="4"/>
  <c r="L714" i="4"/>
  <c r="K714" i="4"/>
  <c r="J714" i="4"/>
  <c r="I714" i="4"/>
  <c r="H714" i="4"/>
  <c r="G714" i="4"/>
  <c r="F714" i="4"/>
  <c r="Q714" i="4" s="1"/>
  <c r="E714" i="4"/>
  <c r="D714" i="4"/>
  <c r="C714" i="4"/>
  <c r="N714" i="4" s="1"/>
  <c r="B714" i="4"/>
  <c r="A714" i="4"/>
  <c r="L713" i="4"/>
  <c r="K713" i="4"/>
  <c r="J713" i="4"/>
  <c r="I713" i="4"/>
  <c r="H713" i="4"/>
  <c r="G713" i="4"/>
  <c r="F713" i="4"/>
  <c r="Q713" i="4" s="1"/>
  <c r="E713" i="4"/>
  <c r="D713" i="4"/>
  <c r="C713" i="4"/>
  <c r="N713" i="4" s="1"/>
  <c r="B713" i="4"/>
  <c r="A713" i="4"/>
  <c r="L712" i="4"/>
  <c r="K712" i="4"/>
  <c r="J712" i="4"/>
  <c r="I712" i="4"/>
  <c r="H712" i="4"/>
  <c r="G712" i="4"/>
  <c r="F712" i="4"/>
  <c r="Q712" i="4" s="1"/>
  <c r="E712" i="4"/>
  <c r="D712" i="4"/>
  <c r="C712" i="4"/>
  <c r="N712" i="4" s="1"/>
  <c r="B712" i="4"/>
  <c r="A712" i="4"/>
  <c r="L711" i="4"/>
  <c r="K711" i="4"/>
  <c r="J711" i="4"/>
  <c r="I711" i="4"/>
  <c r="H711" i="4"/>
  <c r="G711" i="4"/>
  <c r="F711" i="4"/>
  <c r="Q711" i="4" s="1"/>
  <c r="E711" i="4"/>
  <c r="D711" i="4"/>
  <c r="C711" i="4"/>
  <c r="N711" i="4" s="1"/>
  <c r="B711" i="4"/>
  <c r="A711" i="4"/>
  <c r="L710" i="4"/>
  <c r="K710" i="4"/>
  <c r="J710" i="4"/>
  <c r="I710" i="4"/>
  <c r="H710" i="4"/>
  <c r="G710" i="4"/>
  <c r="F710" i="4"/>
  <c r="Q710" i="4" s="1"/>
  <c r="E710" i="4"/>
  <c r="D710" i="4"/>
  <c r="C710" i="4"/>
  <c r="N710" i="4" s="1"/>
  <c r="B710" i="4"/>
  <c r="A710" i="4"/>
  <c r="L709" i="4"/>
  <c r="K709" i="4"/>
  <c r="J709" i="4"/>
  <c r="I709" i="4"/>
  <c r="H709" i="4"/>
  <c r="G709" i="4"/>
  <c r="F709" i="4"/>
  <c r="Q709" i="4" s="1"/>
  <c r="E709" i="4"/>
  <c r="D709" i="4"/>
  <c r="M709" i="4" s="1"/>
  <c r="C709" i="4"/>
  <c r="N709" i="4" s="1"/>
  <c r="B709" i="4"/>
  <c r="A709" i="4"/>
  <c r="L708" i="4"/>
  <c r="K708" i="4"/>
  <c r="J708" i="4"/>
  <c r="I708" i="4"/>
  <c r="H708" i="4"/>
  <c r="G708" i="4"/>
  <c r="F708" i="4"/>
  <c r="Q708" i="4" s="1"/>
  <c r="E708" i="4"/>
  <c r="D708" i="4"/>
  <c r="C708" i="4"/>
  <c r="N708" i="4" s="1"/>
  <c r="B708" i="4"/>
  <c r="A708" i="4"/>
  <c r="L707" i="4"/>
  <c r="K707" i="4"/>
  <c r="J707" i="4"/>
  <c r="I707" i="4"/>
  <c r="H707" i="4"/>
  <c r="G707" i="4"/>
  <c r="F707" i="4"/>
  <c r="Q707" i="4" s="1"/>
  <c r="E707" i="4"/>
  <c r="D707" i="4"/>
  <c r="C707" i="4"/>
  <c r="N707" i="4" s="1"/>
  <c r="B707" i="4"/>
  <c r="A707" i="4"/>
  <c r="L706" i="4"/>
  <c r="K706" i="4"/>
  <c r="J706" i="4"/>
  <c r="I706" i="4"/>
  <c r="H706" i="4"/>
  <c r="G706" i="4"/>
  <c r="F706" i="4"/>
  <c r="Q706" i="4" s="1"/>
  <c r="E706" i="4"/>
  <c r="D706" i="4"/>
  <c r="C706" i="4"/>
  <c r="N706" i="4" s="1"/>
  <c r="B706" i="4"/>
  <c r="A706" i="4"/>
  <c r="L705" i="4"/>
  <c r="K705" i="4"/>
  <c r="J705" i="4"/>
  <c r="I705" i="4"/>
  <c r="H705" i="4"/>
  <c r="G705" i="4"/>
  <c r="F705" i="4"/>
  <c r="Q705" i="4" s="1"/>
  <c r="E705" i="4"/>
  <c r="D705" i="4"/>
  <c r="C705" i="4"/>
  <c r="N705" i="4" s="1"/>
  <c r="B705" i="4"/>
  <c r="A705" i="4"/>
  <c r="L704" i="4"/>
  <c r="K704" i="4"/>
  <c r="J704" i="4"/>
  <c r="I704" i="4"/>
  <c r="H704" i="4"/>
  <c r="G704" i="4"/>
  <c r="F704" i="4"/>
  <c r="Q704" i="4" s="1"/>
  <c r="E704" i="4"/>
  <c r="D704" i="4"/>
  <c r="C704" i="4"/>
  <c r="N704" i="4" s="1"/>
  <c r="B704" i="4"/>
  <c r="A704" i="4"/>
  <c r="L703" i="4"/>
  <c r="K703" i="4"/>
  <c r="J703" i="4"/>
  <c r="I703" i="4"/>
  <c r="H703" i="4"/>
  <c r="G703" i="4"/>
  <c r="F703" i="4"/>
  <c r="Q703" i="4" s="1"/>
  <c r="E703" i="4"/>
  <c r="D703" i="4"/>
  <c r="C703" i="4"/>
  <c r="N703" i="4" s="1"/>
  <c r="B703" i="4"/>
  <c r="A703" i="4"/>
  <c r="L702" i="4"/>
  <c r="K702" i="4"/>
  <c r="J702" i="4"/>
  <c r="I702" i="4"/>
  <c r="H702" i="4"/>
  <c r="G702" i="4"/>
  <c r="F702" i="4"/>
  <c r="Q702" i="4" s="1"/>
  <c r="E702" i="4"/>
  <c r="D702" i="4"/>
  <c r="C702" i="4"/>
  <c r="N702" i="4" s="1"/>
  <c r="B702" i="4"/>
  <c r="A702" i="4"/>
  <c r="L701" i="4"/>
  <c r="K701" i="4"/>
  <c r="J701" i="4"/>
  <c r="I701" i="4"/>
  <c r="H701" i="4"/>
  <c r="G701" i="4"/>
  <c r="F701" i="4"/>
  <c r="Q701" i="4" s="1"/>
  <c r="E701" i="4"/>
  <c r="D701" i="4"/>
  <c r="M701" i="4" s="1"/>
  <c r="C701" i="4"/>
  <c r="N701" i="4" s="1"/>
  <c r="B701" i="4"/>
  <c r="A701" i="4"/>
  <c r="L700" i="4"/>
  <c r="K700" i="4"/>
  <c r="J700" i="4"/>
  <c r="I700" i="4"/>
  <c r="H700" i="4"/>
  <c r="G700" i="4"/>
  <c r="F700" i="4"/>
  <c r="Q700" i="4" s="1"/>
  <c r="E700" i="4"/>
  <c r="D700" i="4"/>
  <c r="C700" i="4"/>
  <c r="N700" i="4" s="1"/>
  <c r="B700" i="4"/>
  <c r="A700" i="4"/>
  <c r="L699" i="4"/>
  <c r="K699" i="4"/>
  <c r="J699" i="4"/>
  <c r="I699" i="4"/>
  <c r="H699" i="4"/>
  <c r="G699" i="4"/>
  <c r="F699" i="4"/>
  <c r="Q699" i="4" s="1"/>
  <c r="E699" i="4"/>
  <c r="D699" i="4"/>
  <c r="C699" i="4"/>
  <c r="N699" i="4" s="1"/>
  <c r="B699" i="4"/>
  <c r="A699" i="4"/>
  <c r="L698" i="4"/>
  <c r="K698" i="4"/>
  <c r="J698" i="4"/>
  <c r="I698" i="4"/>
  <c r="H698" i="4"/>
  <c r="G698" i="4"/>
  <c r="F698" i="4"/>
  <c r="Q698" i="4" s="1"/>
  <c r="E698" i="4"/>
  <c r="D698" i="4"/>
  <c r="C698" i="4"/>
  <c r="N698" i="4" s="1"/>
  <c r="B698" i="4"/>
  <c r="A698" i="4"/>
  <c r="L697" i="4"/>
  <c r="K697" i="4"/>
  <c r="J697" i="4"/>
  <c r="I697" i="4"/>
  <c r="H697" i="4"/>
  <c r="G697" i="4"/>
  <c r="F697" i="4"/>
  <c r="Q697" i="4" s="1"/>
  <c r="E697" i="4"/>
  <c r="D697" i="4"/>
  <c r="C697" i="4"/>
  <c r="N697" i="4" s="1"/>
  <c r="B697" i="4"/>
  <c r="A697" i="4"/>
  <c r="L696" i="4"/>
  <c r="K696" i="4"/>
  <c r="J696" i="4"/>
  <c r="I696" i="4"/>
  <c r="H696" i="4"/>
  <c r="G696" i="4"/>
  <c r="F696" i="4"/>
  <c r="Q696" i="4" s="1"/>
  <c r="E696" i="4"/>
  <c r="D696" i="4"/>
  <c r="C696" i="4"/>
  <c r="N696" i="4" s="1"/>
  <c r="B696" i="4"/>
  <c r="A696" i="4"/>
  <c r="L695" i="4"/>
  <c r="K695" i="4"/>
  <c r="J695" i="4"/>
  <c r="I695" i="4"/>
  <c r="H695" i="4"/>
  <c r="G695" i="4"/>
  <c r="F695" i="4"/>
  <c r="Q695" i="4" s="1"/>
  <c r="E695" i="4"/>
  <c r="D695" i="4"/>
  <c r="C695" i="4"/>
  <c r="N695" i="4" s="1"/>
  <c r="B695" i="4"/>
  <c r="A695" i="4"/>
  <c r="L694" i="4"/>
  <c r="K694" i="4"/>
  <c r="J694" i="4"/>
  <c r="I694" i="4"/>
  <c r="H694" i="4"/>
  <c r="G694" i="4"/>
  <c r="F694" i="4"/>
  <c r="Q694" i="4" s="1"/>
  <c r="E694" i="4"/>
  <c r="D694" i="4"/>
  <c r="C694" i="4"/>
  <c r="N694" i="4" s="1"/>
  <c r="B694" i="4"/>
  <c r="A694" i="4"/>
  <c r="L693" i="4"/>
  <c r="K693" i="4"/>
  <c r="J693" i="4"/>
  <c r="I693" i="4"/>
  <c r="H693" i="4"/>
  <c r="G693" i="4"/>
  <c r="F693" i="4"/>
  <c r="Q693" i="4" s="1"/>
  <c r="E693" i="4"/>
  <c r="D693" i="4"/>
  <c r="C693" i="4"/>
  <c r="N693" i="4" s="1"/>
  <c r="B693" i="4"/>
  <c r="A693" i="4"/>
  <c r="L692" i="4"/>
  <c r="K692" i="4"/>
  <c r="J692" i="4"/>
  <c r="I692" i="4"/>
  <c r="H692" i="4"/>
  <c r="G692" i="4"/>
  <c r="F692" i="4"/>
  <c r="Q692" i="4" s="1"/>
  <c r="E692" i="4"/>
  <c r="D692" i="4"/>
  <c r="C692" i="4"/>
  <c r="N692" i="4" s="1"/>
  <c r="B692" i="4"/>
  <c r="A692" i="4"/>
  <c r="L691" i="4"/>
  <c r="K691" i="4"/>
  <c r="J691" i="4"/>
  <c r="I691" i="4"/>
  <c r="H691" i="4"/>
  <c r="G691" i="4"/>
  <c r="F691" i="4"/>
  <c r="Q691" i="4" s="1"/>
  <c r="E691" i="4"/>
  <c r="D691" i="4"/>
  <c r="C691" i="4"/>
  <c r="N691" i="4" s="1"/>
  <c r="B691" i="4"/>
  <c r="A691" i="4"/>
  <c r="L690" i="4"/>
  <c r="K690" i="4"/>
  <c r="J690" i="4"/>
  <c r="I690" i="4"/>
  <c r="H690" i="4"/>
  <c r="G690" i="4"/>
  <c r="F690" i="4"/>
  <c r="Q690" i="4" s="1"/>
  <c r="E690" i="4"/>
  <c r="D690" i="4"/>
  <c r="C690" i="4"/>
  <c r="N690" i="4" s="1"/>
  <c r="B690" i="4"/>
  <c r="A690" i="4"/>
  <c r="L689" i="4"/>
  <c r="K689" i="4"/>
  <c r="J689" i="4"/>
  <c r="I689" i="4"/>
  <c r="H689" i="4"/>
  <c r="G689" i="4"/>
  <c r="F689" i="4"/>
  <c r="Q689" i="4" s="1"/>
  <c r="E689" i="4"/>
  <c r="D689" i="4"/>
  <c r="C689" i="4"/>
  <c r="N689" i="4" s="1"/>
  <c r="B689" i="4"/>
  <c r="A689" i="4"/>
  <c r="L688" i="4"/>
  <c r="K688" i="4"/>
  <c r="J688" i="4"/>
  <c r="I688" i="4"/>
  <c r="H688" i="4"/>
  <c r="G688" i="4"/>
  <c r="F688" i="4"/>
  <c r="Q688" i="4" s="1"/>
  <c r="E688" i="4"/>
  <c r="D688" i="4"/>
  <c r="C688" i="4"/>
  <c r="N688" i="4" s="1"/>
  <c r="B688" i="4"/>
  <c r="A688" i="4"/>
  <c r="L687" i="4"/>
  <c r="K687" i="4"/>
  <c r="J687" i="4"/>
  <c r="I687" i="4"/>
  <c r="H687" i="4"/>
  <c r="G687" i="4"/>
  <c r="F687" i="4"/>
  <c r="Q687" i="4" s="1"/>
  <c r="E687" i="4"/>
  <c r="D687" i="4"/>
  <c r="C687" i="4"/>
  <c r="N687" i="4" s="1"/>
  <c r="B687" i="4"/>
  <c r="A687" i="4"/>
  <c r="L686" i="4"/>
  <c r="K686" i="4"/>
  <c r="J686" i="4"/>
  <c r="I686" i="4"/>
  <c r="H686" i="4"/>
  <c r="G686" i="4"/>
  <c r="F686" i="4"/>
  <c r="Q686" i="4" s="1"/>
  <c r="E686" i="4"/>
  <c r="D686" i="4"/>
  <c r="C686" i="4"/>
  <c r="N686" i="4" s="1"/>
  <c r="B686" i="4"/>
  <c r="A686" i="4"/>
  <c r="L685" i="4"/>
  <c r="K685" i="4"/>
  <c r="J685" i="4"/>
  <c r="I685" i="4"/>
  <c r="H685" i="4"/>
  <c r="G685" i="4"/>
  <c r="F685" i="4"/>
  <c r="Q685" i="4" s="1"/>
  <c r="E685" i="4"/>
  <c r="D685" i="4"/>
  <c r="C685" i="4"/>
  <c r="N685" i="4" s="1"/>
  <c r="B685" i="4"/>
  <c r="A685" i="4"/>
  <c r="L684" i="4"/>
  <c r="K684" i="4"/>
  <c r="J684" i="4"/>
  <c r="I684" i="4"/>
  <c r="H684" i="4"/>
  <c r="G684" i="4"/>
  <c r="F684" i="4"/>
  <c r="Q684" i="4" s="1"/>
  <c r="E684" i="4"/>
  <c r="D684" i="4"/>
  <c r="C684" i="4"/>
  <c r="N684" i="4" s="1"/>
  <c r="B684" i="4"/>
  <c r="A684" i="4"/>
  <c r="L683" i="4"/>
  <c r="K683" i="4"/>
  <c r="J683" i="4"/>
  <c r="I683" i="4"/>
  <c r="H683" i="4"/>
  <c r="G683" i="4"/>
  <c r="F683" i="4"/>
  <c r="Q683" i="4" s="1"/>
  <c r="E683" i="4"/>
  <c r="D683" i="4"/>
  <c r="C683" i="4"/>
  <c r="N683" i="4" s="1"/>
  <c r="B683" i="4"/>
  <c r="A683" i="4"/>
  <c r="L682" i="4"/>
  <c r="K682" i="4"/>
  <c r="J682" i="4"/>
  <c r="I682" i="4"/>
  <c r="H682" i="4"/>
  <c r="G682" i="4"/>
  <c r="F682" i="4"/>
  <c r="Q682" i="4" s="1"/>
  <c r="E682" i="4"/>
  <c r="D682" i="4"/>
  <c r="C682" i="4"/>
  <c r="N682" i="4" s="1"/>
  <c r="B682" i="4"/>
  <c r="A682" i="4"/>
  <c r="L681" i="4"/>
  <c r="K681" i="4"/>
  <c r="J681" i="4"/>
  <c r="I681" i="4"/>
  <c r="H681" i="4"/>
  <c r="G681" i="4"/>
  <c r="F681" i="4"/>
  <c r="Q681" i="4" s="1"/>
  <c r="E681" i="4"/>
  <c r="D681" i="4"/>
  <c r="C681" i="4"/>
  <c r="N681" i="4" s="1"/>
  <c r="B681" i="4"/>
  <c r="A681" i="4"/>
  <c r="L680" i="4"/>
  <c r="K680" i="4"/>
  <c r="J680" i="4"/>
  <c r="I680" i="4"/>
  <c r="H680" i="4"/>
  <c r="G680" i="4"/>
  <c r="F680" i="4"/>
  <c r="Q680" i="4" s="1"/>
  <c r="E680" i="4"/>
  <c r="D680" i="4"/>
  <c r="C680" i="4"/>
  <c r="N680" i="4" s="1"/>
  <c r="B680" i="4"/>
  <c r="A680" i="4"/>
  <c r="L679" i="4"/>
  <c r="K679" i="4"/>
  <c r="J679" i="4"/>
  <c r="I679" i="4"/>
  <c r="H679" i="4"/>
  <c r="G679" i="4"/>
  <c r="F679" i="4"/>
  <c r="Q679" i="4" s="1"/>
  <c r="E679" i="4"/>
  <c r="D679" i="4"/>
  <c r="C679" i="4"/>
  <c r="N679" i="4" s="1"/>
  <c r="B679" i="4"/>
  <c r="A679" i="4"/>
  <c r="L678" i="4"/>
  <c r="K678" i="4"/>
  <c r="J678" i="4"/>
  <c r="I678" i="4"/>
  <c r="H678" i="4"/>
  <c r="G678" i="4"/>
  <c r="F678" i="4"/>
  <c r="Q678" i="4" s="1"/>
  <c r="E678" i="4"/>
  <c r="D678" i="4"/>
  <c r="C678" i="4"/>
  <c r="N678" i="4" s="1"/>
  <c r="B678" i="4"/>
  <c r="A678" i="4"/>
  <c r="L677" i="4"/>
  <c r="K677" i="4"/>
  <c r="J677" i="4"/>
  <c r="I677" i="4"/>
  <c r="H677" i="4"/>
  <c r="G677" i="4"/>
  <c r="F677" i="4"/>
  <c r="Q677" i="4" s="1"/>
  <c r="E677" i="4"/>
  <c r="D677" i="4"/>
  <c r="C677" i="4"/>
  <c r="N677" i="4" s="1"/>
  <c r="B677" i="4"/>
  <c r="A677" i="4"/>
  <c r="L676" i="4"/>
  <c r="K676" i="4"/>
  <c r="J676" i="4"/>
  <c r="I676" i="4"/>
  <c r="H676" i="4"/>
  <c r="G676" i="4"/>
  <c r="F676" i="4"/>
  <c r="Q676" i="4" s="1"/>
  <c r="E676" i="4"/>
  <c r="D676" i="4"/>
  <c r="C676" i="4"/>
  <c r="N676" i="4" s="1"/>
  <c r="B676" i="4"/>
  <c r="A676" i="4"/>
  <c r="L675" i="4"/>
  <c r="K675" i="4"/>
  <c r="J675" i="4"/>
  <c r="I675" i="4"/>
  <c r="H675" i="4"/>
  <c r="G675" i="4"/>
  <c r="F675" i="4"/>
  <c r="Q675" i="4" s="1"/>
  <c r="E675" i="4"/>
  <c r="D675" i="4"/>
  <c r="C675" i="4"/>
  <c r="N675" i="4" s="1"/>
  <c r="B675" i="4"/>
  <c r="A675" i="4"/>
  <c r="L674" i="4"/>
  <c r="K674" i="4"/>
  <c r="J674" i="4"/>
  <c r="I674" i="4"/>
  <c r="H674" i="4"/>
  <c r="G674" i="4"/>
  <c r="F674" i="4"/>
  <c r="Q674" i="4" s="1"/>
  <c r="E674" i="4"/>
  <c r="D674" i="4"/>
  <c r="C674" i="4"/>
  <c r="N674" i="4" s="1"/>
  <c r="B674" i="4"/>
  <c r="A674" i="4"/>
  <c r="L673" i="4"/>
  <c r="K673" i="4"/>
  <c r="J673" i="4"/>
  <c r="I673" i="4"/>
  <c r="H673" i="4"/>
  <c r="G673" i="4"/>
  <c r="F673" i="4"/>
  <c r="Q673" i="4" s="1"/>
  <c r="E673" i="4"/>
  <c r="D673" i="4"/>
  <c r="C673" i="4"/>
  <c r="N673" i="4" s="1"/>
  <c r="B673" i="4"/>
  <c r="A673" i="4"/>
  <c r="L672" i="4"/>
  <c r="K672" i="4"/>
  <c r="J672" i="4"/>
  <c r="I672" i="4"/>
  <c r="H672" i="4"/>
  <c r="G672" i="4"/>
  <c r="F672" i="4"/>
  <c r="Q672" i="4" s="1"/>
  <c r="E672" i="4"/>
  <c r="D672" i="4"/>
  <c r="C672" i="4"/>
  <c r="N672" i="4" s="1"/>
  <c r="B672" i="4"/>
  <c r="A672" i="4"/>
  <c r="L671" i="4"/>
  <c r="K671" i="4"/>
  <c r="J671" i="4"/>
  <c r="I671" i="4"/>
  <c r="H671" i="4"/>
  <c r="G671" i="4"/>
  <c r="F671" i="4"/>
  <c r="Q671" i="4" s="1"/>
  <c r="E671" i="4"/>
  <c r="D671" i="4"/>
  <c r="C671" i="4"/>
  <c r="N671" i="4" s="1"/>
  <c r="B671" i="4"/>
  <c r="A671" i="4"/>
  <c r="L670" i="4"/>
  <c r="K670" i="4"/>
  <c r="J670" i="4"/>
  <c r="I670" i="4"/>
  <c r="H670" i="4"/>
  <c r="G670" i="4"/>
  <c r="F670" i="4"/>
  <c r="Q670" i="4" s="1"/>
  <c r="E670" i="4"/>
  <c r="D670" i="4"/>
  <c r="C670" i="4"/>
  <c r="N670" i="4" s="1"/>
  <c r="B670" i="4"/>
  <c r="A670" i="4"/>
  <c r="L669" i="4"/>
  <c r="K669" i="4"/>
  <c r="J669" i="4"/>
  <c r="I669" i="4"/>
  <c r="H669" i="4"/>
  <c r="G669" i="4"/>
  <c r="F669" i="4"/>
  <c r="Q669" i="4" s="1"/>
  <c r="E669" i="4"/>
  <c r="D669" i="4"/>
  <c r="C669" i="4"/>
  <c r="N669" i="4" s="1"/>
  <c r="B669" i="4"/>
  <c r="A669" i="4"/>
  <c r="L668" i="4"/>
  <c r="K668" i="4"/>
  <c r="J668" i="4"/>
  <c r="I668" i="4"/>
  <c r="H668" i="4"/>
  <c r="G668" i="4"/>
  <c r="F668" i="4"/>
  <c r="Q668" i="4" s="1"/>
  <c r="E668" i="4"/>
  <c r="D668" i="4"/>
  <c r="C668" i="4"/>
  <c r="N668" i="4" s="1"/>
  <c r="B668" i="4"/>
  <c r="A668" i="4"/>
  <c r="L667" i="4"/>
  <c r="K667" i="4"/>
  <c r="J667" i="4"/>
  <c r="I667" i="4"/>
  <c r="H667" i="4"/>
  <c r="G667" i="4"/>
  <c r="F667" i="4"/>
  <c r="Q667" i="4" s="1"/>
  <c r="E667" i="4"/>
  <c r="D667" i="4"/>
  <c r="C667" i="4"/>
  <c r="N667" i="4" s="1"/>
  <c r="B667" i="4"/>
  <c r="A667" i="4"/>
  <c r="L666" i="4"/>
  <c r="K666" i="4"/>
  <c r="J666" i="4"/>
  <c r="I666" i="4"/>
  <c r="H666" i="4"/>
  <c r="G666" i="4"/>
  <c r="F666" i="4"/>
  <c r="Q666" i="4" s="1"/>
  <c r="E666" i="4"/>
  <c r="D666" i="4"/>
  <c r="C666" i="4"/>
  <c r="N666" i="4" s="1"/>
  <c r="B666" i="4"/>
  <c r="A666" i="4"/>
  <c r="L665" i="4"/>
  <c r="K665" i="4"/>
  <c r="J665" i="4"/>
  <c r="I665" i="4"/>
  <c r="H665" i="4"/>
  <c r="G665" i="4"/>
  <c r="F665" i="4"/>
  <c r="Q665" i="4" s="1"/>
  <c r="E665" i="4"/>
  <c r="D665" i="4"/>
  <c r="C665" i="4"/>
  <c r="N665" i="4" s="1"/>
  <c r="B665" i="4"/>
  <c r="A665" i="4"/>
  <c r="L664" i="4"/>
  <c r="K664" i="4"/>
  <c r="J664" i="4"/>
  <c r="I664" i="4"/>
  <c r="H664" i="4"/>
  <c r="G664" i="4"/>
  <c r="F664" i="4"/>
  <c r="Q664" i="4" s="1"/>
  <c r="E664" i="4"/>
  <c r="D664" i="4"/>
  <c r="C664" i="4"/>
  <c r="N664" i="4" s="1"/>
  <c r="B664" i="4"/>
  <c r="A664" i="4"/>
  <c r="L663" i="4"/>
  <c r="K663" i="4"/>
  <c r="J663" i="4"/>
  <c r="I663" i="4"/>
  <c r="H663" i="4"/>
  <c r="G663" i="4"/>
  <c r="F663" i="4"/>
  <c r="Q663" i="4" s="1"/>
  <c r="E663" i="4"/>
  <c r="D663" i="4"/>
  <c r="C663" i="4"/>
  <c r="N663" i="4" s="1"/>
  <c r="B663" i="4"/>
  <c r="A663" i="4"/>
  <c r="L662" i="4"/>
  <c r="K662" i="4"/>
  <c r="J662" i="4"/>
  <c r="I662" i="4"/>
  <c r="H662" i="4"/>
  <c r="G662" i="4"/>
  <c r="F662" i="4"/>
  <c r="Q662" i="4" s="1"/>
  <c r="E662" i="4"/>
  <c r="D662" i="4"/>
  <c r="M662" i="4" s="1"/>
  <c r="C662" i="4"/>
  <c r="N662" i="4" s="1"/>
  <c r="B662" i="4"/>
  <c r="A662" i="4"/>
  <c r="L661" i="4"/>
  <c r="K661" i="4"/>
  <c r="J661" i="4"/>
  <c r="I661" i="4"/>
  <c r="H661" i="4"/>
  <c r="G661" i="4"/>
  <c r="F661" i="4"/>
  <c r="Q661" i="4" s="1"/>
  <c r="E661" i="4"/>
  <c r="D661" i="4"/>
  <c r="C661" i="4"/>
  <c r="N661" i="4" s="1"/>
  <c r="B661" i="4"/>
  <c r="A661" i="4"/>
  <c r="L660" i="4"/>
  <c r="K660" i="4"/>
  <c r="J660" i="4"/>
  <c r="I660" i="4"/>
  <c r="H660" i="4"/>
  <c r="G660" i="4"/>
  <c r="F660" i="4"/>
  <c r="Q660" i="4" s="1"/>
  <c r="E660" i="4"/>
  <c r="D660" i="4"/>
  <c r="C660" i="4"/>
  <c r="N660" i="4" s="1"/>
  <c r="B660" i="4"/>
  <c r="A660" i="4"/>
  <c r="L659" i="4"/>
  <c r="K659" i="4"/>
  <c r="J659" i="4"/>
  <c r="I659" i="4"/>
  <c r="H659" i="4"/>
  <c r="G659" i="4"/>
  <c r="F659" i="4"/>
  <c r="Q659" i="4" s="1"/>
  <c r="E659" i="4"/>
  <c r="D659" i="4"/>
  <c r="C659" i="4"/>
  <c r="N659" i="4" s="1"/>
  <c r="B659" i="4"/>
  <c r="A659" i="4"/>
  <c r="L658" i="4"/>
  <c r="K658" i="4"/>
  <c r="J658" i="4"/>
  <c r="I658" i="4"/>
  <c r="H658" i="4"/>
  <c r="G658" i="4"/>
  <c r="F658" i="4"/>
  <c r="Q658" i="4" s="1"/>
  <c r="E658" i="4"/>
  <c r="D658" i="4"/>
  <c r="C658" i="4"/>
  <c r="N658" i="4" s="1"/>
  <c r="B658" i="4"/>
  <c r="A658" i="4"/>
  <c r="L657" i="4"/>
  <c r="K657" i="4"/>
  <c r="J657" i="4"/>
  <c r="I657" i="4"/>
  <c r="H657" i="4"/>
  <c r="G657" i="4"/>
  <c r="F657" i="4"/>
  <c r="Q657" i="4" s="1"/>
  <c r="E657" i="4"/>
  <c r="D657" i="4"/>
  <c r="C657" i="4"/>
  <c r="N657" i="4" s="1"/>
  <c r="B657" i="4"/>
  <c r="A657" i="4"/>
  <c r="L656" i="4"/>
  <c r="K656" i="4"/>
  <c r="J656" i="4"/>
  <c r="I656" i="4"/>
  <c r="H656" i="4"/>
  <c r="G656" i="4"/>
  <c r="F656" i="4"/>
  <c r="Q656" i="4" s="1"/>
  <c r="E656" i="4"/>
  <c r="D656" i="4"/>
  <c r="C656" i="4"/>
  <c r="N656" i="4" s="1"/>
  <c r="B656" i="4"/>
  <c r="A656" i="4"/>
  <c r="L655" i="4"/>
  <c r="K655" i="4"/>
  <c r="J655" i="4"/>
  <c r="I655" i="4"/>
  <c r="H655" i="4"/>
  <c r="G655" i="4"/>
  <c r="F655" i="4"/>
  <c r="Q655" i="4" s="1"/>
  <c r="E655" i="4"/>
  <c r="D655" i="4"/>
  <c r="C655" i="4"/>
  <c r="N655" i="4" s="1"/>
  <c r="B655" i="4"/>
  <c r="A655" i="4"/>
  <c r="L654" i="4"/>
  <c r="K654" i="4"/>
  <c r="J654" i="4"/>
  <c r="I654" i="4"/>
  <c r="H654" i="4"/>
  <c r="G654" i="4"/>
  <c r="F654" i="4"/>
  <c r="Q654" i="4" s="1"/>
  <c r="E654" i="4"/>
  <c r="D654" i="4"/>
  <c r="C654" i="4"/>
  <c r="N654" i="4" s="1"/>
  <c r="B654" i="4"/>
  <c r="A654" i="4"/>
  <c r="L653" i="4"/>
  <c r="K653" i="4"/>
  <c r="J653" i="4"/>
  <c r="I653" i="4"/>
  <c r="H653" i="4"/>
  <c r="G653" i="4"/>
  <c r="F653" i="4"/>
  <c r="Q653" i="4" s="1"/>
  <c r="E653" i="4"/>
  <c r="D653" i="4"/>
  <c r="C653" i="4"/>
  <c r="N653" i="4" s="1"/>
  <c r="B653" i="4"/>
  <c r="A653" i="4"/>
  <c r="L652" i="4"/>
  <c r="K652" i="4"/>
  <c r="J652" i="4"/>
  <c r="I652" i="4"/>
  <c r="H652" i="4"/>
  <c r="G652" i="4"/>
  <c r="F652" i="4"/>
  <c r="Q652" i="4" s="1"/>
  <c r="E652" i="4"/>
  <c r="D652" i="4"/>
  <c r="C652" i="4"/>
  <c r="N652" i="4" s="1"/>
  <c r="B652" i="4"/>
  <c r="A652" i="4"/>
  <c r="L651" i="4"/>
  <c r="K651" i="4"/>
  <c r="J651" i="4"/>
  <c r="I651" i="4"/>
  <c r="H651" i="4"/>
  <c r="G651" i="4"/>
  <c r="F651" i="4"/>
  <c r="Q651" i="4" s="1"/>
  <c r="E651" i="4"/>
  <c r="D651" i="4"/>
  <c r="C651" i="4"/>
  <c r="N651" i="4" s="1"/>
  <c r="B651" i="4"/>
  <c r="A651" i="4"/>
  <c r="L650" i="4"/>
  <c r="K650" i="4"/>
  <c r="J650" i="4"/>
  <c r="I650" i="4"/>
  <c r="H650" i="4"/>
  <c r="G650" i="4"/>
  <c r="F650" i="4"/>
  <c r="Q650" i="4" s="1"/>
  <c r="E650" i="4"/>
  <c r="D650" i="4"/>
  <c r="C650" i="4"/>
  <c r="N650" i="4" s="1"/>
  <c r="B650" i="4"/>
  <c r="A650" i="4"/>
  <c r="L649" i="4"/>
  <c r="K649" i="4"/>
  <c r="J649" i="4"/>
  <c r="I649" i="4"/>
  <c r="H649" i="4"/>
  <c r="G649" i="4"/>
  <c r="F649" i="4"/>
  <c r="Q649" i="4" s="1"/>
  <c r="E649" i="4"/>
  <c r="D649" i="4"/>
  <c r="C649" i="4"/>
  <c r="N649" i="4" s="1"/>
  <c r="B649" i="4"/>
  <c r="A649" i="4"/>
  <c r="L648" i="4"/>
  <c r="K648" i="4"/>
  <c r="J648" i="4"/>
  <c r="I648" i="4"/>
  <c r="H648" i="4"/>
  <c r="G648" i="4"/>
  <c r="F648" i="4"/>
  <c r="Q648" i="4" s="1"/>
  <c r="E648" i="4"/>
  <c r="D648" i="4"/>
  <c r="C648" i="4"/>
  <c r="N648" i="4" s="1"/>
  <c r="B648" i="4"/>
  <c r="A648" i="4"/>
  <c r="L647" i="4"/>
  <c r="K647" i="4"/>
  <c r="J647" i="4"/>
  <c r="I647" i="4"/>
  <c r="H647" i="4"/>
  <c r="G647" i="4"/>
  <c r="F647" i="4"/>
  <c r="Q647" i="4" s="1"/>
  <c r="E647" i="4"/>
  <c r="D647" i="4"/>
  <c r="C647" i="4"/>
  <c r="N647" i="4" s="1"/>
  <c r="B647" i="4"/>
  <c r="A647" i="4"/>
  <c r="L646" i="4"/>
  <c r="K646" i="4"/>
  <c r="J646" i="4"/>
  <c r="I646" i="4"/>
  <c r="H646" i="4"/>
  <c r="G646" i="4"/>
  <c r="F646" i="4"/>
  <c r="Q646" i="4" s="1"/>
  <c r="E646" i="4"/>
  <c r="D646" i="4"/>
  <c r="C646" i="4"/>
  <c r="N646" i="4" s="1"/>
  <c r="B646" i="4"/>
  <c r="A646" i="4"/>
  <c r="L645" i="4"/>
  <c r="K645" i="4"/>
  <c r="J645" i="4"/>
  <c r="I645" i="4"/>
  <c r="H645" i="4"/>
  <c r="G645" i="4"/>
  <c r="F645" i="4"/>
  <c r="Q645" i="4" s="1"/>
  <c r="E645" i="4"/>
  <c r="D645" i="4"/>
  <c r="C645" i="4"/>
  <c r="N645" i="4" s="1"/>
  <c r="B645" i="4"/>
  <c r="A645" i="4"/>
  <c r="L644" i="4"/>
  <c r="K644" i="4"/>
  <c r="J644" i="4"/>
  <c r="I644" i="4"/>
  <c r="H644" i="4"/>
  <c r="G644" i="4"/>
  <c r="F644" i="4"/>
  <c r="Q644" i="4" s="1"/>
  <c r="E644" i="4"/>
  <c r="D644" i="4"/>
  <c r="C644" i="4"/>
  <c r="N644" i="4" s="1"/>
  <c r="B644" i="4"/>
  <c r="A644" i="4"/>
  <c r="L643" i="4"/>
  <c r="K643" i="4"/>
  <c r="J643" i="4"/>
  <c r="I643" i="4"/>
  <c r="H643" i="4"/>
  <c r="G643" i="4"/>
  <c r="F643" i="4"/>
  <c r="Q643" i="4" s="1"/>
  <c r="E643" i="4"/>
  <c r="D643" i="4"/>
  <c r="C643" i="4"/>
  <c r="N643" i="4" s="1"/>
  <c r="B643" i="4"/>
  <c r="A643" i="4"/>
  <c r="L642" i="4"/>
  <c r="K642" i="4"/>
  <c r="J642" i="4"/>
  <c r="I642" i="4"/>
  <c r="H642" i="4"/>
  <c r="G642" i="4"/>
  <c r="F642" i="4"/>
  <c r="Q642" i="4" s="1"/>
  <c r="E642" i="4"/>
  <c r="D642" i="4"/>
  <c r="C642" i="4"/>
  <c r="N642" i="4" s="1"/>
  <c r="B642" i="4"/>
  <c r="A642" i="4"/>
  <c r="L641" i="4"/>
  <c r="K641" i="4"/>
  <c r="J641" i="4"/>
  <c r="I641" i="4"/>
  <c r="H641" i="4"/>
  <c r="G641" i="4"/>
  <c r="F641" i="4"/>
  <c r="Q641" i="4" s="1"/>
  <c r="E641" i="4"/>
  <c r="D641" i="4"/>
  <c r="C641" i="4"/>
  <c r="N641" i="4" s="1"/>
  <c r="B641" i="4"/>
  <c r="A641" i="4"/>
  <c r="L640" i="4"/>
  <c r="K640" i="4"/>
  <c r="J640" i="4"/>
  <c r="I640" i="4"/>
  <c r="H640" i="4"/>
  <c r="G640" i="4"/>
  <c r="F640" i="4"/>
  <c r="Q640" i="4" s="1"/>
  <c r="E640" i="4"/>
  <c r="D640" i="4"/>
  <c r="C640" i="4"/>
  <c r="N640" i="4" s="1"/>
  <c r="B640" i="4"/>
  <c r="A640" i="4"/>
  <c r="L639" i="4"/>
  <c r="K639" i="4"/>
  <c r="J639" i="4"/>
  <c r="I639" i="4"/>
  <c r="H639" i="4"/>
  <c r="G639" i="4"/>
  <c r="F639" i="4"/>
  <c r="Q639" i="4" s="1"/>
  <c r="E639" i="4"/>
  <c r="D639" i="4"/>
  <c r="C639" i="4"/>
  <c r="N639" i="4" s="1"/>
  <c r="B639" i="4"/>
  <c r="A639" i="4"/>
  <c r="L638" i="4"/>
  <c r="K638" i="4"/>
  <c r="J638" i="4"/>
  <c r="I638" i="4"/>
  <c r="H638" i="4"/>
  <c r="G638" i="4"/>
  <c r="F638" i="4"/>
  <c r="Q638" i="4" s="1"/>
  <c r="E638" i="4"/>
  <c r="D638" i="4"/>
  <c r="C638" i="4"/>
  <c r="N638" i="4" s="1"/>
  <c r="B638" i="4"/>
  <c r="A638" i="4"/>
  <c r="L637" i="4"/>
  <c r="K637" i="4"/>
  <c r="J637" i="4"/>
  <c r="I637" i="4"/>
  <c r="H637" i="4"/>
  <c r="G637" i="4"/>
  <c r="F637" i="4"/>
  <c r="Q637" i="4" s="1"/>
  <c r="E637" i="4"/>
  <c r="D637" i="4"/>
  <c r="C637" i="4"/>
  <c r="N637" i="4" s="1"/>
  <c r="B637" i="4"/>
  <c r="A637" i="4"/>
  <c r="L636" i="4"/>
  <c r="K636" i="4"/>
  <c r="J636" i="4"/>
  <c r="I636" i="4"/>
  <c r="H636" i="4"/>
  <c r="G636" i="4"/>
  <c r="F636" i="4"/>
  <c r="Q636" i="4" s="1"/>
  <c r="E636" i="4"/>
  <c r="D636" i="4"/>
  <c r="C636" i="4"/>
  <c r="N636" i="4" s="1"/>
  <c r="B636" i="4"/>
  <c r="A636" i="4"/>
  <c r="L635" i="4"/>
  <c r="K635" i="4"/>
  <c r="J635" i="4"/>
  <c r="I635" i="4"/>
  <c r="H635" i="4"/>
  <c r="G635" i="4"/>
  <c r="F635" i="4"/>
  <c r="Q635" i="4" s="1"/>
  <c r="E635" i="4"/>
  <c r="D635" i="4"/>
  <c r="C635" i="4"/>
  <c r="N635" i="4" s="1"/>
  <c r="B635" i="4"/>
  <c r="A635" i="4"/>
  <c r="L634" i="4"/>
  <c r="K634" i="4"/>
  <c r="J634" i="4"/>
  <c r="I634" i="4"/>
  <c r="H634" i="4"/>
  <c r="G634" i="4"/>
  <c r="F634" i="4"/>
  <c r="Q634" i="4" s="1"/>
  <c r="E634" i="4"/>
  <c r="D634" i="4"/>
  <c r="C634" i="4"/>
  <c r="N634" i="4" s="1"/>
  <c r="B634" i="4"/>
  <c r="A634" i="4"/>
  <c r="L633" i="4"/>
  <c r="K633" i="4"/>
  <c r="J633" i="4"/>
  <c r="I633" i="4"/>
  <c r="H633" i="4"/>
  <c r="G633" i="4"/>
  <c r="F633" i="4"/>
  <c r="Q633" i="4" s="1"/>
  <c r="E633" i="4"/>
  <c r="D633" i="4"/>
  <c r="C633" i="4"/>
  <c r="N633" i="4" s="1"/>
  <c r="B633" i="4"/>
  <c r="A633" i="4"/>
  <c r="L632" i="4"/>
  <c r="K632" i="4"/>
  <c r="J632" i="4"/>
  <c r="I632" i="4"/>
  <c r="H632" i="4"/>
  <c r="G632" i="4"/>
  <c r="F632" i="4"/>
  <c r="Q632" i="4" s="1"/>
  <c r="E632" i="4"/>
  <c r="D632" i="4"/>
  <c r="C632" i="4"/>
  <c r="N632" i="4" s="1"/>
  <c r="B632" i="4"/>
  <c r="A632" i="4"/>
  <c r="L631" i="4"/>
  <c r="K631" i="4"/>
  <c r="J631" i="4"/>
  <c r="I631" i="4"/>
  <c r="H631" i="4"/>
  <c r="G631" i="4"/>
  <c r="F631" i="4"/>
  <c r="Q631" i="4" s="1"/>
  <c r="E631" i="4"/>
  <c r="D631" i="4"/>
  <c r="C631" i="4"/>
  <c r="N631" i="4" s="1"/>
  <c r="B631" i="4"/>
  <c r="A631" i="4"/>
  <c r="L630" i="4"/>
  <c r="K630" i="4"/>
  <c r="J630" i="4"/>
  <c r="I630" i="4"/>
  <c r="H630" i="4"/>
  <c r="G630" i="4"/>
  <c r="F630" i="4"/>
  <c r="Q630" i="4" s="1"/>
  <c r="E630" i="4"/>
  <c r="D630" i="4"/>
  <c r="C630" i="4"/>
  <c r="N630" i="4" s="1"/>
  <c r="B630" i="4"/>
  <c r="A630" i="4"/>
  <c r="L629" i="4"/>
  <c r="K629" i="4"/>
  <c r="J629" i="4"/>
  <c r="I629" i="4"/>
  <c r="H629" i="4"/>
  <c r="G629" i="4"/>
  <c r="F629" i="4"/>
  <c r="Q629" i="4" s="1"/>
  <c r="E629" i="4"/>
  <c r="D629" i="4"/>
  <c r="M629" i="4" s="1"/>
  <c r="C629" i="4"/>
  <c r="N629" i="4" s="1"/>
  <c r="B629" i="4"/>
  <c r="A629" i="4"/>
  <c r="L628" i="4"/>
  <c r="K628" i="4"/>
  <c r="J628" i="4"/>
  <c r="I628" i="4"/>
  <c r="H628" i="4"/>
  <c r="G628" i="4"/>
  <c r="F628" i="4"/>
  <c r="Q628" i="4" s="1"/>
  <c r="E628" i="4"/>
  <c r="D628" i="4"/>
  <c r="C628" i="4"/>
  <c r="N628" i="4" s="1"/>
  <c r="B628" i="4"/>
  <c r="A628" i="4"/>
  <c r="L627" i="4"/>
  <c r="K627" i="4"/>
  <c r="J627" i="4"/>
  <c r="I627" i="4"/>
  <c r="H627" i="4"/>
  <c r="G627" i="4"/>
  <c r="F627" i="4"/>
  <c r="Q627" i="4" s="1"/>
  <c r="E627" i="4"/>
  <c r="D627" i="4"/>
  <c r="C627" i="4"/>
  <c r="N627" i="4" s="1"/>
  <c r="B627" i="4"/>
  <c r="A627" i="4"/>
  <c r="L626" i="4"/>
  <c r="K626" i="4"/>
  <c r="J626" i="4"/>
  <c r="I626" i="4"/>
  <c r="H626" i="4"/>
  <c r="G626" i="4"/>
  <c r="F626" i="4"/>
  <c r="Q626" i="4" s="1"/>
  <c r="E626" i="4"/>
  <c r="D626" i="4"/>
  <c r="C626" i="4"/>
  <c r="N626" i="4" s="1"/>
  <c r="B626" i="4"/>
  <c r="A626" i="4"/>
  <c r="L625" i="4"/>
  <c r="K625" i="4"/>
  <c r="J625" i="4"/>
  <c r="I625" i="4"/>
  <c r="H625" i="4"/>
  <c r="G625" i="4"/>
  <c r="F625" i="4"/>
  <c r="Q625" i="4" s="1"/>
  <c r="E625" i="4"/>
  <c r="D625" i="4"/>
  <c r="C625" i="4"/>
  <c r="N625" i="4" s="1"/>
  <c r="B625" i="4"/>
  <c r="A625" i="4"/>
  <c r="L624" i="4"/>
  <c r="K624" i="4"/>
  <c r="J624" i="4"/>
  <c r="I624" i="4"/>
  <c r="H624" i="4"/>
  <c r="G624" i="4"/>
  <c r="F624" i="4"/>
  <c r="Q624" i="4" s="1"/>
  <c r="E624" i="4"/>
  <c r="D624" i="4"/>
  <c r="C624" i="4"/>
  <c r="N624" i="4" s="1"/>
  <c r="B624" i="4"/>
  <c r="A624" i="4"/>
  <c r="L623" i="4"/>
  <c r="K623" i="4"/>
  <c r="J623" i="4"/>
  <c r="I623" i="4"/>
  <c r="H623" i="4"/>
  <c r="G623" i="4"/>
  <c r="F623" i="4"/>
  <c r="Q623" i="4" s="1"/>
  <c r="E623" i="4"/>
  <c r="D623" i="4"/>
  <c r="C623" i="4"/>
  <c r="N623" i="4" s="1"/>
  <c r="B623" i="4"/>
  <c r="A623" i="4"/>
  <c r="L622" i="4"/>
  <c r="K622" i="4"/>
  <c r="J622" i="4"/>
  <c r="I622" i="4"/>
  <c r="H622" i="4"/>
  <c r="G622" i="4"/>
  <c r="F622" i="4"/>
  <c r="Q622" i="4" s="1"/>
  <c r="E622" i="4"/>
  <c r="D622" i="4"/>
  <c r="C622" i="4"/>
  <c r="N622" i="4" s="1"/>
  <c r="B622" i="4"/>
  <c r="A622" i="4"/>
  <c r="L621" i="4"/>
  <c r="K621" i="4"/>
  <c r="J621" i="4"/>
  <c r="I621" i="4"/>
  <c r="H621" i="4"/>
  <c r="G621" i="4"/>
  <c r="F621" i="4"/>
  <c r="Q621" i="4" s="1"/>
  <c r="E621" i="4"/>
  <c r="D621" i="4"/>
  <c r="C621" i="4"/>
  <c r="N621" i="4" s="1"/>
  <c r="B621" i="4"/>
  <c r="A621" i="4"/>
  <c r="L620" i="4"/>
  <c r="K620" i="4"/>
  <c r="J620" i="4"/>
  <c r="I620" i="4"/>
  <c r="H620" i="4"/>
  <c r="G620" i="4"/>
  <c r="F620" i="4"/>
  <c r="Q620" i="4" s="1"/>
  <c r="E620" i="4"/>
  <c r="D620" i="4"/>
  <c r="C620" i="4"/>
  <c r="N620" i="4" s="1"/>
  <c r="B620" i="4"/>
  <c r="A620" i="4"/>
  <c r="L619" i="4"/>
  <c r="K619" i="4"/>
  <c r="J619" i="4"/>
  <c r="I619" i="4"/>
  <c r="H619" i="4"/>
  <c r="G619" i="4"/>
  <c r="F619" i="4"/>
  <c r="Q619" i="4" s="1"/>
  <c r="E619" i="4"/>
  <c r="D619" i="4"/>
  <c r="C619" i="4"/>
  <c r="N619" i="4" s="1"/>
  <c r="B619" i="4"/>
  <c r="A619" i="4"/>
  <c r="L618" i="4"/>
  <c r="K618" i="4"/>
  <c r="J618" i="4"/>
  <c r="I618" i="4"/>
  <c r="H618" i="4"/>
  <c r="G618" i="4"/>
  <c r="F618" i="4"/>
  <c r="Q618" i="4" s="1"/>
  <c r="E618" i="4"/>
  <c r="D618" i="4"/>
  <c r="C618" i="4"/>
  <c r="N618" i="4" s="1"/>
  <c r="B618" i="4"/>
  <c r="A618" i="4"/>
  <c r="L617" i="4"/>
  <c r="K617" i="4"/>
  <c r="J617" i="4"/>
  <c r="I617" i="4"/>
  <c r="H617" i="4"/>
  <c r="G617" i="4"/>
  <c r="F617" i="4"/>
  <c r="Q617" i="4" s="1"/>
  <c r="E617" i="4"/>
  <c r="D617" i="4"/>
  <c r="C617" i="4"/>
  <c r="N617" i="4" s="1"/>
  <c r="B617" i="4"/>
  <c r="A617" i="4"/>
  <c r="L616" i="4"/>
  <c r="K616" i="4"/>
  <c r="J616" i="4"/>
  <c r="I616" i="4"/>
  <c r="H616" i="4"/>
  <c r="G616" i="4"/>
  <c r="F616" i="4"/>
  <c r="Q616" i="4" s="1"/>
  <c r="E616" i="4"/>
  <c r="D616" i="4"/>
  <c r="C616" i="4"/>
  <c r="N616" i="4" s="1"/>
  <c r="B616" i="4"/>
  <c r="A616" i="4"/>
  <c r="L615" i="4"/>
  <c r="K615" i="4"/>
  <c r="J615" i="4"/>
  <c r="I615" i="4"/>
  <c r="H615" i="4"/>
  <c r="G615" i="4"/>
  <c r="F615" i="4"/>
  <c r="Q615" i="4" s="1"/>
  <c r="E615" i="4"/>
  <c r="D615" i="4"/>
  <c r="C615" i="4"/>
  <c r="N615" i="4" s="1"/>
  <c r="B615" i="4"/>
  <c r="A615" i="4"/>
  <c r="L614" i="4"/>
  <c r="K614" i="4"/>
  <c r="J614" i="4"/>
  <c r="I614" i="4"/>
  <c r="H614" i="4"/>
  <c r="G614" i="4"/>
  <c r="F614" i="4"/>
  <c r="Q614" i="4" s="1"/>
  <c r="E614" i="4"/>
  <c r="D614" i="4"/>
  <c r="C614" i="4"/>
  <c r="N614" i="4" s="1"/>
  <c r="B614" i="4"/>
  <c r="A614" i="4"/>
  <c r="L613" i="4"/>
  <c r="K613" i="4"/>
  <c r="J613" i="4"/>
  <c r="I613" i="4"/>
  <c r="H613" i="4"/>
  <c r="G613" i="4"/>
  <c r="F613" i="4"/>
  <c r="Q613" i="4" s="1"/>
  <c r="E613" i="4"/>
  <c r="D613" i="4"/>
  <c r="C613" i="4"/>
  <c r="N613" i="4" s="1"/>
  <c r="B613" i="4"/>
  <c r="A613" i="4"/>
  <c r="L612" i="4"/>
  <c r="K612" i="4"/>
  <c r="J612" i="4"/>
  <c r="I612" i="4"/>
  <c r="H612" i="4"/>
  <c r="G612" i="4"/>
  <c r="F612" i="4"/>
  <c r="Q612" i="4" s="1"/>
  <c r="E612" i="4"/>
  <c r="D612" i="4"/>
  <c r="C612" i="4"/>
  <c r="N612" i="4" s="1"/>
  <c r="B612" i="4"/>
  <c r="A612" i="4"/>
  <c r="L611" i="4"/>
  <c r="K611" i="4"/>
  <c r="J611" i="4"/>
  <c r="I611" i="4"/>
  <c r="H611" i="4"/>
  <c r="G611" i="4"/>
  <c r="F611" i="4"/>
  <c r="Q611" i="4" s="1"/>
  <c r="E611" i="4"/>
  <c r="D611" i="4"/>
  <c r="C611" i="4"/>
  <c r="N611" i="4" s="1"/>
  <c r="B611" i="4"/>
  <c r="A611" i="4"/>
  <c r="L610" i="4"/>
  <c r="K610" i="4"/>
  <c r="J610" i="4"/>
  <c r="I610" i="4"/>
  <c r="H610" i="4"/>
  <c r="G610" i="4"/>
  <c r="F610" i="4"/>
  <c r="Q610" i="4" s="1"/>
  <c r="E610" i="4"/>
  <c r="D610" i="4"/>
  <c r="C610" i="4"/>
  <c r="N610" i="4" s="1"/>
  <c r="B610" i="4"/>
  <c r="A610" i="4"/>
  <c r="L609" i="4"/>
  <c r="K609" i="4"/>
  <c r="J609" i="4"/>
  <c r="I609" i="4"/>
  <c r="H609" i="4"/>
  <c r="G609" i="4"/>
  <c r="F609" i="4"/>
  <c r="Q609" i="4" s="1"/>
  <c r="E609" i="4"/>
  <c r="D609" i="4"/>
  <c r="C609" i="4"/>
  <c r="N609" i="4" s="1"/>
  <c r="B609" i="4"/>
  <c r="A609" i="4"/>
  <c r="L608" i="4"/>
  <c r="K608" i="4"/>
  <c r="J608" i="4"/>
  <c r="I608" i="4"/>
  <c r="H608" i="4"/>
  <c r="G608" i="4"/>
  <c r="F608" i="4"/>
  <c r="Q608" i="4" s="1"/>
  <c r="E608" i="4"/>
  <c r="D608" i="4"/>
  <c r="C608" i="4"/>
  <c r="N608" i="4" s="1"/>
  <c r="B608" i="4"/>
  <c r="A608" i="4"/>
  <c r="L607" i="4"/>
  <c r="K607" i="4"/>
  <c r="J607" i="4"/>
  <c r="I607" i="4"/>
  <c r="H607" i="4"/>
  <c r="G607" i="4"/>
  <c r="F607" i="4"/>
  <c r="Q607" i="4" s="1"/>
  <c r="E607" i="4"/>
  <c r="D607" i="4"/>
  <c r="C607" i="4"/>
  <c r="N607" i="4" s="1"/>
  <c r="B607" i="4"/>
  <c r="A607" i="4"/>
  <c r="L606" i="4"/>
  <c r="K606" i="4"/>
  <c r="J606" i="4"/>
  <c r="I606" i="4"/>
  <c r="H606" i="4"/>
  <c r="G606" i="4"/>
  <c r="F606" i="4"/>
  <c r="Q606" i="4" s="1"/>
  <c r="E606" i="4"/>
  <c r="D606" i="4"/>
  <c r="C606" i="4"/>
  <c r="N606" i="4" s="1"/>
  <c r="B606" i="4"/>
  <c r="A606" i="4"/>
  <c r="L605" i="4"/>
  <c r="K605" i="4"/>
  <c r="J605" i="4"/>
  <c r="I605" i="4"/>
  <c r="H605" i="4"/>
  <c r="G605" i="4"/>
  <c r="F605" i="4"/>
  <c r="Q605" i="4" s="1"/>
  <c r="E605" i="4"/>
  <c r="D605" i="4"/>
  <c r="C605" i="4"/>
  <c r="N605" i="4" s="1"/>
  <c r="B605" i="4"/>
  <c r="A605" i="4"/>
  <c r="L604" i="4"/>
  <c r="K604" i="4"/>
  <c r="J604" i="4"/>
  <c r="I604" i="4"/>
  <c r="H604" i="4"/>
  <c r="G604" i="4"/>
  <c r="F604" i="4"/>
  <c r="Q604" i="4" s="1"/>
  <c r="E604" i="4"/>
  <c r="D604" i="4"/>
  <c r="C604" i="4"/>
  <c r="N604" i="4" s="1"/>
  <c r="B604" i="4"/>
  <c r="A604" i="4"/>
  <c r="L603" i="4"/>
  <c r="K603" i="4"/>
  <c r="J603" i="4"/>
  <c r="I603" i="4"/>
  <c r="H603" i="4"/>
  <c r="G603" i="4"/>
  <c r="F603" i="4"/>
  <c r="Q603" i="4" s="1"/>
  <c r="E603" i="4"/>
  <c r="D603" i="4"/>
  <c r="C603" i="4"/>
  <c r="N603" i="4" s="1"/>
  <c r="B603" i="4"/>
  <c r="A603" i="4"/>
  <c r="L602" i="4"/>
  <c r="K602" i="4"/>
  <c r="J602" i="4"/>
  <c r="I602" i="4"/>
  <c r="H602" i="4"/>
  <c r="G602" i="4"/>
  <c r="F602" i="4"/>
  <c r="Q602" i="4" s="1"/>
  <c r="E602" i="4"/>
  <c r="D602" i="4"/>
  <c r="C602" i="4"/>
  <c r="N602" i="4" s="1"/>
  <c r="B602" i="4"/>
  <c r="A602" i="4"/>
  <c r="L601" i="4"/>
  <c r="K601" i="4"/>
  <c r="J601" i="4"/>
  <c r="I601" i="4"/>
  <c r="H601" i="4"/>
  <c r="G601" i="4"/>
  <c r="F601" i="4"/>
  <c r="Q601" i="4" s="1"/>
  <c r="E601" i="4"/>
  <c r="D601" i="4"/>
  <c r="C601" i="4"/>
  <c r="N601" i="4" s="1"/>
  <c r="B601" i="4"/>
  <c r="A601" i="4"/>
  <c r="L600" i="4"/>
  <c r="K600" i="4"/>
  <c r="J600" i="4"/>
  <c r="I600" i="4"/>
  <c r="H600" i="4"/>
  <c r="G600" i="4"/>
  <c r="F600" i="4"/>
  <c r="Q600" i="4" s="1"/>
  <c r="E600" i="4"/>
  <c r="D600" i="4"/>
  <c r="C600" i="4"/>
  <c r="N600" i="4" s="1"/>
  <c r="B600" i="4"/>
  <c r="A600" i="4"/>
  <c r="L599" i="4"/>
  <c r="K599" i="4"/>
  <c r="J599" i="4"/>
  <c r="I599" i="4"/>
  <c r="H599" i="4"/>
  <c r="G599" i="4"/>
  <c r="F599" i="4"/>
  <c r="Q599" i="4" s="1"/>
  <c r="E599" i="4"/>
  <c r="D599" i="4"/>
  <c r="C599" i="4"/>
  <c r="N599" i="4" s="1"/>
  <c r="B599" i="4"/>
  <c r="A599" i="4"/>
  <c r="L598" i="4"/>
  <c r="K598" i="4"/>
  <c r="J598" i="4"/>
  <c r="I598" i="4"/>
  <c r="H598" i="4"/>
  <c r="G598" i="4"/>
  <c r="F598" i="4"/>
  <c r="Q598" i="4" s="1"/>
  <c r="E598" i="4"/>
  <c r="D598" i="4"/>
  <c r="C598" i="4"/>
  <c r="N598" i="4" s="1"/>
  <c r="B598" i="4"/>
  <c r="A598" i="4"/>
  <c r="L597" i="4"/>
  <c r="K597" i="4"/>
  <c r="J597" i="4"/>
  <c r="I597" i="4"/>
  <c r="H597" i="4"/>
  <c r="G597" i="4"/>
  <c r="F597" i="4"/>
  <c r="Q597" i="4" s="1"/>
  <c r="E597" i="4"/>
  <c r="D597" i="4"/>
  <c r="C597" i="4"/>
  <c r="N597" i="4" s="1"/>
  <c r="B597" i="4"/>
  <c r="A597" i="4"/>
  <c r="L596" i="4"/>
  <c r="K596" i="4"/>
  <c r="J596" i="4"/>
  <c r="I596" i="4"/>
  <c r="H596" i="4"/>
  <c r="G596" i="4"/>
  <c r="F596" i="4"/>
  <c r="Q596" i="4" s="1"/>
  <c r="E596" i="4"/>
  <c r="D596" i="4"/>
  <c r="C596" i="4"/>
  <c r="N596" i="4" s="1"/>
  <c r="B596" i="4"/>
  <c r="A596" i="4"/>
  <c r="L595" i="4"/>
  <c r="K595" i="4"/>
  <c r="J595" i="4"/>
  <c r="I595" i="4"/>
  <c r="H595" i="4"/>
  <c r="G595" i="4"/>
  <c r="F595" i="4"/>
  <c r="Q595" i="4" s="1"/>
  <c r="E595" i="4"/>
  <c r="D595" i="4"/>
  <c r="C595" i="4"/>
  <c r="N595" i="4" s="1"/>
  <c r="B595" i="4"/>
  <c r="A595" i="4"/>
  <c r="L594" i="4"/>
  <c r="K594" i="4"/>
  <c r="J594" i="4"/>
  <c r="I594" i="4"/>
  <c r="H594" i="4"/>
  <c r="G594" i="4"/>
  <c r="F594" i="4"/>
  <c r="Q594" i="4" s="1"/>
  <c r="E594" i="4"/>
  <c r="D594" i="4"/>
  <c r="C594" i="4"/>
  <c r="N594" i="4" s="1"/>
  <c r="B594" i="4"/>
  <c r="A594" i="4"/>
  <c r="L593" i="4"/>
  <c r="K593" i="4"/>
  <c r="J593" i="4"/>
  <c r="I593" i="4"/>
  <c r="H593" i="4"/>
  <c r="G593" i="4"/>
  <c r="F593" i="4"/>
  <c r="Q593" i="4" s="1"/>
  <c r="E593" i="4"/>
  <c r="D593" i="4"/>
  <c r="C593" i="4"/>
  <c r="N593" i="4" s="1"/>
  <c r="B593" i="4"/>
  <c r="A593" i="4"/>
  <c r="L592" i="4"/>
  <c r="K592" i="4"/>
  <c r="J592" i="4"/>
  <c r="I592" i="4"/>
  <c r="H592" i="4"/>
  <c r="G592" i="4"/>
  <c r="F592" i="4"/>
  <c r="Q592" i="4" s="1"/>
  <c r="E592" i="4"/>
  <c r="D592" i="4"/>
  <c r="C592" i="4"/>
  <c r="N592" i="4" s="1"/>
  <c r="B592" i="4"/>
  <c r="A592" i="4"/>
  <c r="L591" i="4"/>
  <c r="K591" i="4"/>
  <c r="J591" i="4"/>
  <c r="I591" i="4"/>
  <c r="H591" i="4"/>
  <c r="G591" i="4"/>
  <c r="F591" i="4"/>
  <c r="Q591" i="4" s="1"/>
  <c r="E591" i="4"/>
  <c r="D591" i="4"/>
  <c r="C591" i="4"/>
  <c r="N591" i="4" s="1"/>
  <c r="B591" i="4"/>
  <c r="A591" i="4"/>
  <c r="L590" i="4"/>
  <c r="K590" i="4"/>
  <c r="J590" i="4"/>
  <c r="I590" i="4"/>
  <c r="H590" i="4"/>
  <c r="G590" i="4"/>
  <c r="F590" i="4"/>
  <c r="Q590" i="4" s="1"/>
  <c r="E590" i="4"/>
  <c r="D590" i="4"/>
  <c r="C590" i="4"/>
  <c r="N590" i="4" s="1"/>
  <c r="B590" i="4"/>
  <c r="A590" i="4"/>
  <c r="L589" i="4"/>
  <c r="K589" i="4"/>
  <c r="J589" i="4"/>
  <c r="I589" i="4"/>
  <c r="H589" i="4"/>
  <c r="G589" i="4"/>
  <c r="F589" i="4"/>
  <c r="Q589" i="4" s="1"/>
  <c r="E589" i="4"/>
  <c r="D589" i="4"/>
  <c r="C589" i="4"/>
  <c r="N589" i="4" s="1"/>
  <c r="B589" i="4"/>
  <c r="A589" i="4"/>
  <c r="L588" i="4"/>
  <c r="K588" i="4"/>
  <c r="J588" i="4"/>
  <c r="I588" i="4"/>
  <c r="H588" i="4"/>
  <c r="G588" i="4"/>
  <c r="F588" i="4"/>
  <c r="Q588" i="4" s="1"/>
  <c r="E588" i="4"/>
  <c r="D588" i="4"/>
  <c r="C588" i="4"/>
  <c r="N588" i="4" s="1"/>
  <c r="B588" i="4"/>
  <c r="A588" i="4"/>
  <c r="L587" i="4"/>
  <c r="K587" i="4"/>
  <c r="J587" i="4"/>
  <c r="I587" i="4"/>
  <c r="H587" i="4"/>
  <c r="G587" i="4"/>
  <c r="F587" i="4"/>
  <c r="Q587" i="4" s="1"/>
  <c r="E587" i="4"/>
  <c r="D587" i="4"/>
  <c r="C587" i="4"/>
  <c r="N587" i="4" s="1"/>
  <c r="B587" i="4"/>
  <c r="A587" i="4"/>
  <c r="L586" i="4"/>
  <c r="K586" i="4"/>
  <c r="J586" i="4"/>
  <c r="I586" i="4"/>
  <c r="H586" i="4"/>
  <c r="G586" i="4"/>
  <c r="F586" i="4"/>
  <c r="Q586" i="4" s="1"/>
  <c r="E586" i="4"/>
  <c r="D586" i="4"/>
  <c r="C586" i="4"/>
  <c r="N586" i="4" s="1"/>
  <c r="B586" i="4"/>
  <c r="A586" i="4"/>
  <c r="L585" i="4"/>
  <c r="K585" i="4"/>
  <c r="J585" i="4"/>
  <c r="I585" i="4"/>
  <c r="H585" i="4"/>
  <c r="G585" i="4"/>
  <c r="F585" i="4"/>
  <c r="Q585" i="4" s="1"/>
  <c r="E585" i="4"/>
  <c r="D585" i="4"/>
  <c r="C585" i="4"/>
  <c r="N585" i="4" s="1"/>
  <c r="B585" i="4"/>
  <c r="A585" i="4"/>
  <c r="L584" i="4"/>
  <c r="K584" i="4"/>
  <c r="J584" i="4"/>
  <c r="I584" i="4"/>
  <c r="H584" i="4"/>
  <c r="G584" i="4"/>
  <c r="F584" i="4"/>
  <c r="Q584" i="4" s="1"/>
  <c r="E584" i="4"/>
  <c r="D584" i="4"/>
  <c r="C584" i="4"/>
  <c r="N584" i="4" s="1"/>
  <c r="B584" i="4"/>
  <c r="A584" i="4"/>
  <c r="L583" i="4"/>
  <c r="K583" i="4"/>
  <c r="J583" i="4"/>
  <c r="I583" i="4"/>
  <c r="H583" i="4"/>
  <c r="G583" i="4"/>
  <c r="F583" i="4"/>
  <c r="Q583" i="4" s="1"/>
  <c r="E583" i="4"/>
  <c r="D583" i="4"/>
  <c r="C583" i="4"/>
  <c r="N583" i="4" s="1"/>
  <c r="B583" i="4"/>
  <c r="A583" i="4"/>
  <c r="L582" i="4"/>
  <c r="K582" i="4"/>
  <c r="J582" i="4"/>
  <c r="I582" i="4"/>
  <c r="H582" i="4"/>
  <c r="G582" i="4"/>
  <c r="F582" i="4"/>
  <c r="Q582" i="4" s="1"/>
  <c r="E582" i="4"/>
  <c r="D582" i="4"/>
  <c r="C582" i="4"/>
  <c r="N582" i="4" s="1"/>
  <c r="B582" i="4"/>
  <c r="A582" i="4"/>
  <c r="L581" i="4"/>
  <c r="K581" i="4"/>
  <c r="J581" i="4"/>
  <c r="I581" i="4"/>
  <c r="H581" i="4"/>
  <c r="G581" i="4"/>
  <c r="F581" i="4"/>
  <c r="Q581" i="4" s="1"/>
  <c r="E581" i="4"/>
  <c r="D581" i="4"/>
  <c r="C581" i="4"/>
  <c r="N581" i="4" s="1"/>
  <c r="B581" i="4"/>
  <c r="A581" i="4"/>
  <c r="L580" i="4"/>
  <c r="K580" i="4"/>
  <c r="J580" i="4"/>
  <c r="I580" i="4"/>
  <c r="H580" i="4"/>
  <c r="G580" i="4"/>
  <c r="F580" i="4"/>
  <c r="Q580" i="4" s="1"/>
  <c r="E580" i="4"/>
  <c r="D580" i="4"/>
  <c r="C580" i="4"/>
  <c r="N580" i="4" s="1"/>
  <c r="B580" i="4"/>
  <c r="A580" i="4"/>
  <c r="L579" i="4"/>
  <c r="K579" i="4"/>
  <c r="J579" i="4"/>
  <c r="I579" i="4"/>
  <c r="H579" i="4"/>
  <c r="G579" i="4"/>
  <c r="F579" i="4"/>
  <c r="Q579" i="4" s="1"/>
  <c r="E579" i="4"/>
  <c r="D579" i="4"/>
  <c r="C579" i="4"/>
  <c r="N579" i="4" s="1"/>
  <c r="B579" i="4"/>
  <c r="A579" i="4"/>
  <c r="L578" i="4"/>
  <c r="K578" i="4"/>
  <c r="J578" i="4"/>
  <c r="I578" i="4"/>
  <c r="H578" i="4"/>
  <c r="G578" i="4"/>
  <c r="F578" i="4"/>
  <c r="Q578" i="4" s="1"/>
  <c r="E578" i="4"/>
  <c r="D578" i="4"/>
  <c r="C578" i="4"/>
  <c r="N578" i="4" s="1"/>
  <c r="B578" i="4"/>
  <c r="A578" i="4"/>
  <c r="L577" i="4"/>
  <c r="K577" i="4"/>
  <c r="J577" i="4"/>
  <c r="I577" i="4"/>
  <c r="H577" i="4"/>
  <c r="G577" i="4"/>
  <c r="F577" i="4"/>
  <c r="Q577" i="4" s="1"/>
  <c r="E577" i="4"/>
  <c r="D577" i="4"/>
  <c r="C577" i="4"/>
  <c r="N577" i="4" s="1"/>
  <c r="B577" i="4"/>
  <c r="A577" i="4"/>
  <c r="L576" i="4"/>
  <c r="K576" i="4"/>
  <c r="J576" i="4"/>
  <c r="I576" i="4"/>
  <c r="H576" i="4"/>
  <c r="G576" i="4"/>
  <c r="F576" i="4"/>
  <c r="Q576" i="4" s="1"/>
  <c r="E576" i="4"/>
  <c r="D576" i="4"/>
  <c r="C576" i="4"/>
  <c r="N576" i="4" s="1"/>
  <c r="B576" i="4"/>
  <c r="A576" i="4"/>
  <c r="L575" i="4"/>
  <c r="K575" i="4"/>
  <c r="J575" i="4"/>
  <c r="I575" i="4"/>
  <c r="H575" i="4"/>
  <c r="G575" i="4"/>
  <c r="F575" i="4"/>
  <c r="Q575" i="4" s="1"/>
  <c r="E575" i="4"/>
  <c r="D575" i="4"/>
  <c r="C575" i="4"/>
  <c r="N575" i="4" s="1"/>
  <c r="B575" i="4"/>
  <c r="A575" i="4"/>
  <c r="L574" i="4"/>
  <c r="K574" i="4"/>
  <c r="J574" i="4"/>
  <c r="I574" i="4"/>
  <c r="H574" i="4"/>
  <c r="G574" i="4"/>
  <c r="F574" i="4"/>
  <c r="Q574" i="4" s="1"/>
  <c r="E574" i="4"/>
  <c r="D574" i="4"/>
  <c r="C574" i="4"/>
  <c r="N574" i="4" s="1"/>
  <c r="B574" i="4"/>
  <c r="A574" i="4"/>
  <c r="L573" i="4"/>
  <c r="K573" i="4"/>
  <c r="J573" i="4"/>
  <c r="I573" i="4"/>
  <c r="H573" i="4"/>
  <c r="G573" i="4"/>
  <c r="F573" i="4"/>
  <c r="Q573" i="4" s="1"/>
  <c r="E573" i="4"/>
  <c r="D573" i="4"/>
  <c r="C573" i="4"/>
  <c r="N573" i="4" s="1"/>
  <c r="B573" i="4"/>
  <c r="A573" i="4"/>
  <c r="L572" i="4"/>
  <c r="K572" i="4"/>
  <c r="J572" i="4"/>
  <c r="I572" i="4"/>
  <c r="H572" i="4"/>
  <c r="G572" i="4"/>
  <c r="F572" i="4"/>
  <c r="Q572" i="4" s="1"/>
  <c r="E572" i="4"/>
  <c r="D572" i="4"/>
  <c r="C572" i="4"/>
  <c r="N572" i="4" s="1"/>
  <c r="B572" i="4"/>
  <c r="A572" i="4"/>
  <c r="L571" i="4"/>
  <c r="K571" i="4"/>
  <c r="J571" i="4"/>
  <c r="I571" i="4"/>
  <c r="H571" i="4"/>
  <c r="G571" i="4"/>
  <c r="F571" i="4"/>
  <c r="Q571" i="4" s="1"/>
  <c r="E571" i="4"/>
  <c r="D571" i="4"/>
  <c r="C571" i="4"/>
  <c r="N571" i="4" s="1"/>
  <c r="B571" i="4"/>
  <c r="A571" i="4"/>
  <c r="L570" i="4"/>
  <c r="K570" i="4"/>
  <c r="J570" i="4"/>
  <c r="I570" i="4"/>
  <c r="H570" i="4"/>
  <c r="G570" i="4"/>
  <c r="F570" i="4"/>
  <c r="Q570" i="4" s="1"/>
  <c r="E570" i="4"/>
  <c r="D570" i="4"/>
  <c r="C570" i="4"/>
  <c r="N570" i="4" s="1"/>
  <c r="B570" i="4"/>
  <c r="A570" i="4"/>
  <c r="L569" i="4"/>
  <c r="K569" i="4"/>
  <c r="J569" i="4"/>
  <c r="I569" i="4"/>
  <c r="H569" i="4"/>
  <c r="G569" i="4"/>
  <c r="F569" i="4"/>
  <c r="Q569" i="4" s="1"/>
  <c r="E569" i="4"/>
  <c r="D569" i="4"/>
  <c r="C569" i="4"/>
  <c r="N569" i="4" s="1"/>
  <c r="B569" i="4"/>
  <c r="A569" i="4"/>
  <c r="L568" i="4"/>
  <c r="K568" i="4"/>
  <c r="J568" i="4"/>
  <c r="I568" i="4"/>
  <c r="H568" i="4"/>
  <c r="G568" i="4"/>
  <c r="F568" i="4"/>
  <c r="Q568" i="4" s="1"/>
  <c r="E568" i="4"/>
  <c r="D568" i="4"/>
  <c r="C568" i="4"/>
  <c r="N568" i="4" s="1"/>
  <c r="B568" i="4"/>
  <c r="A568" i="4"/>
  <c r="L567" i="4"/>
  <c r="K567" i="4"/>
  <c r="J567" i="4"/>
  <c r="I567" i="4"/>
  <c r="H567" i="4"/>
  <c r="G567" i="4"/>
  <c r="F567" i="4"/>
  <c r="Q567" i="4" s="1"/>
  <c r="E567" i="4"/>
  <c r="D567" i="4"/>
  <c r="C567" i="4"/>
  <c r="N567" i="4" s="1"/>
  <c r="B567" i="4"/>
  <c r="A567" i="4"/>
  <c r="L566" i="4"/>
  <c r="K566" i="4"/>
  <c r="J566" i="4"/>
  <c r="I566" i="4"/>
  <c r="H566" i="4"/>
  <c r="G566" i="4"/>
  <c r="F566" i="4"/>
  <c r="Q566" i="4" s="1"/>
  <c r="E566" i="4"/>
  <c r="D566" i="4"/>
  <c r="C566" i="4"/>
  <c r="N566" i="4" s="1"/>
  <c r="B566" i="4"/>
  <c r="A566" i="4"/>
  <c r="L565" i="4"/>
  <c r="K565" i="4"/>
  <c r="J565" i="4"/>
  <c r="I565" i="4"/>
  <c r="H565" i="4"/>
  <c r="G565" i="4"/>
  <c r="F565" i="4"/>
  <c r="Q565" i="4" s="1"/>
  <c r="E565" i="4"/>
  <c r="D565" i="4"/>
  <c r="C565" i="4"/>
  <c r="N565" i="4" s="1"/>
  <c r="B565" i="4"/>
  <c r="A565" i="4"/>
  <c r="L564" i="4"/>
  <c r="K564" i="4"/>
  <c r="J564" i="4"/>
  <c r="I564" i="4"/>
  <c r="H564" i="4"/>
  <c r="G564" i="4"/>
  <c r="F564" i="4"/>
  <c r="Q564" i="4" s="1"/>
  <c r="E564" i="4"/>
  <c r="D564" i="4"/>
  <c r="C564" i="4"/>
  <c r="N564" i="4" s="1"/>
  <c r="B564" i="4"/>
  <c r="A564" i="4"/>
  <c r="L563" i="4"/>
  <c r="K563" i="4"/>
  <c r="J563" i="4"/>
  <c r="I563" i="4"/>
  <c r="H563" i="4"/>
  <c r="G563" i="4"/>
  <c r="F563" i="4"/>
  <c r="Q563" i="4" s="1"/>
  <c r="E563" i="4"/>
  <c r="D563" i="4"/>
  <c r="C563" i="4"/>
  <c r="N563" i="4" s="1"/>
  <c r="B563" i="4"/>
  <c r="A563" i="4"/>
  <c r="L562" i="4"/>
  <c r="K562" i="4"/>
  <c r="J562" i="4"/>
  <c r="I562" i="4"/>
  <c r="H562" i="4"/>
  <c r="G562" i="4"/>
  <c r="F562" i="4"/>
  <c r="Q562" i="4" s="1"/>
  <c r="E562" i="4"/>
  <c r="D562" i="4"/>
  <c r="C562" i="4"/>
  <c r="N562" i="4" s="1"/>
  <c r="B562" i="4"/>
  <c r="A562" i="4"/>
  <c r="L561" i="4"/>
  <c r="K561" i="4"/>
  <c r="J561" i="4"/>
  <c r="I561" i="4"/>
  <c r="H561" i="4"/>
  <c r="G561" i="4"/>
  <c r="F561" i="4"/>
  <c r="Q561" i="4" s="1"/>
  <c r="E561" i="4"/>
  <c r="D561" i="4"/>
  <c r="C561" i="4"/>
  <c r="N561" i="4" s="1"/>
  <c r="B561" i="4"/>
  <c r="A561" i="4"/>
  <c r="L560" i="4"/>
  <c r="K560" i="4"/>
  <c r="J560" i="4"/>
  <c r="I560" i="4"/>
  <c r="H560" i="4"/>
  <c r="G560" i="4"/>
  <c r="F560" i="4"/>
  <c r="Q560" i="4" s="1"/>
  <c r="E560" i="4"/>
  <c r="D560" i="4"/>
  <c r="C560" i="4"/>
  <c r="N560" i="4" s="1"/>
  <c r="B560" i="4"/>
  <c r="A560" i="4"/>
  <c r="L559" i="4"/>
  <c r="K559" i="4"/>
  <c r="J559" i="4"/>
  <c r="I559" i="4"/>
  <c r="H559" i="4"/>
  <c r="G559" i="4"/>
  <c r="F559" i="4"/>
  <c r="Q559" i="4" s="1"/>
  <c r="E559" i="4"/>
  <c r="D559" i="4"/>
  <c r="C559" i="4"/>
  <c r="N559" i="4" s="1"/>
  <c r="B559" i="4"/>
  <c r="A559" i="4"/>
  <c r="L558" i="4"/>
  <c r="K558" i="4"/>
  <c r="J558" i="4"/>
  <c r="I558" i="4"/>
  <c r="H558" i="4"/>
  <c r="G558" i="4"/>
  <c r="F558" i="4"/>
  <c r="Q558" i="4" s="1"/>
  <c r="E558" i="4"/>
  <c r="D558" i="4"/>
  <c r="C558" i="4"/>
  <c r="N558" i="4" s="1"/>
  <c r="B558" i="4"/>
  <c r="A558" i="4"/>
  <c r="L557" i="4"/>
  <c r="K557" i="4"/>
  <c r="J557" i="4"/>
  <c r="I557" i="4"/>
  <c r="H557" i="4"/>
  <c r="G557" i="4"/>
  <c r="F557" i="4"/>
  <c r="Q557" i="4" s="1"/>
  <c r="E557" i="4"/>
  <c r="D557" i="4"/>
  <c r="C557" i="4"/>
  <c r="N557" i="4" s="1"/>
  <c r="B557" i="4"/>
  <c r="A557" i="4"/>
  <c r="L556" i="4"/>
  <c r="K556" i="4"/>
  <c r="J556" i="4"/>
  <c r="I556" i="4"/>
  <c r="H556" i="4"/>
  <c r="G556" i="4"/>
  <c r="F556" i="4"/>
  <c r="Q556" i="4" s="1"/>
  <c r="E556" i="4"/>
  <c r="D556" i="4"/>
  <c r="C556" i="4"/>
  <c r="N556" i="4" s="1"/>
  <c r="B556" i="4"/>
  <c r="A556" i="4"/>
  <c r="L555" i="4"/>
  <c r="K555" i="4"/>
  <c r="J555" i="4"/>
  <c r="I555" i="4"/>
  <c r="H555" i="4"/>
  <c r="G555" i="4"/>
  <c r="F555" i="4"/>
  <c r="Q555" i="4" s="1"/>
  <c r="E555" i="4"/>
  <c r="D555" i="4"/>
  <c r="C555" i="4"/>
  <c r="N555" i="4" s="1"/>
  <c r="B555" i="4"/>
  <c r="A555" i="4"/>
  <c r="L554" i="4"/>
  <c r="K554" i="4"/>
  <c r="J554" i="4"/>
  <c r="I554" i="4"/>
  <c r="H554" i="4"/>
  <c r="G554" i="4"/>
  <c r="F554" i="4"/>
  <c r="Q554" i="4" s="1"/>
  <c r="E554" i="4"/>
  <c r="D554" i="4"/>
  <c r="C554" i="4"/>
  <c r="N554" i="4" s="1"/>
  <c r="B554" i="4"/>
  <c r="A554" i="4"/>
  <c r="L553" i="4"/>
  <c r="K553" i="4"/>
  <c r="J553" i="4"/>
  <c r="I553" i="4"/>
  <c r="H553" i="4"/>
  <c r="G553" i="4"/>
  <c r="F553" i="4"/>
  <c r="Q553" i="4" s="1"/>
  <c r="E553" i="4"/>
  <c r="D553" i="4"/>
  <c r="C553" i="4"/>
  <c r="N553" i="4" s="1"/>
  <c r="B553" i="4"/>
  <c r="A553" i="4"/>
  <c r="L552" i="4"/>
  <c r="K552" i="4"/>
  <c r="J552" i="4"/>
  <c r="I552" i="4"/>
  <c r="H552" i="4"/>
  <c r="G552" i="4"/>
  <c r="F552" i="4"/>
  <c r="Q552" i="4" s="1"/>
  <c r="E552" i="4"/>
  <c r="D552" i="4"/>
  <c r="C552" i="4"/>
  <c r="N552" i="4" s="1"/>
  <c r="B552" i="4"/>
  <c r="A552" i="4"/>
  <c r="L551" i="4"/>
  <c r="K551" i="4"/>
  <c r="J551" i="4"/>
  <c r="I551" i="4"/>
  <c r="H551" i="4"/>
  <c r="G551" i="4"/>
  <c r="F551" i="4"/>
  <c r="Q551" i="4" s="1"/>
  <c r="E551" i="4"/>
  <c r="D551" i="4"/>
  <c r="C551" i="4"/>
  <c r="N551" i="4" s="1"/>
  <c r="B551" i="4"/>
  <c r="A551" i="4"/>
  <c r="L550" i="4"/>
  <c r="K550" i="4"/>
  <c r="J550" i="4"/>
  <c r="I550" i="4"/>
  <c r="H550" i="4"/>
  <c r="G550" i="4"/>
  <c r="F550" i="4"/>
  <c r="Q550" i="4" s="1"/>
  <c r="E550" i="4"/>
  <c r="D550" i="4"/>
  <c r="C550" i="4"/>
  <c r="N550" i="4" s="1"/>
  <c r="B550" i="4"/>
  <c r="A550" i="4"/>
  <c r="L549" i="4"/>
  <c r="K549" i="4"/>
  <c r="J549" i="4"/>
  <c r="I549" i="4"/>
  <c r="H549" i="4"/>
  <c r="G549" i="4"/>
  <c r="F549" i="4"/>
  <c r="Q549" i="4" s="1"/>
  <c r="E549" i="4"/>
  <c r="D549" i="4"/>
  <c r="C549" i="4"/>
  <c r="N549" i="4" s="1"/>
  <c r="B549" i="4"/>
  <c r="A549" i="4"/>
  <c r="L548" i="4"/>
  <c r="K548" i="4"/>
  <c r="J548" i="4"/>
  <c r="I548" i="4"/>
  <c r="H548" i="4"/>
  <c r="G548" i="4"/>
  <c r="F548" i="4"/>
  <c r="Q548" i="4" s="1"/>
  <c r="E548" i="4"/>
  <c r="D548" i="4"/>
  <c r="C548" i="4"/>
  <c r="N548" i="4" s="1"/>
  <c r="B548" i="4"/>
  <c r="A548" i="4"/>
  <c r="L547" i="4"/>
  <c r="K547" i="4"/>
  <c r="J547" i="4"/>
  <c r="I547" i="4"/>
  <c r="H547" i="4"/>
  <c r="G547" i="4"/>
  <c r="F547" i="4"/>
  <c r="Q547" i="4" s="1"/>
  <c r="E547" i="4"/>
  <c r="D547" i="4"/>
  <c r="C547" i="4"/>
  <c r="N547" i="4" s="1"/>
  <c r="B547" i="4"/>
  <c r="A547" i="4"/>
  <c r="L546" i="4"/>
  <c r="K546" i="4"/>
  <c r="J546" i="4"/>
  <c r="I546" i="4"/>
  <c r="H546" i="4"/>
  <c r="G546" i="4"/>
  <c r="F546" i="4"/>
  <c r="Q546" i="4" s="1"/>
  <c r="E546" i="4"/>
  <c r="D546" i="4"/>
  <c r="C546" i="4"/>
  <c r="N546" i="4" s="1"/>
  <c r="B546" i="4"/>
  <c r="A546" i="4"/>
  <c r="L545" i="4"/>
  <c r="K545" i="4"/>
  <c r="J545" i="4"/>
  <c r="I545" i="4"/>
  <c r="H545" i="4"/>
  <c r="G545" i="4"/>
  <c r="F545" i="4"/>
  <c r="Q545" i="4" s="1"/>
  <c r="E545" i="4"/>
  <c r="D545" i="4"/>
  <c r="C545" i="4"/>
  <c r="N545" i="4" s="1"/>
  <c r="B545" i="4"/>
  <c r="A545" i="4"/>
  <c r="L544" i="4"/>
  <c r="K544" i="4"/>
  <c r="J544" i="4"/>
  <c r="I544" i="4"/>
  <c r="H544" i="4"/>
  <c r="G544" i="4"/>
  <c r="F544" i="4"/>
  <c r="Q544" i="4" s="1"/>
  <c r="E544" i="4"/>
  <c r="D544" i="4"/>
  <c r="M544" i="4" s="1"/>
  <c r="C544" i="4"/>
  <c r="N544" i="4" s="1"/>
  <c r="B544" i="4"/>
  <c r="A544" i="4"/>
  <c r="L543" i="4"/>
  <c r="K543" i="4"/>
  <c r="J543" i="4"/>
  <c r="I543" i="4"/>
  <c r="H543" i="4"/>
  <c r="G543" i="4"/>
  <c r="F543" i="4"/>
  <c r="Q543" i="4" s="1"/>
  <c r="E543" i="4"/>
  <c r="D543" i="4"/>
  <c r="C543" i="4"/>
  <c r="N543" i="4" s="1"/>
  <c r="B543" i="4"/>
  <c r="A543" i="4"/>
  <c r="L542" i="4"/>
  <c r="K542" i="4"/>
  <c r="J542" i="4"/>
  <c r="I542" i="4"/>
  <c r="H542" i="4"/>
  <c r="G542" i="4"/>
  <c r="F542" i="4"/>
  <c r="Q542" i="4" s="1"/>
  <c r="E542" i="4"/>
  <c r="D542" i="4"/>
  <c r="C542" i="4"/>
  <c r="N542" i="4" s="1"/>
  <c r="B542" i="4"/>
  <c r="A542" i="4"/>
  <c r="L541" i="4"/>
  <c r="K541" i="4"/>
  <c r="J541" i="4"/>
  <c r="I541" i="4"/>
  <c r="H541" i="4"/>
  <c r="G541" i="4"/>
  <c r="F541" i="4"/>
  <c r="Q541" i="4" s="1"/>
  <c r="E541" i="4"/>
  <c r="D541" i="4"/>
  <c r="C541" i="4"/>
  <c r="N541" i="4" s="1"/>
  <c r="B541" i="4"/>
  <c r="A541" i="4"/>
  <c r="L540" i="4"/>
  <c r="K540" i="4"/>
  <c r="J540" i="4"/>
  <c r="I540" i="4"/>
  <c r="H540" i="4"/>
  <c r="G540" i="4"/>
  <c r="F540" i="4"/>
  <c r="Q540" i="4" s="1"/>
  <c r="E540" i="4"/>
  <c r="D540" i="4"/>
  <c r="C540" i="4"/>
  <c r="N540" i="4" s="1"/>
  <c r="B540" i="4"/>
  <c r="A540" i="4"/>
  <c r="L539" i="4"/>
  <c r="K539" i="4"/>
  <c r="J539" i="4"/>
  <c r="I539" i="4"/>
  <c r="H539" i="4"/>
  <c r="G539" i="4"/>
  <c r="F539" i="4"/>
  <c r="Q539" i="4" s="1"/>
  <c r="E539" i="4"/>
  <c r="D539" i="4"/>
  <c r="C539" i="4"/>
  <c r="N539" i="4" s="1"/>
  <c r="B539" i="4"/>
  <c r="A539" i="4"/>
  <c r="L538" i="4"/>
  <c r="K538" i="4"/>
  <c r="J538" i="4"/>
  <c r="I538" i="4"/>
  <c r="H538" i="4"/>
  <c r="G538" i="4"/>
  <c r="F538" i="4"/>
  <c r="Q538" i="4" s="1"/>
  <c r="E538" i="4"/>
  <c r="D538" i="4"/>
  <c r="C538" i="4"/>
  <c r="N538" i="4" s="1"/>
  <c r="B538" i="4"/>
  <c r="A538" i="4"/>
  <c r="L537" i="4"/>
  <c r="K537" i="4"/>
  <c r="J537" i="4"/>
  <c r="I537" i="4"/>
  <c r="H537" i="4"/>
  <c r="G537" i="4"/>
  <c r="F537" i="4"/>
  <c r="Q537" i="4" s="1"/>
  <c r="E537" i="4"/>
  <c r="D537" i="4"/>
  <c r="C537" i="4"/>
  <c r="N537" i="4" s="1"/>
  <c r="B537" i="4"/>
  <c r="A537" i="4"/>
  <c r="L536" i="4"/>
  <c r="K536" i="4"/>
  <c r="J536" i="4"/>
  <c r="I536" i="4"/>
  <c r="H536" i="4"/>
  <c r="G536" i="4"/>
  <c r="F536" i="4"/>
  <c r="Q536" i="4" s="1"/>
  <c r="E536" i="4"/>
  <c r="D536" i="4"/>
  <c r="C536" i="4"/>
  <c r="N536" i="4" s="1"/>
  <c r="B536" i="4"/>
  <c r="A536" i="4"/>
  <c r="L535" i="4"/>
  <c r="K535" i="4"/>
  <c r="J535" i="4"/>
  <c r="I535" i="4"/>
  <c r="H535" i="4"/>
  <c r="G535" i="4"/>
  <c r="F535" i="4"/>
  <c r="Q535" i="4" s="1"/>
  <c r="E535" i="4"/>
  <c r="D535" i="4"/>
  <c r="C535" i="4"/>
  <c r="N535" i="4" s="1"/>
  <c r="B535" i="4"/>
  <c r="A535" i="4"/>
  <c r="L534" i="4"/>
  <c r="K534" i="4"/>
  <c r="J534" i="4"/>
  <c r="I534" i="4"/>
  <c r="H534" i="4"/>
  <c r="G534" i="4"/>
  <c r="F534" i="4"/>
  <c r="Q534" i="4" s="1"/>
  <c r="E534" i="4"/>
  <c r="D534" i="4"/>
  <c r="C534" i="4"/>
  <c r="N534" i="4" s="1"/>
  <c r="B534" i="4"/>
  <c r="A534" i="4"/>
  <c r="L533" i="4"/>
  <c r="K533" i="4"/>
  <c r="J533" i="4"/>
  <c r="I533" i="4"/>
  <c r="H533" i="4"/>
  <c r="G533" i="4"/>
  <c r="F533" i="4"/>
  <c r="Q533" i="4" s="1"/>
  <c r="E533" i="4"/>
  <c r="D533" i="4"/>
  <c r="C533" i="4"/>
  <c r="N533" i="4" s="1"/>
  <c r="B533" i="4"/>
  <c r="A533" i="4"/>
  <c r="L532" i="4"/>
  <c r="K532" i="4"/>
  <c r="J532" i="4"/>
  <c r="I532" i="4"/>
  <c r="H532" i="4"/>
  <c r="G532" i="4"/>
  <c r="F532" i="4"/>
  <c r="Q532" i="4" s="1"/>
  <c r="E532" i="4"/>
  <c r="D532" i="4"/>
  <c r="C532" i="4"/>
  <c r="N532" i="4" s="1"/>
  <c r="B532" i="4"/>
  <c r="A532" i="4"/>
  <c r="L531" i="4"/>
  <c r="K531" i="4"/>
  <c r="J531" i="4"/>
  <c r="I531" i="4"/>
  <c r="H531" i="4"/>
  <c r="G531" i="4"/>
  <c r="F531" i="4"/>
  <c r="Q531" i="4" s="1"/>
  <c r="E531" i="4"/>
  <c r="D531" i="4"/>
  <c r="C531" i="4"/>
  <c r="N531" i="4" s="1"/>
  <c r="B531" i="4"/>
  <c r="A531" i="4"/>
  <c r="L530" i="4"/>
  <c r="K530" i="4"/>
  <c r="J530" i="4"/>
  <c r="I530" i="4"/>
  <c r="H530" i="4"/>
  <c r="G530" i="4"/>
  <c r="F530" i="4"/>
  <c r="Q530" i="4" s="1"/>
  <c r="E530" i="4"/>
  <c r="D530" i="4"/>
  <c r="C530" i="4"/>
  <c r="N530" i="4" s="1"/>
  <c r="B530" i="4"/>
  <c r="A530" i="4"/>
  <c r="L529" i="4"/>
  <c r="K529" i="4"/>
  <c r="J529" i="4"/>
  <c r="I529" i="4"/>
  <c r="H529" i="4"/>
  <c r="G529" i="4"/>
  <c r="F529" i="4"/>
  <c r="Q529" i="4" s="1"/>
  <c r="E529" i="4"/>
  <c r="D529" i="4"/>
  <c r="C529" i="4"/>
  <c r="N529" i="4" s="1"/>
  <c r="B529" i="4"/>
  <c r="A529" i="4"/>
  <c r="L528" i="4"/>
  <c r="K528" i="4"/>
  <c r="J528" i="4"/>
  <c r="I528" i="4"/>
  <c r="H528" i="4"/>
  <c r="G528" i="4"/>
  <c r="F528" i="4"/>
  <c r="Q528" i="4" s="1"/>
  <c r="E528" i="4"/>
  <c r="D528" i="4"/>
  <c r="C528" i="4"/>
  <c r="N528" i="4" s="1"/>
  <c r="B528" i="4"/>
  <c r="A528" i="4"/>
  <c r="L527" i="4"/>
  <c r="K527" i="4"/>
  <c r="J527" i="4"/>
  <c r="I527" i="4"/>
  <c r="H527" i="4"/>
  <c r="G527" i="4"/>
  <c r="F527" i="4"/>
  <c r="Q527" i="4" s="1"/>
  <c r="E527" i="4"/>
  <c r="D527" i="4"/>
  <c r="C527" i="4"/>
  <c r="N527" i="4" s="1"/>
  <c r="B527" i="4"/>
  <c r="A527" i="4"/>
  <c r="L526" i="4"/>
  <c r="K526" i="4"/>
  <c r="J526" i="4"/>
  <c r="I526" i="4"/>
  <c r="H526" i="4"/>
  <c r="G526" i="4"/>
  <c r="F526" i="4"/>
  <c r="Q526" i="4" s="1"/>
  <c r="E526" i="4"/>
  <c r="D526" i="4"/>
  <c r="C526" i="4"/>
  <c r="N526" i="4" s="1"/>
  <c r="B526" i="4"/>
  <c r="A526" i="4"/>
  <c r="L525" i="4"/>
  <c r="K525" i="4"/>
  <c r="J525" i="4"/>
  <c r="I525" i="4"/>
  <c r="H525" i="4"/>
  <c r="G525" i="4"/>
  <c r="F525" i="4"/>
  <c r="Q525" i="4" s="1"/>
  <c r="E525" i="4"/>
  <c r="D525" i="4"/>
  <c r="C525" i="4"/>
  <c r="N525" i="4" s="1"/>
  <c r="B525" i="4"/>
  <c r="A525" i="4"/>
  <c r="L524" i="4"/>
  <c r="K524" i="4"/>
  <c r="J524" i="4"/>
  <c r="I524" i="4"/>
  <c r="H524" i="4"/>
  <c r="G524" i="4"/>
  <c r="F524" i="4"/>
  <c r="Q524" i="4" s="1"/>
  <c r="E524" i="4"/>
  <c r="D524" i="4"/>
  <c r="C524" i="4"/>
  <c r="N524" i="4" s="1"/>
  <c r="B524" i="4"/>
  <c r="A524" i="4"/>
  <c r="L523" i="4"/>
  <c r="K523" i="4"/>
  <c r="J523" i="4"/>
  <c r="I523" i="4"/>
  <c r="H523" i="4"/>
  <c r="G523" i="4"/>
  <c r="F523" i="4"/>
  <c r="Q523" i="4" s="1"/>
  <c r="E523" i="4"/>
  <c r="D523" i="4"/>
  <c r="C523" i="4"/>
  <c r="N523" i="4" s="1"/>
  <c r="B523" i="4"/>
  <c r="A523" i="4"/>
  <c r="L522" i="4"/>
  <c r="K522" i="4"/>
  <c r="J522" i="4"/>
  <c r="I522" i="4"/>
  <c r="H522" i="4"/>
  <c r="G522" i="4"/>
  <c r="F522" i="4"/>
  <c r="Q522" i="4" s="1"/>
  <c r="E522" i="4"/>
  <c r="D522" i="4"/>
  <c r="C522" i="4"/>
  <c r="N522" i="4" s="1"/>
  <c r="B522" i="4"/>
  <c r="A522" i="4"/>
  <c r="L521" i="4"/>
  <c r="K521" i="4"/>
  <c r="J521" i="4"/>
  <c r="I521" i="4"/>
  <c r="H521" i="4"/>
  <c r="G521" i="4"/>
  <c r="F521" i="4"/>
  <c r="Q521" i="4" s="1"/>
  <c r="E521" i="4"/>
  <c r="D521" i="4"/>
  <c r="C521" i="4"/>
  <c r="N521" i="4" s="1"/>
  <c r="B521" i="4"/>
  <c r="A521" i="4"/>
  <c r="L520" i="4"/>
  <c r="K520" i="4"/>
  <c r="J520" i="4"/>
  <c r="I520" i="4"/>
  <c r="H520" i="4"/>
  <c r="G520" i="4"/>
  <c r="F520" i="4"/>
  <c r="Q520" i="4" s="1"/>
  <c r="E520" i="4"/>
  <c r="D520" i="4"/>
  <c r="C520" i="4"/>
  <c r="N520" i="4" s="1"/>
  <c r="B520" i="4"/>
  <c r="A520" i="4"/>
  <c r="L519" i="4"/>
  <c r="K519" i="4"/>
  <c r="J519" i="4"/>
  <c r="I519" i="4"/>
  <c r="H519" i="4"/>
  <c r="G519" i="4"/>
  <c r="F519" i="4"/>
  <c r="Q519" i="4" s="1"/>
  <c r="E519" i="4"/>
  <c r="D519" i="4"/>
  <c r="C519" i="4"/>
  <c r="N519" i="4" s="1"/>
  <c r="B519" i="4"/>
  <c r="A519" i="4"/>
  <c r="L518" i="4"/>
  <c r="K518" i="4"/>
  <c r="J518" i="4"/>
  <c r="I518" i="4"/>
  <c r="H518" i="4"/>
  <c r="G518" i="4"/>
  <c r="F518" i="4"/>
  <c r="Q518" i="4" s="1"/>
  <c r="E518" i="4"/>
  <c r="D518" i="4"/>
  <c r="C518" i="4"/>
  <c r="N518" i="4" s="1"/>
  <c r="B518" i="4"/>
  <c r="A518" i="4"/>
  <c r="L517" i="4"/>
  <c r="K517" i="4"/>
  <c r="J517" i="4"/>
  <c r="I517" i="4"/>
  <c r="H517" i="4"/>
  <c r="G517" i="4"/>
  <c r="F517" i="4"/>
  <c r="Q517" i="4" s="1"/>
  <c r="E517" i="4"/>
  <c r="D517" i="4"/>
  <c r="C517" i="4"/>
  <c r="N517" i="4" s="1"/>
  <c r="B517" i="4"/>
  <c r="A517" i="4"/>
  <c r="L516" i="4"/>
  <c r="K516" i="4"/>
  <c r="J516" i="4"/>
  <c r="I516" i="4"/>
  <c r="H516" i="4"/>
  <c r="G516" i="4"/>
  <c r="F516" i="4"/>
  <c r="Q516" i="4" s="1"/>
  <c r="E516" i="4"/>
  <c r="D516" i="4"/>
  <c r="C516" i="4"/>
  <c r="N516" i="4" s="1"/>
  <c r="B516" i="4"/>
  <c r="A516" i="4"/>
  <c r="L515" i="4"/>
  <c r="K515" i="4"/>
  <c r="J515" i="4"/>
  <c r="I515" i="4"/>
  <c r="H515" i="4"/>
  <c r="G515" i="4"/>
  <c r="F515" i="4"/>
  <c r="Q515" i="4" s="1"/>
  <c r="E515" i="4"/>
  <c r="D515" i="4"/>
  <c r="C515" i="4"/>
  <c r="N515" i="4" s="1"/>
  <c r="B515" i="4"/>
  <c r="A515" i="4"/>
  <c r="L514" i="4"/>
  <c r="K514" i="4"/>
  <c r="J514" i="4"/>
  <c r="I514" i="4"/>
  <c r="H514" i="4"/>
  <c r="G514" i="4"/>
  <c r="F514" i="4"/>
  <c r="Q514" i="4" s="1"/>
  <c r="E514" i="4"/>
  <c r="D514" i="4"/>
  <c r="C514" i="4"/>
  <c r="N514" i="4" s="1"/>
  <c r="B514" i="4"/>
  <c r="A514" i="4"/>
  <c r="L513" i="4"/>
  <c r="K513" i="4"/>
  <c r="J513" i="4"/>
  <c r="I513" i="4"/>
  <c r="H513" i="4"/>
  <c r="G513" i="4"/>
  <c r="F513" i="4"/>
  <c r="Q513" i="4" s="1"/>
  <c r="E513" i="4"/>
  <c r="D513" i="4"/>
  <c r="C513" i="4"/>
  <c r="N513" i="4" s="1"/>
  <c r="B513" i="4"/>
  <c r="A513" i="4"/>
  <c r="L512" i="4"/>
  <c r="K512" i="4"/>
  <c r="J512" i="4"/>
  <c r="I512" i="4"/>
  <c r="H512" i="4"/>
  <c r="G512" i="4"/>
  <c r="F512" i="4"/>
  <c r="Q512" i="4" s="1"/>
  <c r="E512" i="4"/>
  <c r="D512" i="4"/>
  <c r="C512" i="4"/>
  <c r="N512" i="4" s="1"/>
  <c r="B512" i="4"/>
  <c r="A512" i="4"/>
  <c r="L511" i="4"/>
  <c r="K511" i="4"/>
  <c r="J511" i="4"/>
  <c r="I511" i="4"/>
  <c r="H511" i="4"/>
  <c r="G511" i="4"/>
  <c r="F511" i="4"/>
  <c r="Q511" i="4" s="1"/>
  <c r="E511" i="4"/>
  <c r="D511" i="4"/>
  <c r="C511" i="4"/>
  <c r="N511" i="4" s="1"/>
  <c r="B511" i="4"/>
  <c r="A511" i="4"/>
  <c r="L510" i="4"/>
  <c r="K510" i="4"/>
  <c r="J510" i="4"/>
  <c r="I510" i="4"/>
  <c r="H510" i="4"/>
  <c r="G510" i="4"/>
  <c r="F510" i="4"/>
  <c r="Q510" i="4" s="1"/>
  <c r="E510" i="4"/>
  <c r="D510" i="4"/>
  <c r="C510" i="4"/>
  <c r="N510" i="4" s="1"/>
  <c r="B510" i="4"/>
  <c r="A510" i="4"/>
  <c r="L509" i="4"/>
  <c r="K509" i="4"/>
  <c r="J509" i="4"/>
  <c r="I509" i="4"/>
  <c r="H509" i="4"/>
  <c r="G509" i="4"/>
  <c r="F509" i="4"/>
  <c r="Q509" i="4" s="1"/>
  <c r="E509" i="4"/>
  <c r="D509" i="4"/>
  <c r="C509" i="4"/>
  <c r="N509" i="4" s="1"/>
  <c r="B509" i="4"/>
  <c r="A509" i="4"/>
  <c r="L508" i="4"/>
  <c r="K508" i="4"/>
  <c r="J508" i="4"/>
  <c r="I508" i="4"/>
  <c r="H508" i="4"/>
  <c r="G508" i="4"/>
  <c r="F508" i="4"/>
  <c r="Q508" i="4" s="1"/>
  <c r="E508" i="4"/>
  <c r="D508" i="4"/>
  <c r="C508" i="4"/>
  <c r="N508" i="4" s="1"/>
  <c r="B508" i="4"/>
  <c r="A508" i="4"/>
  <c r="L507" i="4"/>
  <c r="K507" i="4"/>
  <c r="J507" i="4"/>
  <c r="I507" i="4"/>
  <c r="H507" i="4"/>
  <c r="G507" i="4"/>
  <c r="F507" i="4"/>
  <c r="Q507" i="4" s="1"/>
  <c r="E507" i="4"/>
  <c r="D507" i="4"/>
  <c r="C507" i="4"/>
  <c r="N507" i="4" s="1"/>
  <c r="B507" i="4"/>
  <c r="A507" i="4"/>
  <c r="L506" i="4"/>
  <c r="K506" i="4"/>
  <c r="J506" i="4"/>
  <c r="I506" i="4"/>
  <c r="H506" i="4"/>
  <c r="G506" i="4"/>
  <c r="F506" i="4"/>
  <c r="Q506" i="4" s="1"/>
  <c r="E506" i="4"/>
  <c r="D506" i="4"/>
  <c r="C506" i="4"/>
  <c r="N506" i="4" s="1"/>
  <c r="B506" i="4"/>
  <c r="A506" i="4"/>
  <c r="L505" i="4"/>
  <c r="K505" i="4"/>
  <c r="J505" i="4"/>
  <c r="I505" i="4"/>
  <c r="H505" i="4"/>
  <c r="G505" i="4"/>
  <c r="F505" i="4"/>
  <c r="Q505" i="4" s="1"/>
  <c r="E505" i="4"/>
  <c r="D505" i="4"/>
  <c r="C505" i="4"/>
  <c r="N505" i="4" s="1"/>
  <c r="B505" i="4"/>
  <c r="A505" i="4"/>
  <c r="L504" i="4"/>
  <c r="K504" i="4"/>
  <c r="J504" i="4"/>
  <c r="I504" i="4"/>
  <c r="H504" i="4"/>
  <c r="G504" i="4"/>
  <c r="F504" i="4"/>
  <c r="Q504" i="4" s="1"/>
  <c r="E504" i="4"/>
  <c r="D504" i="4"/>
  <c r="C504" i="4"/>
  <c r="N504" i="4" s="1"/>
  <c r="B504" i="4"/>
  <c r="A504" i="4"/>
  <c r="L503" i="4"/>
  <c r="K503" i="4"/>
  <c r="J503" i="4"/>
  <c r="I503" i="4"/>
  <c r="H503" i="4"/>
  <c r="G503" i="4"/>
  <c r="F503" i="4"/>
  <c r="Q503" i="4" s="1"/>
  <c r="E503" i="4"/>
  <c r="D503" i="4"/>
  <c r="C503" i="4"/>
  <c r="N503" i="4" s="1"/>
  <c r="B503" i="4"/>
  <c r="A503" i="4"/>
  <c r="L502" i="4"/>
  <c r="K502" i="4"/>
  <c r="J502" i="4"/>
  <c r="I502" i="4"/>
  <c r="H502" i="4"/>
  <c r="G502" i="4"/>
  <c r="F502" i="4"/>
  <c r="Q502" i="4" s="1"/>
  <c r="E502" i="4"/>
  <c r="D502" i="4"/>
  <c r="C502" i="4"/>
  <c r="N502" i="4" s="1"/>
  <c r="B502" i="4"/>
  <c r="A502" i="4"/>
  <c r="L501" i="4"/>
  <c r="K501" i="4"/>
  <c r="J501" i="4"/>
  <c r="I501" i="4"/>
  <c r="H501" i="4"/>
  <c r="G501" i="4"/>
  <c r="F501" i="4"/>
  <c r="Q501" i="4" s="1"/>
  <c r="E501" i="4"/>
  <c r="D501" i="4"/>
  <c r="C501" i="4"/>
  <c r="N501" i="4" s="1"/>
  <c r="B501" i="4"/>
  <c r="A501" i="4"/>
  <c r="L500" i="4"/>
  <c r="K500" i="4"/>
  <c r="J500" i="4"/>
  <c r="I500" i="4"/>
  <c r="H500" i="4"/>
  <c r="G500" i="4"/>
  <c r="F500" i="4"/>
  <c r="Q500" i="4" s="1"/>
  <c r="E500" i="4"/>
  <c r="D500" i="4"/>
  <c r="C500" i="4"/>
  <c r="N500" i="4" s="1"/>
  <c r="B500" i="4"/>
  <c r="A500" i="4"/>
  <c r="L499" i="4"/>
  <c r="K499" i="4"/>
  <c r="J499" i="4"/>
  <c r="I499" i="4"/>
  <c r="H499" i="4"/>
  <c r="G499" i="4"/>
  <c r="F499" i="4"/>
  <c r="Q499" i="4" s="1"/>
  <c r="E499" i="4"/>
  <c r="D499" i="4"/>
  <c r="C499" i="4"/>
  <c r="N499" i="4" s="1"/>
  <c r="B499" i="4"/>
  <c r="A499" i="4"/>
  <c r="L498" i="4"/>
  <c r="K498" i="4"/>
  <c r="J498" i="4"/>
  <c r="I498" i="4"/>
  <c r="H498" i="4"/>
  <c r="G498" i="4"/>
  <c r="F498" i="4"/>
  <c r="Q498" i="4" s="1"/>
  <c r="E498" i="4"/>
  <c r="D498" i="4"/>
  <c r="C498" i="4"/>
  <c r="N498" i="4" s="1"/>
  <c r="B498" i="4"/>
  <c r="A498" i="4"/>
  <c r="L497" i="4"/>
  <c r="K497" i="4"/>
  <c r="J497" i="4"/>
  <c r="I497" i="4"/>
  <c r="H497" i="4"/>
  <c r="G497" i="4"/>
  <c r="F497" i="4"/>
  <c r="Q497" i="4" s="1"/>
  <c r="E497" i="4"/>
  <c r="D497" i="4"/>
  <c r="C497" i="4"/>
  <c r="N497" i="4" s="1"/>
  <c r="B497" i="4"/>
  <c r="A497" i="4"/>
  <c r="L496" i="4"/>
  <c r="K496" i="4"/>
  <c r="J496" i="4"/>
  <c r="I496" i="4"/>
  <c r="H496" i="4"/>
  <c r="G496" i="4"/>
  <c r="F496" i="4"/>
  <c r="Q496" i="4" s="1"/>
  <c r="E496" i="4"/>
  <c r="D496" i="4"/>
  <c r="C496" i="4"/>
  <c r="N496" i="4" s="1"/>
  <c r="B496" i="4"/>
  <c r="A496" i="4"/>
  <c r="L495" i="4"/>
  <c r="K495" i="4"/>
  <c r="J495" i="4"/>
  <c r="I495" i="4"/>
  <c r="H495" i="4"/>
  <c r="G495" i="4"/>
  <c r="F495" i="4"/>
  <c r="Q495" i="4" s="1"/>
  <c r="E495" i="4"/>
  <c r="D495" i="4"/>
  <c r="C495" i="4"/>
  <c r="N495" i="4" s="1"/>
  <c r="B495" i="4"/>
  <c r="A495" i="4"/>
  <c r="L494" i="4"/>
  <c r="K494" i="4"/>
  <c r="J494" i="4"/>
  <c r="I494" i="4"/>
  <c r="H494" i="4"/>
  <c r="G494" i="4"/>
  <c r="F494" i="4"/>
  <c r="Q494" i="4" s="1"/>
  <c r="E494" i="4"/>
  <c r="D494" i="4"/>
  <c r="C494" i="4"/>
  <c r="N494" i="4" s="1"/>
  <c r="B494" i="4"/>
  <c r="A494" i="4"/>
  <c r="L493" i="4"/>
  <c r="K493" i="4"/>
  <c r="J493" i="4"/>
  <c r="I493" i="4"/>
  <c r="H493" i="4"/>
  <c r="G493" i="4"/>
  <c r="F493" i="4"/>
  <c r="Q493" i="4" s="1"/>
  <c r="E493" i="4"/>
  <c r="D493" i="4"/>
  <c r="C493" i="4"/>
  <c r="N493" i="4" s="1"/>
  <c r="B493" i="4"/>
  <c r="A493" i="4"/>
  <c r="L492" i="4"/>
  <c r="K492" i="4"/>
  <c r="J492" i="4"/>
  <c r="I492" i="4"/>
  <c r="H492" i="4"/>
  <c r="G492" i="4"/>
  <c r="F492" i="4"/>
  <c r="Q492" i="4" s="1"/>
  <c r="E492" i="4"/>
  <c r="D492" i="4"/>
  <c r="C492" i="4"/>
  <c r="N492" i="4" s="1"/>
  <c r="B492" i="4"/>
  <c r="A492" i="4"/>
  <c r="L491" i="4"/>
  <c r="K491" i="4"/>
  <c r="J491" i="4"/>
  <c r="I491" i="4"/>
  <c r="H491" i="4"/>
  <c r="G491" i="4"/>
  <c r="F491" i="4"/>
  <c r="Q491" i="4" s="1"/>
  <c r="E491" i="4"/>
  <c r="D491" i="4"/>
  <c r="C491" i="4"/>
  <c r="N491" i="4" s="1"/>
  <c r="B491" i="4"/>
  <c r="A491" i="4"/>
  <c r="L490" i="4"/>
  <c r="K490" i="4"/>
  <c r="J490" i="4"/>
  <c r="I490" i="4"/>
  <c r="H490" i="4"/>
  <c r="G490" i="4"/>
  <c r="F490" i="4"/>
  <c r="Q490" i="4" s="1"/>
  <c r="E490" i="4"/>
  <c r="D490" i="4"/>
  <c r="C490" i="4"/>
  <c r="N490" i="4" s="1"/>
  <c r="B490" i="4"/>
  <c r="A490" i="4"/>
  <c r="L489" i="4"/>
  <c r="K489" i="4"/>
  <c r="J489" i="4"/>
  <c r="I489" i="4"/>
  <c r="H489" i="4"/>
  <c r="G489" i="4"/>
  <c r="F489" i="4"/>
  <c r="Q489" i="4" s="1"/>
  <c r="E489" i="4"/>
  <c r="D489" i="4"/>
  <c r="C489" i="4"/>
  <c r="N489" i="4" s="1"/>
  <c r="B489" i="4"/>
  <c r="A489" i="4"/>
  <c r="L488" i="4"/>
  <c r="K488" i="4"/>
  <c r="J488" i="4"/>
  <c r="I488" i="4"/>
  <c r="H488" i="4"/>
  <c r="G488" i="4"/>
  <c r="F488" i="4"/>
  <c r="Q488" i="4" s="1"/>
  <c r="E488" i="4"/>
  <c r="D488" i="4"/>
  <c r="C488" i="4"/>
  <c r="N488" i="4" s="1"/>
  <c r="B488" i="4"/>
  <c r="A488" i="4"/>
  <c r="L487" i="4"/>
  <c r="K487" i="4"/>
  <c r="J487" i="4"/>
  <c r="I487" i="4"/>
  <c r="H487" i="4"/>
  <c r="G487" i="4"/>
  <c r="F487" i="4"/>
  <c r="Q487" i="4" s="1"/>
  <c r="E487" i="4"/>
  <c r="D487" i="4"/>
  <c r="C487" i="4"/>
  <c r="N487" i="4" s="1"/>
  <c r="B487" i="4"/>
  <c r="A487" i="4"/>
  <c r="L486" i="4"/>
  <c r="K486" i="4"/>
  <c r="J486" i="4"/>
  <c r="I486" i="4"/>
  <c r="H486" i="4"/>
  <c r="G486" i="4"/>
  <c r="F486" i="4"/>
  <c r="Q486" i="4" s="1"/>
  <c r="E486" i="4"/>
  <c r="D486" i="4"/>
  <c r="C486" i="4"/>
  <c r="N486" i="4" s="1"/>
  <c r="B486" i="4"/>
  <c r="A486" i="4"/>
  <c r="L485" i="4"/>
  <c r="K485" i="4"/>
  <c r="J485" i="4"/>
  <c r="I485" i="4"/>
  <c r="H485" i="4"/>
  <c r="G485" i="4"/>
  <c r="F485" i="4"/>
  <c r="Q485" i="4" s="1"/>
  <c r="E485" i="4"/>
  <c r="D485" i="4"/>
  <c r="C485" i="4"/>
  <c r="N485" i="4" s="1"/>
  <c r="B485" i="4"/>
  <c r="A485" i="4"/>
  <c r="L484" i="4"/>
  <c r="K484" i="4"/>
  <c r="J484" i="4"/>
  <c r="I484" i="4"/>
  <c r="H484" i="4"/>
  <c r="G484" i="4"/>
  <c r="F484" i="4"/>
  <c r="Q484" i="4" s="1"/>
  <c r="E484" i="4"/>
  <c r="D484" i="4"/>
  <c r="C484" i="4"/>
  <c r="N484" i="4" s="1"/>
  <c r="B484" i="4"/>
  <c r="A484" i="4"/>
  <c r="L483" i="4"/>
  <c r="K483" i="4"/>
  <c r="J483" i="4"/>
  <c r="I483" i="4"/>
  <c r="H483" i="4"/>
  <c r="G483" i="4"/>
  <c r="F483" i="4"/>
  <c r="Q483" i="4" s="1"/>
  <c r="E483" i="4"/>
  <c r="D483" i="4"/>
  <c r="C483" i="4"/>
  <c r="N483" i="4" s="1"/>
  <c r="B483" i="4"/>
  <c r="A483" i="4"/>
  <c r="L482" i="4"/>
  <c r="K482" i="4"/>
  <c r="J482" i="4"/>
  <c r="I482" i="4"/>
  <c r="H482" i="4"/>
  <c r="G482" i="4"/>
  <c r="F482" i="4"/>
  <c r="Q482" i="4" s="1"/>
  <c r="E482" i="4"/>
  <c r="D482" i="4"/>
  <c r="C482" i="4"/>
  <c r="N482" i="4" s="1"/>
  <c r="B482" i="4"/>
  <c r="A482" i="4"/>
  <c r="L481" i="4"/>
  <c r="K481" i="4"/>
  <c r="J481" i="4"/>
  <c r="I481" i="4"/>
  <c r="H481" i="4"/>
  <c r="G481" i="4"/>
  <c r="F481" i="4"/>
  <c r="Q481" i="4" s="1"/>
  <c r="E481" i="4"/>
  <c r="D481" i="4"/>
  <c r="C481" i="4"/>
  <c r="N481" i="4" s="1"/>
  <c r="B481" i="4"/>
  <c r="A481" i="4"/>
  <c r="L480" i="4"/>
  <c r="K480" i="4"/>
  <c r="J480" i="4"/>
  <c r="I480" i="4"/>
  <c r="H480" i="4"/>
  <c r="G480" i="4"/>
  <c r="F480" i="4"/>
  <c r="Q480" i="4" s="1"/>
  <c r="E480" i="4"/>
  <c r="D480" i="4"/>
  <c r="C480" i="4"/>
  <c r="N480" i="4" s="1"/>
  <c r="B480" i="4"/>
  <c r="A480" i="4"/>
  <c r="L479" i="4"/>
  <c r="K479" i="4"/>
  <c r="J479" i="4"/>
  <c r="I479" i="4"/>
  <c r="H479" i="4"/>
  <c r="G479" i="4"/>
  <c r="F479" i="4"/>
  <c r="Q479" i="4" s="1"/>
  <c r="E479" i="4"/>
  <c r="D479" i="4"/>
  <c r="C479" i="4"/>
  <c r="N479" i="4" s="1"/>
  <c r="B479" i="4"/>
  <c r="A479" i="4"/>
  <c r="L478" i="4"/>
  <c r="K478" i="4"/>
  <c r="J478" i="4"/>
  <c r="I478" i="4"/>
  <c r="H478" i="4"/>
  <c r="G478" i="4"/>
  <c r="F478" i="4"/>
  <c r="Q478" i="4" s="1"/>
  <c r="E478" i="4"/>
  <c r="D478" i="4"/>
  <c r="C478" i="4"/>
  <c r="N478" i="4" s="1"/>
  <c r="B478" i="4"/>
  <c r="A478" i="4"/>
  <c r="L477" i="4"/>
  <c r="K477" i="4"/>
  <c r="J477" i="4"/>
  <c r="I477" i="4"/>
  <c r="H477" i="4"/>
  <c r="G477" i="4"/>
  <c r="F477" i="4"/>
  <c r="Q477" i="4" s="1"/>
  <c r="E477" i="4"/>
  <c r="D477" i="4"/>
  <c r="C477" i="4"/>
  <c r="N477" i="4" s="1"/>
  <c r="B477" i="4"/>
  <c r="A477" i="4"/>
  <c r="L476" i="4"/>
  <c r="K476" i="4"/>
  <c r="J476" i="4"/>
  <c r="I476" i="4"/>
  <c r="H476" i="4"/>
  <c r="G476" i="4"/>
  <c r="F476" i="4"/>
  <c r="Q476" i="4" s="1"/>
  <c r="E476" i="4"/>
  <c r="D476" i="4"/>
  <c r="C476" i="4"/>
  <c r="N476" i="4" s="1"/>
  <c r="B476" i="4"/>
  <c r="A476" i="4"/>
  <c r="L475" i="4"/>
  <c r="K475" i="4"/>
  <c r="J475" i="4"/>
  <c r="I475" i="4"/>
  <c r="H475" i="4"/>
  <c r="G475" i="4"/>
  <c r="F475" i="4"/>
  <c r="Q475" i="4" s="1"/>
  <c r="E475" i="4"/>
  <c r="D475" i="4"/>
  <c r="C475" i="4"/>
  <c r="N475" i="4" s="1"/>
  <c r="B475" i="4"/>
  <c r="A475" i="4"/>
  <c r="L474" i="4"/>
  <c r="K474" i="4"/>
  <c r="J474" i="4"/>
  <c r="I474" i="4"/>
  <c r="H474" i="4"/>
  <c r="G474" i="4"/>
  <c r="F474" i="4"/>
  <c r="Q474" i="4" s="1"/>
  <c r="E474" i="4"/>
  <c r="D474" i="4"/>
  <c r="C474" i="4"/>
  <c r="N474" i="4" s="1"/>
  <c r="B474" i="4"/>
  <c r="A474" i="4"/>
  <c r="L473" i="4"/>
  <c r="K473" i="4"/>
  <c r="J473" i="4"/>
  <c r="I473" i="4"/>
  <c r="H473" i="4"/>
  <c r="G473" i="4"/>
  <c r="F473" i="4"/>
  <c r="Q473" i="4" s="1"/>
  <c r="E473" i="4"/>
  <c r="D473" i="4"/>
  <c r="C473" i="4"/>
  <c r="N473" i="4" s="1"/>
  <c r="B473" i="4"/>
  <c r="A473" i="4"/>
  <c r="L472" i="4"/>
  <c r="K472" i="4"/>
  <c r="J472" i="4"/>
  <c r="I472" i="4"/>
  <c r="H472" i="4"/>
  <c r="G472" i="4"/>
  <c r="F472" i="4"/>
  <c r="Q472" i="4" s="1"/>
  <c r="E472" i="4"/>
  <c r="D472" i="4"/>
  <c r="C472" i="4"/>
  <c r="N472" i="4" s="1"/>
  <c r="B472" i="4"/>
  <c r="A472" i="4"/>
  <c r="L471" i="4"/>
  <c r="K471" i="4"/>
  <c r="J471" i="4"/>
  <c r="I471" i="4"/>
  <c r="H471" i="4"/>
  <c r="G471" i="4"/>
  <c r="F471" i="4"/>
  <c r="Q471" i="4" s="1"/>
  <c r="E471" i="4"/>
  <c r="D471" i="4"/>
  <c r="M471" i="4" s="1"/>
  <c r="C471" i="4"/>
  <c r="N471" i="4" s="1"/>
  <c r="B471" i="4"/>
  <c r="A471" i="4"/>
  <c r="L470" i="4"/>
  <c r="K470" i="4"/>
  <c r="J470" i="4"/>
  <c r="I470" i="4"/>
  <c r="H470" i="4"/>
  <c r="G470" i="4"/>
  <c r="F470" i="4"/>
  <c r="Q470" i="4" s="1"/>
  <c r="E470" i="4"/>
  <c r="D470" i="4"/>
  <c r="C470" i="4"/>
  <c r="N470" i="4" s="1"/>
  <c r="B470" i="4"/>
  <c r="A470" i="4"/>
  <c r="L469" i="4"/>
  <c r="K469" i="4"/>
  <c r="J469" i="4"/>
  <c r="I469" i="4"/>
  <c r="H469" i="4"/>
  <c r="G469" i="4"/>
  <c r="F469" i="4"/>
  <c r="Q469" i="4" s="1"/>
  <c r="E469" i="4"/>
  <c r="D469" i="4"/>
  <c r="C469" i="4"/>
  <c r="N469" i="4" s="1"/>
  <c r="B469" i="4"/>
  <c r="A469" i="4"/>
  <c r="L468" i="4"/>
  <c r="K468" i="4"/>
  <c r="J468" i="4"/>
  <c r="I468" i="4"/>
  <c r="H468" i="4"/>
  <c r="G468" i="4"/>
  <c r="F468" i="4"/>
  <c r="Q468" i="4" s="1"/>
  <c r="E468" i="4"/>
  <c r="D468" i="4"/>
  <c r="C468" i="4"/>
  <c r="N468" i="4" s="1"/>
  <c r="B468" i="4"/>
  <c r="A468" i="4"/>
  <c r="L467" i="4"/>
  <c r="K467" i="4"/>
  <c r="J467" i="4"/>
  <c r="I467" i="4"/>
  <c r="H467" i="4"/>
  <c r="G467" i="4"/>
  <c r="F467" i="4"/>
  <c r="Q467" i="4" s="1"/>
  <c r="E467" i="4"/>
  <c r="D467" i="4"/>
  <c r="M467" i="4" s="1"/>
  <c r="C467" i="4"/>
  <c r="N467" i="4" s="1"/>
  <c r="B467" i="4"/>
  <c r="A467" i="4"/>
  <c r="L466" i="4"/>
  <c r="K466" i="4"/>
  <c r="J466" i="4"/>
  <c r="I466" i="4"/>
  <c r="H466" i="4"/>
  <c r="G466" i="4"/>
  <c r="F466" i="4"/>
  <c r="Q466" i="4" s="1"/>
  <c r="E466" i="4"/>
  <c r="D466" i="4"/>
  <c r="C466" i="4"/>
  <c r="N466" i="4" s="1"/>
  <c r="B466" i="4"/>
  <c r="A466" i="4"/>
  <c r="L465" i="4"/>
  <c r="K465" i="4"/>
  <c r="J465" i="4"/>
  <c r="I465" i="4"/>
  <c r="H465" i="4"/>
  <c r="G465" i="4"/>
  <c r="F465" i="4"/>
  <c r="Q465" i="4" s="1"/>
  <c r="E465" i="4"/>
  <c r="D465" i="4"/>
  <c r="M465" i="4" s="1"/>
  <c r="C465" i="4"/>
  <c r="N465" i="4" s="1"/>
  <c r="B465" i="4"/>
  <c r="A465" i="4"/>
  <c r="L464" i="4"/>
  <c r="K464" i="4"/>
  <c r="J464" i="4"/>
  <c r="I464" i="4"/>
  <c r="H464" i="4"/>
  <c r="G464" i="4"/>
  <c r="F464" i="4"/>
  <c r="Q464" i="4" s="1"/>
  <c r="E464" i="4"/>
  <c r="D464" i="4"/>
  <c r="C464" i="4"/>
  <c r="N464" i="4" s="1"/>
  <c r="B464" i="4"/>
  <c r="A464" i="4"/>
  <c r="L463" i="4"/>
  <c r="K463" i="4"/>
  <c r="J463" i="4"/>
  <c r="I463" i="4"/>
  <c r="H463" i="4"/>
  <c r="G463" i="4"/>
  <c r="F463" i="4"/>
  <c r="Q463" i="4" s="1"/>
  <c r="E463" i="4"/>
  <c r="D463" i="4"/>
  <c r="C463" i="4"/>
  <c r="N463" i="4" s="1"/>
  <c r="B463" i="4"/>
  <c r="A463" i="4"/>
  <c r="L462" i="4"/>
  <c r="K462" i="4"/>
  <c r="J462" i="4"/>
  <c r="I462" i="4"/>
  <c r="H462" i="4"/>
  <c r="G462" i="4"/>
  <c r="F462" i="4"/>
  <c r="Q462" i="4" s="1"/>
  <c r="E462" i="4"/>
  <c r="D462" i="4"/>
  <c r="C462" i="4"/>
  <c r="N462" i="4" s="1"/>
  <c r="B462" i="4"/>
  <c r="A462" i="4"/>
  <c r="L461" i="4"/>
  <c r="K461" i="4"/>
  <c r="J461" i="4"/>
  <c r="I461" i="4"/>
  <c r="H461" i="4"/>
  <c r="G461" i="4"/>
  <c r="F461" i="4"/>
  <c r="Q461" i="4" s="1"/>
  <c r="E461" i="4"/>
  <c r="D461" i="4"/>
  <c r="C461" i="4"/>
  <c r="N461" i="4" s="1"/>
  <c r="B461" i="4"/>
  <c r="A461" i="4"/>
  <c r="L460" i="4"/>
  <c r="K460" i="4"/>
  <c r="J460" i="4"/>
  <c r="I460" i="4"/>
  <c r="H460" i="4"/>
  <c r="G460" i="4"/>
  <c r="F460" i="4"/>
  <c r="Q460" i="4" s="1"/>
  <c r="E460" i="4"/>
  <c r="D460" i="4"/>
  <c r="C460" i="4"/>
  <c r="N460" i="4" s="1"/>
  <c r="B460" i="4"/>
  <c r="A460" i="4"/>
  <c r="L459" i="4"/>
  <c r="K459" i="4"/>
  <c r="J459" i="4"/>
  <c r="I459" i="4"/>
  <c r="H459" i="4"/>
  <c r="G459" i="4"/>
  <c r="F459" i="4"/>
  <c r="Q459" i="4" s="1"/>
  <c r="E459" i="4"/>
  <c r="D459" i="4"/>
  <c r="M459" i="4" s="1"/>
  <c r="C459" i="4"/>
  <c r="N459" i="4" s="1"/>
  <c r="B459" i="4"/>
  <c r="A459" i="4"/>
  <c r="L458" i="4"/>
  <c r="K458" i="4"/>
  <c r="J458" i="4"/>
  <c r="I458" i="4"/>
  <c r="H458" i="4"/>
  <c r="G458" i="4"/>
  <c r="F458" i="4"/>
  <c r="Q458" i="4" s="1"/>
  <c r="E458" i="4"/>
  <c r="D458" i="4"/>
  <c r="M458" i="4" s="1"/>
  <c r="C458" i="4"/>
  <c r="N458" i="4" s="1"/>
  <c r="B458" i="4"/>
  <c r="A458" i="4"/>
  <c r="L457" i="4"/>
  <c r="K457" i="4"/>
  <c r="J457" i="4"/>
  <c r="I457" i="4"/>
  <c r="H457" i="4"/>
  <c r="G457" i="4"/>
  <c r="F457" i="4"/>
  <c r="Q457" i="4" s="1"/>
  <c r="E457" i="4"/>
  <c r="D457" i="4"/>
  <c r="M457" i="4" s="1"/>
  <c r="C457" i="4"/>
  <c r="N457" i="4" s="1"/>
  <c r="B457" i="4"/>
  <c r="A457" i="4"/>
  <c r="L456" i="4"/>
  <c r="K456" i="4"/>
  <c r="J456" i="4"/>
  <c r="I456" i="4"/>
  <c r="H456" i="4"/>
  <c r="G456" i="4"/>
  <c r="F456" i="4"/>
  <c r="Q456" i="4" s="1"/>
  <c r="E456" i="4"/>
  <c r="D456" i="4"/>
  <c r="M456" i="4" s="1"/>
  <c r="C456" i="4"/>
  <c r="N456" i="4" s="1"/>
  <c r="B456" i="4"/>
  <c r="A456" i="4"/>
  <c r="L455" i="4"/>
  <c r="K455" i="4"/>
  <c r="J455" i="4"/>
  <c r="I455" i="4"/>
  <c r="H455" i="4"/>
  <c r="G455" i="4"/>
  <c r="F455" i="4"/>
  <c r="Q455" i="4" s="1"/>
  <c r="E455" i="4"/>
  <c r="D455" i="4"/>
  <c r="M455" i="4" s="1"/>
  <c r="C455" i="4"/>
  <c r="N455" i="4" s="1"/>
  <c r="B455" i="4"/>
  <c r="A455" i="4"/>
  <c r="L454" i="4"/>
  <c r="K454" i="4"/>
  <c r="J454" i="4"/>
  <c r="I454" i="4"/>
  <c r="H454" i="4"/>
  <c r="G454" i="4"/>
  <c r="F454" i="4"/>
  <c r="Q454" i="4" s="1"/>
  <c r="E454" i="4"/>
  <c r="D454" i="4"/>
  <c r="M454" i="4" s="1"/>
  <c r="C454" i="4"/>
  <c r="N454" i="4" s="1"/>
  <c r="B454" i="4"/>
  <c r="A454" i="4"/>
  <c r="L453" i="4"/>
  <c r="K453" i="4"/>
  <c r="J453" i="4"/>
  <c r="I453" i="4"/>
  <c r="H453" i="4"/>
  <c r="G453" i="4"/>
  <c r="F453" i="4"/>
  <c r="Q453" i="4" s="1"/>
  <c r="E453" i="4"/>
  <c r="D453" i="4"/>
  <c r="M453" i="4" s="1"/>
  <c r="C453" i="4"/>
  <c r="N453" i="4" s="1"/>
  <c r="B453" i="4"/>
  <c r="A453" i="4"/>
  <c r="L452" i="4"/>
  <c r="K452" i="4"/>
  <c r="J452" i="4"/>
  <c r="I452" i="4"/>
  <c r="H452" i="4"/>
  <c r="G452" i="4"/>
  <c r="F452" i="4"/>
  <c r="Q452" i="4" s="1"/>
  <c r="E452" i="4"/>
  <c r="D452" i="4"/>
  <c r="M452" i="4" s="1"/>
  <c r="C452" i="4"/>
  <c r="N452" i="4" s="1"/>
  <c r="B452" i="4"/>
  <c r="A452" i="4"/>
  <c r="L451" i="4"/>
  <c r="K451" i="4"/>
  <c r="J451" i="4"/>
  <c r="I451" i="4"/>
  <c r="H451" i="4"/>
  <c r="G451" i="4"/>
  <c r="F451" i="4"/>
  <c r="Q451" i="4" s="1"/>
  <c r="E451" i="4"/>
  <c r="D451" i="4"/>
  <c r="M451" i="4" s="1"/>
  <c r="C451" i="4"/>
  <c r="N451" i="4" s="1"/>
  <c r="B451" i="4"/>
  <c r="A451" i="4"/>
  <c r="L450" i="4"/>
  <c r="K450" i="4"/>
  <c r="J450" i="4"/>
  <c r="I450" i="4"/>
  <c r="H450" i="4"/>
  <c r="G450" i="4"/>
  <c r="F450" i="4"/>
  <c r="Q450" i="4" s="1"/>
  <c r="E450" i="4"/>
  <c r="D450" i="4"/>
  <c r="M450" i="4" s="1"/>
  <c r="C450" i="4"/>
  <c r="N450" i="4" s="1"/>
  <c r="B450" i="4"/>
  <c r="A450" i="4"/>
  <c r="L449" i="4"/>
  <c r="K449" i="4"/>
  <c r="J449" i="4"/>
  <c r="I449" i="4"/>
  <c r="H449" i="4"/>
  <c r="G449" i="4"/>
  <c r="F449" i="4"/>
  <c r="Q449" i="4" s="1"/>
  <c r="E449" i="4"/>
  <c r="D449" i="4"/>
  <c r="M449" i="4" s="1"/>
  <c r="C449" i="4"/>
  <c r="N449" i="4" s="1"/>
  <c r="B449" i="4"/>
  <c r="A449" i="4"/>
  <c r="L448" i="4"/>
  <c r="K448" i="4"/>
  <c r="J448" i="4"/>
  <c r="I448" i="4"/>
  <c r="H448" i="4"/>
  <c r="G448" i="4"/>
  <c r="F448" i="4"/>
  <c r="Q448" i="4" s="1"/>
  <c r="E448" i="4"/>
  <c r="D448" i="4"/>
  <c r="M448" i="4" s="1"/>
  <c r="C448" i="4"/>
  <c r="N448" i="4" s="1"/>
  <c r="B448" i="4"/>
  <c r="A448" i="4"/>
  <c r="L447" i="4"/>
  <c r="K447" i="4"/>
  <c r="J447" i="4"/>
  <c r="I447" i="4"/>
  <c r="H447" i="4"/>
  <c r="G447" i="4"/>
  <c r="F447" i="4"/>
  <c r="Q447" i="4" s="1"/>
  <c r="E447" i="4"/>
  <c r="D447" i="4"/>
  <c r="M447" i="4" s="1"/>
  <c r="C447" i="4"/>
  <c r="N447" i="4" s="1"/>
  <c r="B447" i="4"/>
  <c r="A447" i="4"/>
  <c r="L446" i="4"/>
  <c r="K446" i="4"/>
  <c r="J446" i="4"/>
  <c r="I446" i="4"/>
  <c r="H446" i="4"/>
  <c r="G446" i="4"/>
  <c r="F446" i="4"/>
  <c r="Q446" i="4" s="1"/>
  <c r="E446" i="4"/>
  <c r="D446" i="4"/>
  <c r="M446" i="4" s="1"/>
  <c r="C446" i="4"/>
  <c r="N446" i="4" s="1"/>
  <c r="B446" i="4"/>
  <c r="A446" i="4"/>
  <c r="L445" i="4"/>
  <c r="K445" i="4"/>
  <c r="J445" i="4"/>
  <c r="I445" i="4"/>
  <c r="H445" i="4"/>
  <c r="G445" i="4"/>
  <c r="F445" i="4"/>
  <c r="Q445" i="4" s="1"/>
  <c r="E445" i="4"/>
  <c r="D445" i="4"/>
  <c r="M445" i="4" s="1"/>
  <c r="C445" i="4"/>
  <c r="N445" i="4" s="1"/>
  <c r="B445" i="4"/>
  <c r="A445" i="4"/>
  <c r="L444" i="4"/>
  <c r="K444" i="4"/>
  <c r="J444" i="4"/>
  <c r="I444" i="4"/>
  <c r="H444" i="4"/>
  <c r="G444" i="4"/>
  <c r="F444" i="4"/>
  <c r="Q444" i="4" s="1"/>
  <c r="E444" i="4"/>
  <c r="D444" i="4"/>
  <c r="M444" i="4" s="1"/>
  <c r="C444" i="4"/>
  <c r="N444" i="4" s="1"/>
  <c r="B444" i="4"/>
  <c r="A444" i="4"/>
  <c r="L443" i="4"/>
  <c r="K443" i="4"/>
  <c r="J443" i="4"/>
  <c r="I443" i="4"/>
  <c r="H443" i="4"/>
  <c r="G443" i="4"/>
  <c r="F443" i="4"/>
  <c r="Q443" i="4" s="1"/>
  <c r="E443" i="4"/>
  <c r="D443" i="4"/>
  <c r="M443" i="4" s="1"/>
  <c r="C443" i="4"/>
  <c r="N443" i="4" s="1"/>
  <c r="B443" i="4"/>
  <c r="A443" i="4"/>
  <c r="L442" i="4"/>
  <c r="K442" i="4"/>
  <c r="J442" i="4"/>
  <c r="I442" i="4"/>
  <c r="H442" i="4"/>
  <c r="G442" i="4"/>
  <c r="F442" i="4"/>
  <c r="Q442" i="4" s="1"/>
  <c r="E442" i="4"/>
  <c r="D442" i="4"/>
  <c r="M442" i="4" s="1"/>
  <c r="C442" i="4"/>
  <c r="N442" i="4" s="1"/>
  <c r="B442" i="4"/>
  <c r="A442" i="4"/>
  <c r="L441" i="4"/>
  <c r="K441" i="4"/>
  <c r="J441" i="4"/>
  <c r="I441" i="4"/>
  <c r="H441" i="4"/>
  <c r="G441" i="4"/>
  <c r="F441" i="4"/>
  <c r="Q441" i="4" s="1"/>
  <c r="E441" i="4"/>
  <c r="D441" i="4"/>
  <c r="M441" i="4" s="1"/>
  <c r="C441" i="4"/>
  <c r="N441" i="4" s="1"/>
  <c r="B441" i="4"/>
  <c r="A441" i="4"/>
  <c r="L440" i="4"/>
  <c r="K440" i="4"/>
  <c r="J440" i="4"/>
  <c r="I440" i="4"/>
  <c r="H440" i="4"/>
  <c r="G440" i="4"/>
  <c r="F440" i="4"/>
  <c r="Q440" i="4" s="1"/>
  <c r="E440" i="4"/>
  <c r="D440" i="4"/>
  <c r="M440" i="4" s="1"/>
  <c r="C440" i="4"/>
  <c r="N440" i="4" s="1"/>
  <c r="B440" i="4"/>
  <c r="A440" i="4"/>
  <c r="L439" i="4"/>
  <c r="K439" i="4"/>
  <c r="J439" i="4"/>
  <c r="I439" i="4"/>
  <c r="H439" i="4"/>
  <c r="G439" i="4"/>
  <c r="F439" i="4"/>
  <c r="Q439" i="4" s="1"/>
  <c r="E439" i="4"/>
  <c r="D439" i="4"/>
  <c r="M439" i="4" s="1"/>
  <c r="C439" i="4"/>
  <c r="N439" i="4" s="1"/>
  <c r="B439" i="4"/>
  <c r="A439" i="4"/>
  <c r="L438" i="4"/>
  <c r="K438" i="4"/>
  <c r="J438" i="4"/>
  <c r="I438" i="4"/>
  <c r="H438" i="4"/>
  <c r="G438" i="4"/>
  <c r="F438" i="4"/>
  <c r="Q438" i="4" s="1"/>
  <c r="E438" i="4"/>
  <c r="D438" i="4"/>
  <c r="M438" i="4" s="1"/>
  <c r="C438" i="4"/>
  <c r="N438" i="4" s="1"/>
  <c r="B438" i="4"/>
  <c r="A438" i="4"/>
  <c r="L437" i="4"/>
  <c r="K437" i="4"/>
  <c r="J437" i="4"/>
  <c r="I437" i="4"/>
  <c r="H437" i="4"/>
  <c r="G437" i="4"/>
  <c r="F437" i="4"/>
  <c r="Q437" i="4" s="1"/>
  <c r="E437" i="4"/>
  <c r="D437" i="4"/>
  <c r="M437" i="4" s="1"/>
  <c r="C437" i="4"/>
  <c r="N437" i="4" s="1"/>
  <c r="B437" i="4"/>
  <c r="A437" i="4"/>
  <c r="L436" i="4"/>
  <c r="K436" i="4"/>
  <c r="J436" i="4"/>
  <c r="I436" i="4"/>
  <c r="H436" i="4"/>
  <c r="G436" i="4"/>
  <c r="F436" i="4"/>
  <c r="Q436" i="4" s="1"/>
  <c r="E436" i="4"/>
  <c r="D436" i="4"/>
  <c r="M436" i="4" s="1"/>
  <c r="C436" i="4"/>
  <c r="N436" i="4" s="1"/>
  <c r="B436" i="4"/>
  <c r="A436" i="4"/>
  <c r="L435" i="4"/>
  <c r="K435" i="4"/>
  <c r="J435" i="4"/>
  <c r="I435" i="4"/>
  <c r="H435" i="4"/>
  <c r="G435" i="4"/>
  <c r="F435" i="4"/>
  <c r="Q435" i="4" s="1"/>
  <c r="E435" i="4"/>
  <c r="D435" i="4"/>
  <c r="M435" i="4" s="1"/>
  <c r="C435" i="4"/>
  <c r="N435" i="4" s="1"/>
  <c r="B435" i="4"/>
  <c r="A435" i="4"/>
  <c r="L434" i="4"/>
  <c r="K434" i="4"/>
  <c r="J434" i="4"/>
  <c r="I434" i="4"/>
  <c r="H434" i="4"/>
  <c r="G434" i="4"/>
  <c r="F434" i="4"/>
  <c r="Q434" i="4" s="1"/>
  <c r="E434" i="4"/>
  <c r="D434" i="4"/>
  <c r="M434" i="4" s="1"/>
  <c r="C434" i="4"/>
  <c r="N434" i="4" s="1"/>
  <c r="B434" i="4"/>
  <c r="A434" i="4"/>
  <c r="L433" i="4"/>
  <c r="K433" i="4"/>
  <c r="J433" i="4"/>
  <c r="I433" i="4"/>
  <c r="H433" i="4"/>
  <c r="G433" i="4"/>
  <c r="F433" i="4"/>
  <c r="Q433" i="4" s="1"/>
  <c r="E433" i="4"/>
  <c r="D433" i="4"/>
  <c r="M433" i="4" s="1"/>
  <c r="C433" i="4"/>
  <c r="N433" i="4" s="1"/>
  <c r="B433" i="4"/>
  <c r="A433" i="4"/>
  <c r="L432" i="4"/>
  <c r="K432" i="4"/>
  <c r="J432" i="4"/>
  <c r="I432" i="4"/>
  <c r="H432" i="4"/>
  <c r="G432" i="4"/>
  <c r="F432" i="4"/>
  <c r="Q432" i="4" s="1"/>
  <c r="E432" i="4"/>
  <c r="D432" i="4"/>
  <c r="M432" i="4" s="1"/>
  <c r="C432" i="4"/>
  <c r="N432" i="4" s="1"/>
  <c r="B432" i="4"/>
  <c r="A432" i="4"/>
  <c r="L431" i="4"/>
  <c r="K431" i="4"/>
  <c r="J431" i="4"/>
  <c r="I431" i="4"/>
  <c r="H431" i="4"/>
  <c r="G431" i="4"/>
  <c r="F431" i="4"/>
  <c r="Q431" i="4" s="1"/>
  <c r="E431" i="4"/>
  <c r="D431" i="4"/>
  <c r="M431" i="4" s="1"/>
  <c r="C431" i="4"/>
  <c r="N431" i="4" s="1"/>
  <c r="B431" i="4"/>
  <c r="A431" i="4"/>
  <c r="L430" i="4"/>
  <c r="K430" i="4"/>
  <c r="J430" i="4"/>
  <c r="I430" i="4"/>
  <c r="H430" i="4"/>
  <c r="G430" i="4"/>
  <c r="F430" i="4"/>
  <c r="Q430" i="4" s="1"/>
  <c r="E430" i="4"/>
  <c r="D430" i="4"/>
  <c r="M430" i="4" s="1"/>
  <c r="C430" i="4"/>
  <c r="N430" i="4" s="1"/>
  <c r="B430" i="4"/>
  <c r="A430" i="4"/>
  <c r="L429" i="4"/>
  <c r="K429" i="4"/>
  <c r="J429" i="4"/>
  <c r="I429" i="4"/>
  <c r="H429" i="4"/>
  <c r="G429" i="4"/>
  <c r="F429" i="4"/>
  <c r="Q429" i="4" s="1"/>
  <c r="E429" i="4"/>
  <c r="D429" i="4"/>
  <c r="M429" i="4" s="1"/>
  <c r="C429" i="4"/>
  <c r="N429" i="4" s="1"/>
  <c r="B429" i="4"/>
  <c r="A429" i="4"/>
  <c r="L428" i="4"/>
  <c r="K428" i="4"/>
  <c r="J428" i="4"/>
  <c r="I428" i="4"/>
  <c r="H428" i="4"/>
  <c r="G428" i="4"/>
  <c r="F428" i="4"/>
  <c r="Q428" i="4" s="1"/>
  <c r="E428" i="4"/>
  <c r="D428" i="4"/>
  <c r="M428" i="4" s="1"/>
  <c r="C428" i="4"/>
  <c r="N428" i="4" s="1"/>
  <c r="B428" i="4"/>
  <c r="A428" i="4"/>
  <c r="L427" i="4"/>
  <c r="K427" i="4"/>
  <c r="J427" i="4"/>
  <c r="I427" i="4"/>
  <c r="H427" i="4"/>
  <c r="G427" i="4"/>
  <c r="F427" i="4"/>
  <c r="Q427" i="4" s="1"/>
  <c r="E427" i="4"/>
  <c r="D427" i="4"/>
  <c r="M427" i="4" s="1"/>
  <c r="C427" i="4"/>
  <c r="N427" i="4" s="1"/>
  <c r="B427" i="4"/>
  <c r="A427" i="4"/>
  <c r="L426" i="4"/>
  <c r="K426" i="4"/>
  <c r="J426" i="4"/>
  <c r="I426" i="4"/>
  <c r="H426" i="4"/>
  <c r="G426" i="4"/>
  <c r="F426" i="4"/>
  <c r="Q426" i="4" s="1"/>
  <c r="E426" i="4"/>
  <c r="D426" i="4"/>
  <c r="M426" i="4" s="1"/>
  <c r="C426" i="4"/>
  <c r="N426" i="4" s="1"/>
  <c r="B426" i="4"/>
  <c r="A426" i="4"/>
  <c r="L425" i="4"/>
  <c r="K425" i="4"/>
  <c r="J425" i="4"/>
  <c r="I425" i="4"/>
  <c r="H425" i="4"/>
  <c r="G425" i="4"/>
  <c r="F425" i="4"/>
  <c r="Q425" i="4" s="1"/>
  <c r="E425" i="4"/>
  <c r="D425" i="4"/>
  <c r="M425" i="4" s="1"/>
  <c r="C425" i="4"/>
  <c r="N425" i="4" s="1"/>
  <c r="B425" i="4"/>
  <c r="A425" i="4"/>
  <c r="L424" i="4"/>
  <c r="K424" i="4"/>
  <c r="J424" i="4"/>
  <c r="I424" i="4"/>
  <c r="H424" i="4"/>
  <c r="G424" i="4"/>
  <c r="F424" i="4"/>
  <c r="Q424" i="4" s="1"/>
  <c r="E424" i="4"/>
  <c r="D424" i="4"/>
  <c r="M424" i="4" s="1"/>
  <c r="C424" i="4"/>
  <c r="N424" i="4" s="1"/>
  <c r="B424" i="4"/>
  <c r="A424" i="4"/>
  <c r="L423" i="4"/>
  <c r="K423" i="4"/>
  <c r="J423" i="4"/>
  <c r="I423" i="4"/>
  <c r="H423" i="4"/>
  <c r="G423" i="4"/>
  <c r="F423" i="4"/>
  <c r="Q423" i="4" s="1"/>
  <c r="E423" i="4"/>
  <c r="D423" i="4"/>
  <c r="M423" i="4" s="1"/>
  <c r="C423" i="4"/>
  <c r="N423" i="4" s="1"/>
  <c r="B423" i="4"/>
  <c r="A423" i="4"/>
  <c r="L422" i="4"/>
  <c r="K422" i="4"/>
  <c r="J422" i="4"/>
  <c r="I422" i="4"/>
  <c r="H422" i="4"/>
  <c r="G422" i="4"/>
  <c r="F422" i="4"/>
  <c r="Q422" i="4" s="1"/>
  <c r="E422" i="4"/>
  <c r="D422" i="4"/>
  <c r="M422" i="4" s="1"/>
  <c r="C422" i="4"/>
  <c r="N422" i="4" s="1"/>
  <c r="B422" i="4"/>
  <c r="A422" i="4"/>
  <c r="L421" i="4"/>
  <c r="K421" i="4"/>
  <c r="J421" i="4"/>
  <c r="I421" i="4"/>
  <c r="H421" i="4"/>
  <c r="G421" i="4"/>
  <c r="F421" i="4"/>
  <c r="Q421" i="4" s="1"/>
  <c r="E421" i="4"/>
  <c r="D421" i="4"/>
  <c r="M421" i="4" s="1"/>
  <c r="C421" i="4"/>
  <c r="N421" i="4" s="1"/>
  <c r="B421" i="4"/>
  <c r="A421" i="4"/>
  <c r="L420" i="4"/>
  <c r="K420" i="4"/>
  <c r="J420" i="4"/>
  <c r="I420" i="4"/>
  <c r="H420" i="4"/>
  <c r="G420" i="4"/>
  <c r="F420" i="4"/>
  <c r="Q420" i="4" s="1"/>
  <c r="E420" i="4"/>
  <c r="D420" i="4"/>
  <c r="C420" i="4"/>
  <c r="N420" i="4" s="1"/>
  <c r="B420" i="4"/>
  <c r="A420" i="4"/>
  <c r="L419" i="4"/>
  <c r="K419" i="4"/>
  <c r="J419" i="4"/>
  <c r="I419" i="4"/>
  <c r="H419" i="4"/>
  <c r="G419" i="4"/>
  <c r="F419" i="4"/>
  <c r="Q419" i="4" s="1"/>
  <c r="E419" i="4"/>
  <c r="D419" i="4"/>
  <c r="C419" i="4"/>
  <c r="N419" i="4" s="1"/>
  <c r="B419" i="4"/>
  <c r="A419" i="4"/>
  <c r="L418" i="4"/>
  <c r="K418" i="4"/>
  <c r="J418" i="4"/>
  <c r="I418" i="4"/>
  <c r="H418" i="4"/>
  <c r="G418" i="4"/>
  <c r="F418" i="4"/>
  <c r="Q418" i="4" s="1"/>
  <c r="E418" i="4"/>
  <c r="D418" i="4"/>
  <c r="C418" i="4"/>
  <c r="N418" i="4" s="1"/>
  <c r="B418" i="4"/>
  <c r="A418" i="4"/>
  <c r="L417" i="4"/>
  <c r="K417" i="4"/>
  <c r="J417" i="4"/>
  <c r="I417" i="4"/>
  <c r="H417" i="4"/>
  <c r="G417" i="4"/>
  <c r="F417" i="4"/>
  <c r="Q417" i="4" s="1"/>
  <c r="E417" i="4"/>
  <c r="D417" i="4"/>
  <c r="M417" i="4" s="1"/>
  <c r="C417" i="4"/>
  <c r="N417" i="4" s="1"/>
  <c r="B417" i="4"/>
  <c r="A417" i="4"/>
  <c r="L416" i="4"/>
  <c r="K416" i="4"/>
  <c r="J416" i="4"/>
  <c r="I416" i="4"/>
  <c r="H416" i="4"/>
  <c r="G416" i="4"/>
  <c r="F416" i="4"/>
  <c r="Q416" i="4" s="1"/>
  <c r="E416" i="4"/>
  <c r="D416" i="4"/>
  <c r="C416" i="4"/>
  <c r="N416" i="4" s="1"/>
  <c r="B416" i="4"/>
  <c r="A416" i="4"/>
  <c r="L415" i="4"/>
  <c r="K415" i="4"/>
  <c r="J415" i="4"/>
  <c r="I415" i="4"/>
  <c r="H415" i="4"/>
  <c r="G415" i="4"/>
  <c r="F415" i="4"/>
  <c r="Q415" i="4" s="1"/>
  <c r="E415" i="4"/>
  <c r="D415" i="4"/>
  <c r="C415" i="4"/>
  <c r="N415" i="4" s="1"/>
  <c r="B415" i="4"/>
  <c r="A415" i="4"/>
  <c r="L414" i="4"/>
  <c r="K414" i="4"/>
  <c r="J414" i="4"/>
  <c r="I414" i="4"/>
  <c r="H414" i="4"/>
  <c r="G414" i="4"/>
  <c r="F414" i="4"/>
  <c r="Q414" i="4" s="1"/>
  <c r="E414" i="4"/>
  <c r="D414" i="4"/>
  <c r="C414" i="4"/>
  <c r="N414" i="4" s="1"/>
  <c r="B414" i="4"/>
  <c r="A414" i="4"/>
  <c r="L413" i="4"/>
  <c r="K413" i="4"/>
  <c r="J413" i="4"/>
  <c r="I413" i="4"/>
  <c r="H413" i="4"/>
  <c r="G413" i="4"/>
  <c r="F413" i="4"/>
  <c r="Q413" i="4" s="1"/>
  <c r="E413" i="4"/>
  <c r="D413" i="4"/>
  <c r="C413" i="4"/>
  <c r="N413" i="4" s="1"/>
  <c r="B413" i="4"/>
  <c r="A413" i="4"/>
  <c r="L412" i="4"/>
  <c r="K412" i="4"/>
  <c r="J412" i="4"/>
  <c r="I412" i="4"/>
  <c r="H412" i="4"/>
  <c r="G412" i="4"/>
  <c r="F412" i="4"/>
  <c r="Q412" i="4" s="1"/>
  <c r="E412" i="4"/>
  <c r="D412" i="4"/>
  <c r="C412" i="4"/>
  <c r="N412" i="4" s="1"/>
  <c r="B412" i="4"/>
  <c r="A412" i="4"/>
  <c r="L411" i="4"/>
  <c r="K411" i="4"/>
  <c r="J411" i="4"/>
  <c r="I411" i="4"/>
  <c r="H411" i="4"/>
  <c r="G411" i="4"/>
  <c r="F411" i="4"/>
  <c r="Q411" i="4" s="1"/>
  <c r="E411" i="4"/>
  <c r="D411" i="4"/>
  <c r="C411" i="4"/>
  <c r="N411" i="4" s="1"/>
  <c r="B411" i="4"/>
  <c r="A411" i="4"/>
  <c r="L410" i="4"/>
  <c r="K410" i="4"/>
  <c r="J410" i="4"/>
  <c r="I410" i="4"/>
  <c r="H410" i="4"/>
  <c r="G410" i="4"/>
  <c r="F410" i="4"/>
  <c r="Q410" i="4" s="1"/>
  <c r="E410" i="4"/>
  <c r="D410" i="4"/>
  <c r="C410" i="4"/>
  <c r="N410" i="4" s="1"/>
  <c r="B410" i="4"/>
  <c r="A410" i="4"/>
  <c r="L409" i="4"/>
  <c r="K409" i="4"/>
  <c r="J409" i="4"/>
  <c r="I409" i="4"/>
  <c r="H409" i="4"/>
  <c r="G409" i="4"/>
  <c r="F409" i="4"/>
  <c r="Q409" i="4" s="1"/>
  <c r="E409" i="4"/>
  <c r="D409" i="4"/>
  <c r="C409" i="4"/>
  <c r="N409" i="4" s="1"/>
  <c r="B409" i="4"/>
  <c r="A409" i="4"/>
  <c r="L408" i="4"/>
  <c r="K408" i="4"/>
  <c r="J408" i="4"/>
  <c r="I408" i="4"/>
  <c r="H408" i="4"/>
  <c r="G408" i="4"/>
  <c r="F408" i="4"/>
  <c r="Q408" i="4" s="1"/>
  <c r="E408" i="4"/>
  <c r="D408" i="4"/>
  <c r="C408" i="4"/>
  <c r="N408" i="4" s="1"/>
  <c r="B408" i="4"/>
  <c r="A408" i="4"/>
  <c r="L407" i="4"/>
  <c r="K407" i="4"/>
  <c r="J407" i="4"/>
  <c r="I407" i="4"/>
  <c r="H407" i="4"/>
  <c r="G407" i="4"/>
  <c r="F407" i="4"/>
  <c r="Q407" i="4" s="1"/>
  <c r="E407" i="4"/>
  <c r="D407" i="4"/>
  <c r="C407" i="4"/>
  <c r="N407" i="4" s="1"/>
  <c r="B407" i="4"/>
  <c r="A407" i="4"/>
  <c r="L406" i="4"/>
  <c r="K406" i="4"/>
  <c r="J406" i="4"/>
  <c r="I406" i="4"/>
  <c r="H406" i="4"/>
  <c r="G406" i="4"/>
  <c r="F406" i="4"/>
  <c r="Q406" i="4" s="1"/>
  <c r="E406" i="4"/>
  <c r="D406" i="4"/>
  <c r="C406" i="4"/>
  <c r="N406" i="4" s="1"/>
  <c r="B406" i="4"/>
  <c r="A406" i="4"/>
  <c r="L405" i="4"/>
  <c r="K405" i="4"/>
  <c r="J405" i="4"/>
  <c r="I405" i="4"/>
  <c r="H405" i="4"/>
  <c r="G405" i="4"/>
  <c r="F405" i="4"/>
  <c r="Q405" i="4" s="1"/>
  <c r="E405" i="4"/>
  <c r="D405" i="4"/>
  <c r="C405" i="4"/>
  <c r="N405" i="4" s="1"/>
  <c r="B405" i="4"/>
  <c r="A405" i="4"/>
  <c r="L404" i="4"/>
  <c r="K404" i="4"/>
  <c r="J404" i="4"/>
  <c r="I404" i="4"/>
  <c r="H404" i="4"/>
  <c r="G404" i="4"/>
  <c r="F404" i="4"/>
  <c r="Q404" i="4" s="1"/>
  <c r="E404" i="4"/>
  <c r="D404" i="4"/>
  <c r="C404" i="4"/>
  <c r="N404" i="4" s="1"/>
  <c r="B404" i="4"/>
  <c r="A404" i="4"/>
  <c r="L403" i="4"/>
  <c r="K403" i="4"/>
  <c r="J403" i="4"/>
  <c r="I403" i="4"/>
  <c r="H403" i="4"/>
  <c r="G403" i="4"/>
  <c r="F403" i="4"/>
  <c r="Q403" i="4" s="1"/>
  <c r="E403" i="4"/>
  <c r="D403" i="4"/>
  <c r="C403" i="4"/>
  <c r="N403" i="4" s="1"/>
  <c r="B403" i="4"/>
  <c r="A403" i="4"/>
  <c r="L402" i="4"/>
  <c r="K402" i="4"/>
  <c r="J402" i="4"/>
  <c r="I402" i="4"/>
  <c r="H402" i="4"/>
  <c r="G402" i="4"/>
  <c r="F402" i="4"/>
  <c r="Q402" i="4" s="1"/>
  <c r="E402" i="4"/>
  <c r="D402" i="4"/>
  <c r="C402" i="4"/>
  <c r="N402" i="4" s="1"/>
  <c r="B402" i="4"/>
  <c r="A402" i="4"/>
  <c r="L401" i="4"/>
  <c r="K401" i="4"/>
  <c r="J401" i="4"/>
  <c r="I401" i="4"/>
  <c r="H401" i="4"/>
  <c r="G401" i="4"/>
  <c r="F401" i="4"/>
  <c r="Q401" i="4" s="1"/>
  <c r="E401" i="4"/>
  <c r="D401" i="4"/>
  <c r="C401" i="4"/>
  <c r="N401" i="4" s="1"/>
  <c r="B401" i="4"/>
  <c r="A401" i="4"/>
  <c r="L400" i="4"/>
  <c r="K400" i="4"/>
  <c r="J400" i="4"/>
  <c r="I400" i="4"/>
  <c r="H400" i="4"/>
  <c r="G400" i="4"/>
  <c r="F400" i="4"/>
  <c r="Q400" i="4" s="1"/>
  <c r="E400" i="4"/>
  <c r="D400" i="4"/>
  <c r="C400" i="4"/>
  <c r="N400" i="4" s="1"/>
  <c r="B400" i="4"/>
  <c r="A400" i="4"/>
  <c r="L399" i="4"/>
  <c r="K399" i="4"/>
  <c r="J399" i="4"/>
  <c r="I399" i="4"/>
  <c r="H399" i="4"/>
  <c r="G399" i="4"/>
  <c r="F399" i="4"/>
  <c r="Q399" i="4" s="1"/>
  <c r="E399" i="4"/>
  <c r="D399" i="4"/>
  <c r="C399" i="4"/>
  <c r="N399" i="4" s="1"/>
  <c r="B399" i="4"/>
  <c r="A399" i="4"/>
  <c r="L398" i="4"/>
  <c r="K398" i="4"/>
  <c r="J398" i="4"/>
  <c r="I398" i="4"/>
  <c r="H398" i="4"/>
  <c r="G398" i="4"/>
  <c r="F398" i="4"/>
  <c r="Q398" i="4" s="1"/>
  <c r="E398" i="4"/>
  <c r="D398" i="4"/>
  <c r="C398" i="4"/>
  <c r="N398" i="4" s="1"/>
  <c r="B398" i="4"/>
  <c r="A398" i="4"/>
  <c r="L397" i="4"/>
  <c r="K397" i="4"/>
  <c r="J397" i="4"/>
  <c r="I397" i="4"/>
  <c r="H397" i="4"/>
  <c r="G397" i="4"/>
  <c r="F397" i="4"/>
  <c r="Q397" i="4" s="1"/>
  <c r="E397" i="4"/>
  <c r="D397" i="4"/>
  <c r="C397" i="4"/>
  <c r="N397" i="4" s="1"/>
  <c r="B397" i="4"/>
  <c r="A397" i="4"/>
  <c r="L396" i="4"/>
  <c r="K396" i="4"/>
  <c r="J396" i="4"/>
  <c r="I396" i="4"/>
  <c r="H396" i="4"/>
  <c r="G396" i="4"/>
  <c r="F396" i="4"/>
  <c r="Q396" i="4" s="1"/>
  <c r="E396" i="4"/>
  <c r="D396" i="4"/>
  <c r="C396" i="4"/>
  <c r="N396" i="4" s="1"/>
  <c r="B396" i="4"/>
  <c r="A396" i="4"/>
  <c r="L395" i="4"/>
  <c r="K395" i="4"/>
  <c r="J395" i="4"/>
  <c r="I395" i="4"/>
  <c r="H395" i="4"/>
  <c r="G395" i="4"/>
  <c r="F395" i="4"/>
  <c r="Q395" i="4" s="1"/>
  <c r="E395" i="4"/>
  <c r="D395" i="4"/>
  <c r="C395" i="4"/>
  <c r="N395" i="4" s="1"/>
  <c r="B395" i="4"/>
  <c r="A395" i="4"/>
  <c r="L394" i="4"/>
  <c r="K394" i="4"/>
  <c r="J394" i="4"/>
  <c r="I394" i="4"/>
  <c r="H394" i="4"/>
  <c r="G394" i="4"/>
  <c r="F394" i="4"/>
  <c r="Q394" i="4" s="1"/>
  <c r="E394" i="4"/>
  <c r="D394" i="4"/>
  <c r="C394" i="4"/>
  <c r="N394" i="4" s="1"/>
  <c r="B394" i="4"/>
  <c r="A394" i="4"/>
  <c r="L393" i="4"/>
  <c r="K393" i="4"/>
  <c r="J393" i="4"/>
  <c r="I393" i="4"/>
  <c r="H393" i="4"/>
  <c r="G393" i="4"/>
  <c r="F393" i="4"/>
  <c r="Q393" i="4" s="1"/>
  <c r="E393" i="4"/>
  <c r="D393" i="4"/>
  <c r="C393" i="4"/>
  <c r="N393" i="4" s="1"/>
  <c r="B393" i="4"/>
  <c r="A393" i="4"/>
  <c r="L392" i="4"/>
  <c r="K392" i="4"/>
  <c r="J392" i="4"/>
  <c r="I392" i="4"/>
  <c r="H392" i="4"/>
  <c r="G392" i="4"/>
  <c r="F392" i="4"/>
  <c r="Q392" i="4" s="1"/>
  <c r="E392" i="4"/>
  <c r="D392" i="4"/>
  <c r="C392" i="4"/>
  <c r="N392" i="4" s="1"/>
  <c r="B392" i="4"/>
  <c r="A392" i="4"/>
  <c r="L391" i="4"/>
  <c r="K391" i="4"/>
  <c r="J391" i="4"/>
  <c r="I391" i="4"/>
  <c r="H391" i="4"/>
  <c r="G391" i="4"/>
  <c r="F391" i="4"/>
  <c r="Q391" i="4" s="1"/>
  <c r="E391" i="4"/>
  <c r="D391" i="4"/>
  <c r="C391" i="4"/>
  <c r="N391" i="4" s="1"/>
  <c r="B391" i="4"/>
  <c r="A391" i="4"/>
  <c r="L390" i="4"/>
  <c r="K390" i="4"/>
  <c r="J390" i="4"/>
  <c r="I390" i="4"/>
  <c r="H390" i="4"/>
  <c r="G390" i="4"/>
  <c r="F390" i="4"/>
  <c r="Q390" i="4" s="1"/>
  <c r="E390" i="4"/>
  <c r="D390" i="4"/>
  <c r="C390" i="4"/>
  <c r="N390" i="4" s="1"/>
  <c r="B390" i="4"/>
  <c r="A390" i="4"/>
  <c r="L389" i="4"/>
  <c r="K389" i="4"/>
  <c r="J389" i="4"/>
  <c r="I389" i="4"/>
  <c r="H389" i="4"/>
  <c r="G389" i="4"/>
  <c r="F389" i="4"/>
  <c r="Q389" i="4" s="1"/>
  <c r="E389" i="4"/>
  <c r="D389" i="4"/>
  <c r="C389" i="4"/>
  <c r="N389" i="4" s="1"/>
  <c r="B389" i="4"/>
  <c r="A389" i="4"/>
  <c r="L388" i="4"/>
  <c r="K388" i="4"/>
  <c r="J388" i="4"/>
  <c r="I388" i="4"/>
  <c r="H388" i="4"/>
  <c r="G388" i="4"/>
  <c r="F388" i="4"/>
  <c r="Q388" i="4" s="1"/>
  <c r="E388" i="4"/>
  <c r="D388" i="4"/>
  <c r="C388" i="4"/>
  <c r="N388" i="4" s="1"/>
  <c r="B388" i="4"/>
  <c r="A388" i="4"/>
  <c r="L387" i="4"/>
  <c r="K387" i="4"/>
  <c r="J387" i="4"/>
  <c r="I387" i="4"/>
  <c r="H387" i="4"/>
  <c r="G387" i="4"/>
  <c r="F387" i="4"/>
  <c r="Q387" i="4" s="1"/>
  <c r="E387" i="4"/>
  <c r="D387" i="4"/>
  <c r="C387" i="4"/>
  <c r="N387" i="4" s="1"/>
  <c r="B387" i="4"/>
  <c r="A387" i="4"/>
  <c r="L386" i="4"/>
  <c r="K386" i="4"/>
  <c r="J386" i="4"/>
  <c r="I386" i="4"/>
  <c r="H386" i="4"/>
  <c r="G386" i="4"/>
  <c r="F386" i="4"/>
  <c r="Q386" i="4" s="1"/>
  <c r="E386" i="4"/>
  <c r="D386" i="4"/>
  <c r="C386" i="4"/>
  <c r="N386" i="4" s="1"/>
  <c r="B386" i="4"/>
  <c r="A386" i="4"/>
  <c r="L385" i="4"/>
  <c r="K385" i="4"/>
  <c r="J385" i="4"/>
  <c r="I385" i="4"/>
  <c r="H385" i="4"/>
  <c r="G385" i="4"/>
  <c r="F385" i="4"/>
  <c r="Q385" i="4" s="1"/>
  <c r="E385" i="4"/>
  <c r="D385" i="4"/>
  <c r="C385" i="4"/>
  <c r="N385" i="4" s="1"/>
  <c r="B385" i="4"/>
  <c r="A385" i="4"/>
  <c r="L384" i="4"/>
  <c r="K384" i="4"/>
  <c r="J384" i="4"/>
  <c r="I384" i="4"/>
  <c r="H384" i="4"/>
  <c r="G384" i="4"/>
  <c r="F384" i="4"/>
  <c r="Q384" i="4" s="1"/>
  <c r="E384" i="4"/>
  <c r="D384" i="4"/>
  <c r="C384" i="4"/>
  <c r="N384" i="4" s="1"/>
  <c r="B384" i="4"/>
  <c r="A384" i="4"/>
  <c r="L383" i="4"/>
  <c r="K383" i="4"/>
  <c r="J383" i="4"/>
  <c r="I383" i="4"/>
  <c r="H383" i="4"/>
  <c r="G383" i="4"/>
  <c r="F383" i="4"/>
  <c r="Q383" i="4" s="1"/>
  <c r="E383" i="4"/>
  <c r="D383" i="4"/>
  <c r="C383" i="4"/>
  <c r="N383" i="4" s="1"/>
  <c r="B383" i="4"/>
  <c r="A383" i="4"/>
  <c r="L382" i="4"/>
  <c r="K382" i="4"/>
  <c r="J382" i="4"/>
  <c r="I382" i="4"/>
  <c r="H382" i="4"/>
  <c r="G382" i="4"/>
  <c r="F382" i="4"/>
  <c r="Q382" i="4" s="1"/>
  <c r="E382" i="4"/>
  <c r="D382" i="4"/>
  <c r="C382" i="4"/>
  <c r="N382" i="4" s="1"/>
  <c r="B382" i="4"/>
  <c r="A382" i="4"/>
  <c r="L381" i="4"/>
  <c r="K381" i="4"/>
  <c r="J381" i="4"/>
  <c r="I381" i="4"/>
  <c r="H381" i="4"/>
  <c r="G381" i="4"/>
  <c r="F381" i="4"/>
  <c r="Q381" i="4" s="1"/>
  <c r="E381" i="4"/>
  <c r="D381" i="4"/>
  <c r="C381" i="4"/>
  <c r="N381" i="4" s="1"/>
  <c r="B381" i="4"/>
  <c r="A381" i="4"/>
  <c r="L380" i="4"/>
  <c r="K380" i="4"/>
  <c r="J380" i="4"/>
  <c r="I380" i="4"/>
  <c r="H380" i="4"/>
  <c r="G380" i="4"/>
  <c r="F380" i="4"/>
  <c r="Q380" i="4" s="1"/>
  <c r="E380" i="4"/>
  <c r="D380" i="4"/>
  <c r="C380" i="4"/>
  <c r="N380" i="4" s="1"/>
  <c r="B380" i="4"/>
  <c r="A380" i="4"/>
  <c r="L379" i="4"/>
  <c r="K379" i="4"/>
  <c r="J379" i="4"/>
  <c r="I379" i="4"/>
  <c r="H379" i="4"/>
  <c r="G379" i="4"/>
  <c r="F379" i="4"/>
  <c r="Q379" i="4" s="1"/>
  <c r="E379" i="4"/>
  <c r="D379" i="4"/>
  <c r="C379" i="4"/>
  <c r="N379" i="4" s="1"/>
  <c r="B379" i="4"/>
  <c r="A379" i="4"/>
  <c r="L378" i="4"/>
  <c r="K378" i="4"/>
  <c r="J378" i="4"/>
  <c r="I378" i="4"/>
  <c r="H378" i="4"/>
  <c r="G378" i="4"/>
  <c r="F378" i="4"/>
  <c r="Q378" i="4" s="1"/>
  <c r="E378" i="4"/>
  <c r="D378" i="4"/>
  <c r="C378" i="4"/>
  <c r="N378" i="4" s="1"/>
  <c r="B378" i="4"/>
  <c r="A378" i="4"/>
  <c r="L377" i="4"/>
  <c r="K377" i="4"/>
  <c r="J377" i="4"/>
  <c r="I377" i="4"/>
  <c r="H377" i="4"/>
  <c r="G377" i="4"/>
  <c r="F377" i="4"/>
  <c r="Q377" i="4" s="1"/>
  <c r="E377" i="4"/>
  <c r="D377" i="4"/>
  <c r="C377" i="4"/>
  <c r="N377" i="4" s="1"/>
  <c r="B377" i="4"/>
  <c r="A377" i="4"/>
  <c r="L376" i="4"/>
  <c r="K376" i="4"/>
  <c r="J376" i="4"/>
  <c r="I376" i="4"/>
  <c r="H376" i="4"/>
  <c r="G376" i="4"/>
  <c r="F376" i="4"/>
  <c r="Q376" i="4" s="1"/>
  <c r="E376" i="4"/>
  <c r="D376" i="4"/>
  <c r="C376" i="4"/>
  <c r="N376" i="4" s="1"/>
  <c r="B376" i="4"/>
  <c r="A376" i="4"/>
  <c r="L375" i="4"/>
  <c r="K375" i="4"/>
  <c r="J375" i="4"/>
  <c r="I375" i="4"/>
  <c r="H375" i="4"/>
  <c r="G375" i="4"/>
  <c r="F375" i="4"/>
  <c r="Q375" i="4" s="1"/>
  <c r="E375" i="4"/>
  <c r="D375" i="4"/>
  <c r="C375" i="4"/>
  <c r="N375" i="4" s="1"/>
  <c r="B375" i="4"/>
  <c r="A375" i="4"/>
  <c r="L374" i="4"/>
  <c r="K374" i="4"/>
  <c r="J374" i="4"/>
  <c r="I374" i="4"/>
  <c r="H374" i="4"/>
  <c r="G374" i="4"/>
  <c r="F374" i="4"/>
  <c r="Q374" i="4" s="1"/>
  <c r="E374" i="4"/>
  <c r="D374" i="4"/>
  <c r="C374" i="4"/>
  <c r="N374" i="4" s="1"/>
  <c r="B374" i="4"/>
  <c r="A374" i="4"/>
  <c r="L373" i="4"/>
  <c r="K373" i="4"/>
  <c r="J373" i="4"/>
  <c r="I373" i="4"/>
  <c r="H373" i="4"/>
  <c r="G373" i="4"/>
  <c r="F373" i="4"/>
  <c r="Q373" i="4" s="1"/>
  <c r="E373" i="4"/>
  <c r="D373" i="4"/>
  <c r="C373" i="4"/>
  <c r="N373" i="4" s="1"/>
  <c r="B373" i="4"/>
  <c r="A373" i="4"/>
  <c r="L372" i="4"/>
  <c r="K372" i="4"/>
  <c r="J372" i="4"/>
  <c r="I372" i="4"/>
  <c r="H372" i="4"/>
  <c r="G372" i="4"/>
  <c r="F372" i="4"/>
  <c r="Q372" i="4" s="1"/>
  <c r="E372" i="4"/>
  <c r="D372" i="4"/>
  <c r="C372" i="4"/>
  <c r="N372" i="4" s="1"/>
  <c r="B372" i="4"/>
  <c r="A372" i="4"/>
  <c r="L371" i="4"/>
  <c r="K371" i="4"/>
  <c r="J371" i="4"/>
  <c r="I371" i="4"/>
  <c r="H371" i="4"/>
  <c r="G371" i="4"/>
  <c r="F371" i="4"/>
  <c r="Q371" i="4" s="1"/>
  <c r="E371" i="4"/>
  <c r="D371" i="4"/>
  <c r="C371" i="4"/>
  <c r="N371" i="4" s="1"/>
  <c r="B371" i="4"/>
  <c r="A371" i="4"/>
  <c r="L370" i="4"/>
  <c r="K370" i="4"/>
  <c r="J370" i="4"/>
  <c r="I370" i="4"/>
  <c r="H370" i="4"/>
  <c r="G370" i="4"/>
  <c r="F370" i="4"/>
  <c r="Q370" i="4" s="1"/>
  <c r="E370" i="4"/>
  <c r="D370" i="4"/>
  <c r="C370" i="4"/>
  <c r="N370" i="4" s="1"/>
  <c r="B370" i="4"/>
  <c r="A370" i="4"/>
  <c r="L369" i="4"/>
  <c r="K369" i="4"/>
  <c r="J369" i="4"/>
  <c r="I369" i="4"/>
  <c r="H369" i="4"/>
  <c r="G369" i="4"/>
  <c r="F369" i="4"/>
  <c r="Q369" i="4" s="1"/>
  <c r="E369" i="4"/>
  <c r="D369" i="4"/>
  <c r="C369" i="4"/>
  <c r="N369" i="4" s="1"/>
  <c r="B369" i="4"/>
  <c r="A369" i="4"/>
  <c r="L368" i="4"/>
  <c r="K368" i="4"/>
  <c r="J368" i="4"/>
  <c r="I368" i="4"/>
  <c r="H368" i="4"/>
  <c r="G368" i="4"/>
  <c r="F368" i="4"/>
  <c r="Q368" i="4" s="1"/>
  <c r="E368" i="4"/>
  <c r="D368" i="4"/>
  <c r="C368" i="4"/>
  <c r="N368" i="4" s="1"/>
  <c r="B368" i="4"/>
  <c r="A368" i="4"/>
  <c r="L367" i="4"/>
  <c r="K367" i="4"/>
  <c r="J367" i="4"/>
  <c r="I367" i="4"/>
  <c r="H367" i="4"/>
  <c r="G367" i="4"/>
  <c r="F367" i="4"/>
  <c r="Q367" i="4" s="1"/>
  <c r="E367" i="4"/>
  <c r="D367" i="4"/>
  <c r="C367" i="4"/>
  <c r="N367" i="4" s="1"/>
  <c r="B367" i="4"/>
  <c r="A367" i="4"/>
  <c r="L366" i="4"/>
  <c r="K366" i="4"/>
  <c r="J366" i="4"/>
  <c r="I366" i="4"/>
  <c r="H366" i="4"/>
  <c r="G366" i="4"/>
  <c r="F366" i="4"/>
  <c r="Q366" i="4" s="1"/>
  <c r="E366" i="4"/>
  <c r="D366" i="4"/>
  <c r="C366" i="4"/>
  <c r="N366" i="4" s="1"/>
  <c r="B366" i="4"/>
  <c r="A366" i="4"/>
  <c r="L365" i="4"/>
  <c r="K365" i="4"/>
  <c r="J365" i="4"/>
  <c r="I365" i="4"/>
  <c r="H365" i="4"/>
  <c r="G365" i="4"/>
  <c r="F365" i="4"/>
  <c r="Q365" i="4" s="1"/>
  <c r="E365" i="4"/>
  <c r="D365" i="4"/>
  <c r="C365" i="4"/>
  <c r="N365" i="4" s="1"/>
  <c r="B365" i="4"/>
  <c r="A365" i="4"/>
  <c r="L364" i="4"/>
  <c r="K364" i="4"/>
  <c r="J364" i="4"/>
  <c r="I364" i="4"/>
  <c r="H364" i="4"/>
  <c r="G364" i="4"/>
  <c r="F364" i="4"/>
  <c r="Q364" i="4" s="1"/>
  <c r="E364" i="4"/>
  <c r="D364" i="4"/>
  <c r="C364" i="4"/>
  <c r="N364" i="4" s="1"/>
  <c r="B364" i="4"/>
  <c r="A364" i="4"/>
  <c r="L363" i="4"/>
  <c r="K363" i="4"/>
  <c r="J363" i="4"/>
  <c r="I363" i="4"/>
  <c r="H363" i="4"/>
  <c r="G363" i="4"/>
  <c r="F363" i="4"/>
  <c r="Q363" i="4" s="1"/>
  <c r="E363" i="4"/>
  <c r="D363" i="4"/>
  <c r="C363" i="4"/>
  <c r="N363" i="4" s="1"/>
  <c r="B363" i="4"/>
  <c r="A363" i="4"/>
  <c r="L362" i="4"/>
  <c r="K362" i="4"/>
  <c r="J362" i="4"/>
  <c r="I362" i="4"/>
  <c r="H362" i="4"/>
  <c r="G362" i="4"/>
  <c r="F362" i="4"/>
  <c r="Q362" i="4" s="1"/>
  <c r="E362" i="4"/>
  <c r="D362" i="4"/>
  <c r="C362" i="4"/>
  <c r="N362" i="4" s="1"/>
  <c r="B362" i="4"/>
  <c r="A362" i="4"/>
  <c r="L361" i="4"/>
  <c r="K361" i="4"/>
  <c r="J361" i="4"/>
  <c r="I361" i="4"/>
  <c r="H361" i="4"/>
  <c r="G361" i="4"/>
  <c r="F361" i="4"/>
  <c r="Q361" i="4" s="1"/>
  <c r="E361" i="4"/>
  <c r="D361" i="4"/>
  <c r="C361" i="4"/>
  <c r="N361" i="4" s="1"/>
  <c r="B361" i="4"/>
  <c r="A361" i="4"/>
  <c r="L360" i="4"/>
  <c r="K360" i="4"/>
  <c r="J360" i="4"/>
  <c r="I360" i="4"/>
  <c r="H360" i="4"/>
  <c r="G360" i="4"/>
  <c r="F360" i="4"/>
  <c r="Q360" i="4" s="1"/>
  <c r="E360" i="4"/>
  <c r="D360" i="4"/>
  <c r="C360" i="4"/>
  <c r="N360" i="4" s="1"/>
  <c r="B360" i="4"/>
  <c r="A360" i="4"/>
  <c r="L359" i="4"/>
  <c r="K359" i="4"/>
  <c r="J359" i="4"/>
  <c r="I359" i="4"/>
  <c r="H359" i="4"/>
  <c r="G359" i="4"/>
  <c r="F359" i="4"/>
  <c r="Q359" i="4" s="1"/>
  <c r="E359" i="4"/>
  <c r="D359" i="4"/>
  <c r="C359" i="4"/>
  <c r="N359" i="4" s="1"/>
  <c r="B359" i="4"/>
  <c r="A359" i="4"/>
  <c r="L358" i="4"/>
  <c r="K358" i="4"/>
  <c r="J358" i="4"/>
  <c r="I358" i="4"/>
  <c r="H358" i="4"/>
  <c r="G358" i="4"/>
  <c r="F358" i="4"/>
  <c r="Q358" i="4" s="1"/>
  <c r="E358" i="4"/>
  <c r="D358" i="4"/>
  <c r="M358" i="4" s="1"/>
  <c r="C358" i="4"/>
  <c r="N358" i="4" s="1"/>
  <c r="B358" i="4"/>
  <c r="A358" i="4"/>
  <c r="L357" i="4"/>
  <c r="K357" i="4"/>
  <c r="J357" i="4"/>
  <c r="I357" i="4"/>
  <c r="H357" i="4"/>
  <c r="G357" i="4"/>
  <c r="F357" i="4"/>
  <c r="Q357" i="4" s="1"/>
  <c r="E357" i="4"/>
  <c r="D357" i="4"/>
  <c r="C357" i="4"/>
  <c r="N357" i="4" s="1"/>
  <c r="B357" i="4"/>
  <c r="A357" i="4"/>
  <c r="L356" i="4"/>
  <c r="K356" i="4"/>
  <c r="J356" i="4"/>
  <c r="I356" i="4"/>
  <c r="H356" i="4"/>
  <c r="G356" i="4"/>
  <c r="F356" i="4"/>
  <c r="Q356" i="4" s="1"/>
  <c r="E356" i="4"/>
  <c r="D356" i="4"/>
  <c r="C356" i="4"/>
  <c r="N356" i="4" s="1"/>
  <c r="B356" i="4"/>
  <c r="A356" i="4"/>
  <c r="L355" i="4"/>
  <c r="K355" i="4"/>
  <c r="J355" i="4"/>
  <c r="I355" i="4"/>
  <c r="H355" i="4"/>
  <c r="G355" i="4"/>
  <c r="F355" i="4"/>
  <c r="Q355" i="4" s="1"/>
  <c r="E355" i="4"/>
  <c r="D355" i="4"/>
  <c r="C355" i="4"/>
  <c r="N355" i="4" s="1"/>
  <c r="B355" i="4"/>
  <c r="A355" i="4"/>
  <c r="L354" i="4"/>
  <c r="K354" i="4"/>
  <c r="J354" i="4"/>
  <c r="I354" i="4"/>
  <c r="H354" i="4"/>
  <c r="G354" i="4"/>
  <c r="F354" i="4"/>
  <c r="Q354" i="4" s="1"/>
  <c r="E354" i="4"/>
  <c r="D354" i="4"/>
  <c r="C354" i="4"/>
  <c r="N354" i="4" s="1"/>
  <c r="B354" i="4"/>
  <c r="A354" i="4"/>
  <c r="L353" i="4"/>
  <c r="K353" i="4"/>
  <c r="J353" i="4"/>
  <c r="I353" i="4"/>
  <c r="H353" i="4"/>
  <c r="G353" i="4"/>
  <c r="F353" i="4"/>
  <c r="Q353" i="4" s="1"/>
  <c r="E353" i="4"/>
  <c r="D353" i="4"/>
  <c r="C353" i="4"/>
  <c r="N353" i="4" s="1"/>
  <c r="B353" i="4"/>
  <c r="A353" i="4"/>
  <c r="L352" i="4"/>
  <c r="K352" i="4"/>
  <c r="J352" i="4"/>
  <c r="I352" i="4"/>
  <c r="H352" i="4"/>
  <c r="G352" i="4"/>
  <c r="F352" i="4"/>
  <c r="Q352" i="4" s="1"/>
  <c r="E352" i="4"/>
  <c r="D352" i="4"/>
  <c r="C352" i="4"/>
  <c r="N352" i="4" s="1"/>
  <c r="B352" i="4"/>
  <c r="A352" i="4"/>
  <c r="L351" i="4"/>
  <c r="K351" i="4"/>
  <c r="J351" i="4"/>
  <c r="I351" i="4"/>
  <c r="H351" i="4"/>
  <c r="G351" i="4"/>
  <c r="F351" i="4"/>
  <c r="Q351" i="4" s="1"/>
  <c r="E351" i="4"/>
  <c r="D351" i="4"/>
  <c r="C351" i="4"/>
  <c r="N351" i="4" s="1"/>
  <c r="B351" i="4"/>
  <c r="A351" i="4"/>
  <c r="L350" i="4"/>
  <c r="K350" i="4"/>
  <c r="J350" i="4"/>
  <c r="I350" i="4"/>
  <c r="H350" i="4"/>
  <c r="G350" i="4"/>
  <c r="F350" i="4"/>
  <c r="Q350" i="4" s="1"/>
  <c r="E350" i="4"/>
  <c r="D350" i="4"/>
  <c r="C350" i="4"/>
  <c r="N350" i="4" s="1"/>
  <c r="B350" i="4"/>
  <c r="A350" i="4"/>
  <c r="L349" i="4"/>
  <c r="K349" i="4"/>
  <c r="J349" i="4"/>
  <c r="I349" i="4"/>
  <c r="H349" i="4"/>
  <c r="G349" i="4"/>
  <c r="F349" i="4"/>
  <c r="Q349" i="4" s="1"/>
  <c r="E349" i="4"/>
  <c r="D349" i="4"/>
  <c r="C349" i="4"/>
  <c r="N349" i="4" s="1"/>
  <c r="B349" i="4"/>
  <c r="A349" i="4"/>
  <c r="L348" i="4"/>
  <c r="K348" i="4"/>
  <c r="J348" i="4"/>
  <c r="I348" i="4"/>
  <c r="H348" i="4"/>
  <c r="G348" i="4"/>
  <c r="F348" i="4"/>
  <c r="Q348" i="4" s="1"/>
  <c r="E348" i="4"/>
  <c r="D348" i="4"/>
  <c r="C348" i="4"/>
  <c r="N348" i="4" s="1"/>
  <c r="B348" i="4"/>
  <c r="A348" i="4"/>
  <c r="L347" i="4"/>
  <c r="K347" i="4"/>
  <c r="J347" i="4"/>
  <c r="I347" i="4"/>
  <c r="H347" i="4"/>
  <c r="G347" i="4"/>
  <c r="F347" i="4"/>
  <c r="Q347" i="4" s="1"/>
  <c r="E347" i="4"/>
  <c r="D347" i="4"/>
  <c r="C347" i="4"/>
  <c r="N347" i="4" s="1"/>
  <c r="B347" i="4"/>
  <c r="A347" i="4"/>
  <c r="L346" i="4"/>
  <c r="K346" i="4"/>
  <c r="J346" i="4"/>
  <c r="I346" i="4"/>
  <c r="H346" i="4"/>
  <c r="G346" i="4"/>
  <c r="F346" i="4"/>
  <c r="Q346" i="4" s="1"/>
  <c r="E346" i="4"/>
  <c r="D346" i="4"/>
  <c r="C346" i="4"/>
  <c r="N346" i="4" s="1"/>
  <c r="B346" i="4"/>
  <c r="A346" i="4"/>
  <c r="L345" i="4"/>
  <c r="K345" i="4"/>
  <c r="J345" i="4"/>
  <c r="I345" i="4"/>
  <c r="H345" i="4"/>
  <c r="G345" i="4"/>
  <c r="F345" i="4"/>
  <c r="Q345" i="4" s="1"/>
  <c r="E345" i="4"/>
  <c r="D345" i="4"/>
  <c r="C345" i="4"/>
  <c r="N345" i="4" s="1"/>
  <c r="B345" i="4"/>
  <c r="A345" i="4"/>
  <c r="L344" i="4"/>
  <c r="K344" i="4"/>
  <c r="J344" i="4"/>
  <c r="I344" i="4"/>
  <c r="H344" i="4"/>
  <c r="G344" i="4"/>
  <c r="F344" i="4"/>
  <c r="Q344" i="4" s="1"/>
  <c r="E344" i="4"/>
  <c r="D344" i="4"/>
  <c r="C344" i="4"/>
  <c r="N344" i="4" s="1"/>
  <c r="B344" i="4"/>
  <c r="A344" i="4"/>
  <c r="L343" i="4"/>
  <c r="K343" i="4"/>
  <c r="J343" i="4"/>
  <c r="I343" i="4"/>
  <c r="H343" i="4"/>
  <c r="G343" i="4"/>
  <c r="F343" i="4"/>
  <c r="Q343" i="4" s="1"/>
  <c r="E343" i="4"/>
  <c r="D343" i="4"/>
  <c r="C343" i="4"/>
  <c r="N343" i="4" s="1"/>
  <c r="B343" i="4"/>
  <c r="A343" i="4"/>
  <c r="L342" i="4"/>
  <c r="K342" i="4"/>
  <c r="J342" i="4"/>
  <c r="I342" i="4"/>
  <c r="H342" i="4"/>
  <c r="G342" i="4"/>
  <c r="F342" i="4"/>
  <c r="Q342" i="4" s="1"/>
  <c r="E342" i="4"/>
  <c r="D342" i="4"/>
  <c r="C342" i="4"/>
  <c r="N342" i="4" s="1"/>
  <c r="B342" i="4"/>
  <c r="A342" i="4"/>
  <c r="L341" i="4"/>
  <c r="K341" i="4"/>
  <c r="J341" i="4"/>
  <c r="I341" i="4"/>
  <c r="H341" i="4"/>
  <c r="G341" i="4"/>
  <c r="F341" i="4"/>
  <c r="Q341" i="4" s="1"/>
  <c r="E341" i="4"/>
  <c r="D341" i="4"/>
  <c r="C341" i="4"/>
  <c r="N341" i="4" s="1"/>
  <c r="B341" i="4"/>
  <c r="A341" i="4"/>
  <c r="L340" i="4"/>
  <c r="K340" i="4"/>
  <c r="J340" i="4"/>
  <c r="I340" i="4"/>
  <c r="H340" i="4"/>
  <c r="G340" i="4"/>
  <c r="F340" i="4"/>
  <c r="Q340" i="4" s="1"/>
  <c r="E340" i="4"/>
  <c r="D340" i="4"/>
  <c r="C340" i="4"/>
  <c r="N340" i="4" s="1"/>
  <c r="B340" i="4"/>
  <c r="A340" i="4"/>
  <c r="L339" i="4"/>
  <c r="K339" i="4"/>
  <c r="J339" i="4"/>
  <c r="I339" i="4"/>
  <c r="H339" i="4"/>
  <c r="G339" i="4"/>
  <c r="F339" i="4"/>
  <c r="Q339" i="4" s="1"/>
  <c r="E339" i="4"/>
  <c r="D339" i="4"/>
  <c r="C339" i="4"/>
  <c r="N339" i="4" s="1"/>
  <c r="B339" i="4"/>
  <c r="A339" i="4"/>
  <c r="L338" i="4"/>
  <c r="K338" i="4"/>
  <c r="J338" i="4"/>
  <c r="I338" i="4"/>
  <c r="H338" i="4"/>
  <c r="G338" i="4"/>
  <c r="F338" i="4"/>
  <c r="Q338" i="4" s="1"/>
  <c r="E338" i="4"/>
  <c r="D338" i="4"/>
  <c r="C338" i="4"/>
  <c r="N338" i="4" s="1"/>
  <c r="B338" i="4"/>
  <c r="A338" i="4"/>
  <c r="L337" i="4"/>
  <c r="K337" i="4"/>
  <c r="J337" i="4"/>
  <c r="I337" i="4"/>
  <c r="H337" i="4"/>
  <c r="G337" i="4"/>
  <c r="F337" i="4"/>
  <c r="Q337" i="4" s="1"/>
  <c r="E337" i="4"/>
  <c r="D337" i="4"/>
  <c r="C337" i="4"/>
  <c r="N337" i="4" s="1"/>
  <c r="B337" i="4"/>
  <c r="A337" i="4"/>
  <c r="L336" i="4"/>
  <c r="K336" i="4"/>
  <c r="J336" i="4"/>
  <c r="I336" i="4"/>
  <c r="H336" i="4"/>
  <c r="G336" i="4"/>
  <c r="F336" i="4"/>
  <c r="Q336" i="4" s="1"/>
  <c r="E336" i="4"/>
  <c r="D336" i="4"/>
  <c r="C336" i="4"/>
  <c r="N336" i="4" s="1"/>
  <c r="B336" i="4"/>
  <c r="A336" i="4"/>
  <c r="L335" i="4"/>
  <c r="K335" i="4"/>
  <c r="J335" i="4"/>
  <c r="I335" i="4"/>
  <c r="H335" i="4"/>
  <c r="G335" i="4"/>
  <c r="F335" i="4"/>
  <c r="Q335" i="4" s="1"/>
  <c r="E335" i="4"/>
  <c r="D335" i="4"/>
  <c r="C335" i="4"/>
  <c r="N335" i="4" s="1"/>
  <c r="B335" i="4"/>
  <c r="A335" i="4"/>
  <c r="L334" i="4"/>
  <c r="K334" i="4"/>
  <c r="J334" i="4"/>
  <c r="I334" i="4"/>
  <c r="H334" i="4"/>
  <c r="G334" i="4"/>
  <c r="F334" i="4"/>
  <c r="Q334" i="4" s="1"/>
  <c r="E334" i="4"/>
  <c r="D334" i="4"/>
  <c r="C334" i="4"/>
  <c r="N334" i="4" s="1"/>
  <c r="B334" i="4"/>
  <c r="A334" i="4"/>
  <c r="L333" i="4"/>
  <c r="K333" i="4"/>
  <c r="J333" i="4"/>
  <c r="I333" i="4"/>
  <c r="H333" i="4"/>
  <c r="G333" i="4"/>
  <c r="F333" i="4"/>
  <c r="Q333" i="4" s="1"/>
  <c r="E333" i="4"/>
  <c r="D333" i="4"/>
  <c r="C333" i="4"/>
  <c r="N333" i="4" s="1"/>
  <c r="B333" i="4"/>
  <c r="A333" i="4"/>
  <c r="L332" i="4"/>
  <c r="K332" i="4"/>
  <c r="J332" i="4"/>
  <c r="I332" i="4"/>
  <c r="H332" i="4"/>
  <c r="G332" i="4"/>
  <c r="F332" i="4"/>
  <c r="Q332" i="4" s="1"/>
  <c r="E332" i="4"/>
  <c r="D332" i="4"/>
  <c r="C332" i="4"/>
  <c r="N332" i="4" s="1"/>
  <c r="B332" i="4"/>
  <c r="A332" i="4"/>
  <c r="L331" i="4"/>
  <c r="K331" i="4"/>
  <c r="J331" i="4"/>
  <c r="I331" i="4"/>
  <c r="H331" i="4"/>
  <c r="G331" i="4"/>
  <c r="F331" i="4"/>
  <c r="Q331" i="4" s="1"/>
  <c r="E331" i="4"/>
  <c r="D331" i="4"/>
  <c r="C331" i="4"/>
  <c r="N331" i="4" s="1"/>
  <c r="B331" i="4"/>
  <c r="A331" i="4"/>
  <c r="L330" i="4"/>
  <c r="K330" i="4"/>
  <c r="J330" i="4"/>
  <c r="I330" i="4"/>
  <c r="H330" i="4"/>
  <c r="G330" i="4"/>
  <c r="F330" i="4"/>
  <c r="Q330" i="4" s="1"/>
  <c r="E330" i="4"/>
  <c r="D330" i="4"/>
  <c r="C330" i="4"/>
  <c r="N330" i="4" s="1"/>
  <c r="B330" i="4"/>
  <c r="A330" i="4"/>
  <c r="L329" i="4"/>
  <c r="K329" i="4"/>
  <c r="J329" i="4"/>
  <c r="I329" i="4"/>
  <c r="H329" i="4"/>
  <c r="G329" i="4"/>
  <c r="F329" i="4"/>
  <c r="Q329" i="4" s="1"/>
  <c r="E329" i="4"/>
  <c r="D329" i="4"/>
  <c r="C329" i="4"/>
  <c r="N329" i="4" s="1"/>
  <c r="B329" i="4"/>
  <c r="A329" i="4"/>
  <c r="L328" i="4"/>
  <c r="K328" i="4"/>
  <c r="J328" i="4"/>
  <c r="I328" i="4"/>
  <c r="H328" i="4"/>
  <c r="G328" i="4"/>
  <c r="F328" i="4"/>
  <c r="Q328" i="4" s="1"/>
  <c r="E328" i="4"/>
  <c r="D328" i="4"/>
  <c r="C328" i="4"/>
  <c r="N328" i="4" s="1"/>
  <c r="B328" i="4"/>
  <c r="A328" i="4"/>
  <c r="L327" i="4"/>
  <c r="K327" i="4"/>
  <c r="J327" i="4"/>
  <c r="I327" i="4"/>
  <c r="H327" i="4"/>
  <c r="G327" i="4"/>
  <c r="F327" i="4"/>
  <c r="Q327" i="4" s="1"/>
  <c r="E327" i="4"/>
  <c r="D327" i="4"/>
  <c r="C327" i="4"/>
  <c r="N327" i="4" s="1"/>
  <c r="B327" i="4"/>
  <c r="A327" i="4"/>
  <c r="L326" i="4"/>
  <c r="K326" i="4"/>
  <c r="J326" i="4"/>
  <c r="I326" i="4"/>
  <c r="H326" i="4"/>
  <c r="G326" i="4"/>
  <c r="F326" i="4"/>
  <c r="Q326" i="4" s="1"/>
  <c r="E326" i="4"/>
  <c r="D326" i="4"/>
  <c r="C326" i="4"/>
  <c r="N326" i="4" s="1"/>
  <c r="B326" i="4"/>
  <c r="A326" i="4"/>
  <c r="L325" i="4"/>
  <c r="K325" i="4"/>
  <c r="J325" i="4"/>
  <c r="I325" i="4"/>
  <c r="H325" i="4"/>
  <c r="G325" i="4"/>
  <c r="F325" i="4"/>
  <c r="Q325" i="4" s="1"/>
  <c r="E325" i="4"/>
  <c r="D325" i="4"/>
  <c r="C325" i="4"/>
  <c r="N325" i="4" s="1"/>
  <c r="B325" i="4"/>
  <c r="A325" i="4"/>
  <c r="L324" i="4"/>
  <c r="K324" i="4"/>
  <c r="J324" i="4"/>
  <c r="I324" i="4"/>
  <c r="H324" i="4"/>
  <c r="G324" i="4"/>
  <c r="F324" i="4"/>
  <c r="Q324" i="4" s="1"/>
  <c r="E324" i="4"/>
  <c r="D324" i="4"/>
  <c r="C324" i="4"/>
  <c r="N324" i="4" s="1"/>
  <c r="B324" i="4"/>
  <c r="A324" i="4"/>
  <c r="L323" i="4"/>
  <c r="K323" i="4"/>
  <c r="J323" i="4"/>
  <c r="I323" i="4"/>
  <c r="H323" i="4"/>
  <c r="G323" i="4"/>
  <c r="F323" i="4"/>
  <c r="Q323" i="4" s="1"/>
  <c r="E323" i="4"/>
  <c r="D323" i="4"/>
  <c r="C323" i="4"/>
  <c r="N323" i="4" s="1"/>
  <c r="B323" i="4"/>
  <c r="A323" i="4"/>
  <c r="L322" i="4"/>
  <c r="K322" i="4"/>
  <c r="J322" i="4"/>
  <c r="I322" i="4"/>
  <c r="H322" i="4"/>
  <c r="G322" i="4"/>
  <c r="F322" i="4"/>
  <c r="Q322" i="4" s="1"/>
  <c r="E322" i="4"/>
  <c r="D322" i="4"/>
  <c r="C322" i="4"/>
  <c r="N322" i="4" s="1"/>
  <c r="B322" i="4"/>
  <c r="A322" i="4"/>
  <c r="L321" i="4"/>
  <c r="K321" i="4"/>
  <c r="J321" i="4"/>
  <c r="I321" i="4"/>
  <c r="H321" i="4"/>
  <c r="G321" i="4"/>
  <c r="F321" i="4"/>
  <c r="Q321" i="4" s="1"/>
  <c r="E321" i="4"/>
  <c r="D321" i="4"/>
  <c r="C321" i="4"/>
  <c r="N321" i="4" s="1"/>
  <c r="B321" i="4"/>
  <c r="A321" i="4"/>
  <c r="L320" i="4"/>
  <c r="K320" i="4"/>
  <c r="J320" i="4"/>
  <c r="I320" i="4"/>
  <c r="H320" i="4"/>
  <c r="G320" i="4"/>
  <c r="F320" i="4"/>
  <c r="Q320" i="4" s="1"/>
  <c r="E320" i="4"/>
  <c r="D320" i="4"/>
  <c r="C320" i="4"/>
  <c r="N320" i="4" s="1"/>
  <c r="B320" i="4"/>
  <c r="A320" i="4"/>
  <c r="L319" i="4"/>
  <c r="K319" i="4"/>
  <c r="J319" i="4"/>
  <c r="I319" i="4"/>
  <c r="H319" i="4"/>
  <c r="G319" i="4"/>
  <c r="F319" i="4"/>
  <c r="Q319" i="4" s="1"/>
  <c r="E319" i="4"/>
  <c r="D319" i="4"/>
  <c r="C319" i="4"/>
  <c r="N319" i="4" s="1"/>
  <c r="B319" i="4"/>
  <c r="A319" i="4"/>
  <c r="L318" i="4"/>
  <c r="K318" i="4"/>
  <c r="J318" i="4"/>
  <c r="I318" i="4"/>
  <c r="H318" i="4"/>
  <c r="G318" i="4"/>
  <c r="F318" i="4"/>
  <c r="Q318" i="4" s="1"/>
  <c r="E318" i="4"/>
  <c r="D318" i="4"/>
  <c r="C318" i="4"/>
  <c r="N318" i="4" s="1"/>
  <c r="B318" i="4"/>
  <c r="A318" i="4"/>
  <c r="L317" i="4"/>
  <c r="K317" i="4"/>
  <c r="J317" i="4"/>
  <c r="I317" i="4"/>
  <c r="H317" i="4"/>
  <c r="G317" i="4"/>
  <c r="F317" i="4"/>
  <c r="Q317" i="4" s="1"/>
  <c r="E317" i="4"/>
  <c r="D317" i="4"/>
  <c r="C317" i="4"/>
  <c r="N317" i="4" s="1"/>
  <c r="B317" i="4"/>
  <c r="A317" i="4"/>
  <c r="L316" i="4"/>
  <c r="K316" i="4"/>
  <c r="J316" i="4"/>
  <c r="I316" i="4"/>
  <c r="H316" i="4"/>
  <c r="G316" i="4"/>
  <c r="F316" i="4"/>
  <c r="Q316" i="4" s="1"/>
  <c r="E316" i="4"/>
  <c r="D316" i="4"/>
  <c r="C316" i="4"/>
  <c r="N316" i="4" s="1"/>
  <c r="B316" i="4"/>
  <c r="A316" i="4"/>
  <c r="L315" i="4"/>
  <c r="K315" i="4"/>
  <c r="J315" i="4"/>
  <c r="I315" i="4"/>
  <c r="H315" i="4"/>
  <c r="G315" i="4"/>
  <c r="F315" i="4"/>
  <c r="Q315" i="4" s="1"/>
  <c r="E315" i="4"/>
  <c r="D315" i="4"/>
  <c r="C315" i="4"/>
  <c r="N315" i="4" s="1"/>
  <c r="B315" i="4"/>
  <c r="A315" i="4"/>
  <c r="L314" i="4"/>
  <c r="K314" i="4"/>
  <c r="J314" i="4"/>
  <c r="I314" i="4"/>
  <c r="H314" i="4"/>
  <c r="G314" i="4"/>
  <c r="F314" i="4"/>
  <c r="Q314" i="4" s="1"/>
  <c r="E314" i="4"/>
  <c r="D314" i="4"/>
  <c r="C314" i="4"/>
  <c r="N314" i="4" s="1"/>
  <c r="B314" i="4"/>
  <c r="A314" i="4"/>
  <c r="L313" i="4"/>
  <c r="K313" i="4"/>
  <c r="J313" i="4"/>
  <c r="I313" i="4"/>
  <c r="H313" i="4"/>
  <c r="G313" i="4"/>
  <c r="F313" i="4"/>
  <c r="Q313" i="4" s="1"/>
  <c r="E313" i="4"/>
  <c r="D313" i="4"/>
  <c r="C313" i="4"/>
  <c r="N313" i="4" s="1"/>
  <c r="B313" i="4"/>
  <c r="A313" i="4"/>
  <c r="L312" i="4"/>
  <c r="K312" i="4"/>
  <c r="J312" i="4"/>
  <c r="I312" i="4"/>
  <c r="H312" i="4"/>
  <c r="G312" i="4"/>
  <c r="F312" i="4"/>
  <c r="Q312" i="4" s="1"/>
  <c r="E312" i="4"/>
  <c r="D312" i="4"/>
  <c r="C312" i="4"/>
  <c r="N312" i="4" s="1"/>
  <c r="B312" i="4"/>
  <c r="A312" i="4"/>
  <c r="L311" i="4"/>
  <c r="K311" i="4"/>
  <c r="J311" i="4"/>
  <c r="I311" i="4"/>
  <c r="H311" i="4"/>
  <c r="G311" i="4"/>
  <c r="F311" i="4"/>
  <c r="Q311" i="4" s="1"/>
  <c r="E311" i="4"/>
  <c r="D311" i="4"/>
  <c r="C311" i="4"/>
  <c r="N311" i="4" s="1"/>
  <c r="B311" i="4"/>
  <c r="A311" i="4"/>
  <c r="L310" i="4"/>
  <c r="K310" i="4"/>
  <c r="J310" i="4"/>
  <c r="I310" i="4"/>
  <c r="H310" i="4"/>
  <c r="G310" i="4"/>
  <c r="F310" i="4"/>
  <c r="Q310" i="4" s="1"/>
  <c r="E310" i="4"/>
  <c r="D310" i="4"/>
  <c r="C310" i="4"/>
  <c r="N310" i="4" s="1"/>
  <c r="B310" i="4"/>
  <c r="A310" i="4"/>
  <c r="L309" i="4"/>
  <c r="K309" i="4"/>
  <c r="J309" i="4"/>
  <c r="I309" i="4"/>
  <c r="H309" i="4"/>
  <c r="G309" i="4"/>
  <c r="F309" i="4"/>
  <c r="Q309" i="4" s="1"/>
  <c r="E309" i="4"/>
  <c r="D309" i="4"/>
  <c r="C309" i="4"/>
  <c r="N309" i="4" s="1"/>
  <c r="B309" i="4"/>
  <c r="A309" i="4"/>
  <c r="L308" i="4"/>
  <c r="K308" i="4"/>
  <c r="J308" i="4"/>
  <c r="I308" i="4"/>
  <c r="H308" i="4"/>
  <c r="G308" i="4"/>
  <c r="F308" i="4"/>
  <c r="Q308" i="4" s="1"/>
  <c r="E308" i="4"/>
  <c r="D308" i="4"/>
  <c r="C308" i="4"/>
  <c r="N308" i="4" s="1"/>
  <c r="B308" i="4"/>
  <c r="A308" i="4"/>
  <c r="L307" i="4"/>
  <c r="K307" i="4"/>
  <c r="J307" i="4"/>
  <c r="I307" i="4"/>
  <c r="H307" i="4"/>
  <c r="G307" i="4"/>
  <c r="F307" i="4"/>
  <c r="Q307" i="4" s="1"/>
  <c r="E307" i="4"/>
  <c r="D307" i="4"/>
  <c r="C307" i="4"/>
  <c r="N307" i="4" s="1"/>
  <c r="B307" i="4"/>
  <c r="A307" i="4"/>
  <c r="L306" i="4"/>
  <c r="K306" i="4"/>
  <c r="J306" i="4"/>
  <c r="I306" i="4"/>
  <c r="H306" i="4"/>
  <c r="G306" i="4"/>
  <c r="F306" i="4"/>
  <c r="Q306" i="4" s="1"/>
  <c r="E306" i="4"/>
  <c r="D306" i="4"/>
  <c r="C306" i="4"/>
  <c r="N306" i="4" s="1"/>
  <c r="B306" i="4"/>
  <c r="A306" i="4"/>
  <c r="L305" i="4"/>
  <c r="K305" i="4"/>
  <c r="J305" i="4"/>
  <c r="I305" i="4"/>
  <c r="H305" i="4"/>
  <c r="G305" i="4"/>
  <c r="F305" i="4"/>
  <c r="Q305" i="4" s="1"/>
  <c r="E305" i="4"/>
  <c r="D305" i="4"/>
  <c r="C305" i="4"/>
  <c r="N305" i="4" s="1"/>
  <c r="B305" i="4"/>
  <c r="A305" i="4"/>
  <c r="L304" i="4"/>
  <c r="K304" i="4"/>
  <c r="J304" i="4"/>
  <c r="I304" i="4"/>
  <c r="H304" i="4"/>
  <c r="G304" i="4"/>
  <c r="F304" i="4"/>
  <c r="Q304" i="4" s="1"/>
  <c r="E304" i="4"/>
  <c r="D304" i="4"/>
  <c r="C304" i="4"/>
  <c r="N304" i="4" s="1"/>
  <c r="B304" i="4"/>
  <c r="A304" i="4"/>
  <c r="L303" i="4"/>
  <c r="K303" i="4"/>
  <c r="J303" i="4"/>
  <c r="I303" i="4"/>
  <c r="H303" i="4"/>
  <c r="G303" i="4"/>
  <c r="F303" i="4"/>
  <c r="Q303" i="4" s="1"/>
  <c r="E303" i="4"/>
  <c r="D303" i="4"/>
  <c r="C303" i="4"/>
  <c r="N303" i="4" s="1"/>
  <c r="B303" i="4"/>
  <c r="A303" i="4"/>
  <c r="L302" i="4"/>
  <c r="K302" i="4"/>
  <c r="J302" i="4"/>
  <c r="I302" i="4"/>
  <c r="H302" i="4"/>
  <c r="G302" i="4"/>
  <c r="F302" i="4"/>
  <c r="Q302" i="4" s="1"/>
  <c r="E302" i="4"/>
  <c r="D302" i="4"/>
  <c r="C302" i="4"/>
  <c r="N302" i="4" s="1"/>
  <c r="B302" i="4"/>
  <c r="A302" i="4"/>
  <c r="L301" i="4"/>
  <c r="K301" i="4"/>
  <c r="J301" i="4"/>
  <c r="I301" i="4"/>
  <c r="H301" i="4"/>
  <c r="G301" i="4"/>
  <c r="F301" i="4"/>
  <c r="Q301" i="4" s="1"/>
  <c r="E301" i="4"/>
  <c r="D301" i="4"/>
  <c r="C301" i="4"/>
  <c r="N301" i="4" s="1"/>
  <c r="B301" i="4"/>
  <c r="A301" i="4"/>
  <c r="L300" i="4"/>
  <c r="K300" i="4"/>
  <c r="J300" i="4"/>
  <c r="I300" i="4"/>
  <c r="H300" i="4"/>
  <c r="G300" i="4"/>
  <c r="F300" i="4"/>
  <c r="Q300" i="4" s="1"/>
  <c r="E300" i="4"/>
  <c r="D300" i="4"/>
  <c r="C300" i="4"/>
  <c r="N300" i="4" s="1"/>
  <c r="B300" i="4"/>
  <c r="A300" i="4"/>
  <c r="L299" i="4"/>
  <c r="K299" i="4"/>
  <c r="J299" i="4"/>
  <c r="I299" i="4"/>
  <c r="H299" i="4"/>
  <c r="G299" i="4"/>
  <c r="F299" i="4"/>
  <c r="Q299" i="4" s="1"/>
  <c r="E299" i="4"/>
  <c r="D299" i="4"/>
  <c r="C299" i="4"/>
  <c r="N299" i="4" s="1"/>
  <c r="B299" i="4"/>
  <c r="A299" i="4"/>
  <c r="L298" i="4"/>
  <c r="K298" i="4"/>
  <c r="J298" i="4"/>
  <c r="I298" i="4"/>
  <c r="H298" i="4"/>
  <c r="G298" i="4"/>
  <c r="F298" i="4"/>
  <c r="Q298" i="4" s="1"/>
  <c r="E298" i="4"/>
  <c r="D298" i="4"/>
  <c r="C298" i="4"/>
  <c r="N298" i="4" s="1"/>
  <c r="B298" i="4"/>
  <c r="A298" i="4"/>
  <c r="L297" i="4"/>
  <c r="K297" i="4"/>
  <c r="J297" i="4"/>
  <c r="I297" i="4"/>
  <c r="H297" i="4"/>
  <c r="G297" i="4"/>
  <c r="F297" i="4"/>
  <c r="Q297" i="4" s="1"/>
  <c r="E297" i="4"/>
  <c r="D297" i="4"/>
  <c r="C297" i="4"/>
  <c r="N297" i="4" s="1"/>
  <c r="B297" i="4"/>
  <c r="A297" i="4"/>
  <c r="L296" i="4"/>
  <c r="K296" i="4"/>
  <c r="J296" i="4"/>
  <c r="I296" i="4"/>
  <c r="H296" i="4"/>
  <c r="G296" i="4"/>
  <c r="F296" i="4"/>
  <c r="Q296" i="4" s="1"/>
  <c r="E296" i="4"/>
  <c r="D296" i="4"/>
  <c r="C296" i="4"/>
  <c r="N296" i="4" s="1"/>
  <c r="B296" i="4"/>
  <c r="A296" i="4"/>
  <c r="L295" i="4"/>
  <c r="K295" i="4"/>
  <c r="J295" i="4"/>
  <c r="I295" i="4"/>
  <c r="H295" i="4"/>
  <c r="G295" i="4"/>
  <c r="F295" i="4"/>
  <c r="Q295" i="4" s="1"/>
  <c r="E295" i="4"/>
  <c r="D295" i="4"/>
  <c r="C295" i="4"/>
  <c r="N295" i="4" s="1"/>
  <c r="B295" i="4"/>
  <c r="A295" i="4"/>
  <c r="L294" i="4"/>
  <c r="K294" i="4"/>
  <c r="J294" i="4"/>
  <c r="I294" i="4"/>
  <c r="H294" i="4"/>
  <c r="G294" i="4"/>
  <c r="F294" i="4"/>
  <c r="Q294" i="4" s="1"/>
  <c r="E294" i="4"/>
  <c r="D294" i="4"/>
  <c r="C294" i="4"/>
  <c r="N294" i="4" s="1"/>
  <c r="B294" i="4"/>
  <c r="A294" i="4"/>
  <c r="L293" i="4"/>
  <c r="K293" i="4"/>
  <c r="J293" i="4"/>
  <c r="I293" i="4"/>
  <c r="H293" i="4"/>
  <c r="G293" i="4"/>
  <c r="F293" i="4"/>
  <c r="Q293" i="4" s="1"/>
  <c r="E293" i="4"/>
  <c r="D293" i="4"/>
  <c r="C293" i="4"/>
  <c r="N293" i="4" s="1"/>
  <c r="B293" i="4"/>
  <c r="A293" i="4"/>
  <c r="L292" i="4"/>
  <c r="K292" i="4"/>
  <c r="J292" i="4"/>
  <c r="I292" i="4"/>
  <c r="H292" i="4"/>
  <c r="G292" i="4"/>
  <c r="F292" i="4"/>
  <c r="Q292" i="4" s="1"/>
  <c r="E292" i="4"/>
  <c r="D292" i="4"/>
  <c r="C292" i="4"/>
  <c r="N292" i="4" s="1"/>
  <c r="B292" i="4"/>
  <c r="A292" i="4"/>
  <c r="L291" i="4"/>
  <c r="K291" i="4"/>
  <c r="J291" i="4"/>
  <c r="I291" i="4"/>
  <c r="H291" i="4"/>
  <c r="G291" i="4"/>
  <c r="F291" i="4"/>
  <c r="Q291" i="4" s="1"/>
  <c r="E291" i="4"/>
  <c r="D291" i="4"/>
  <c r="C291" i="4"/>
  <c r="N291" i="4" s="1"/>
  <c r="B291" i="4"/>
  <c r="A291" i="4"/>
  <c r="L290" i="4"/>
  <c r="K290" i="4"/>
  <c r="J290" i="4"/>
  <c r="I290" i="4"/>
  <c r="H290" i="4"/>
  <c r="G290" i="4"/>
  <c r="F290" i="4"/>
  <c r="Q290" i="4" s="1"/>
  <c r="E290" i="4"/>
  <c r="D290" i="4"/>
  <c r="C290" i="4"/>
  <c r="N290" i="4" s="1"/>
  <c r="B290" i="4"/>
  <c r="A290" i="4"/>
  <c r="L289" i="4"/>
  <c r="K289" i="4"/>
  <c r="J289" i="4"/>
  <c r="I289" i="4"/>
  <c r="H289" i="4"/>
  <c r="G289" i="4"/>
  <c r="F289" i="4"/>
  <c r="Q289" i="4" s="1"/>
  <c r="E289" i="4"/>
  <c r="D289" i="4"/>
  <c r="C289" i="4"/>
  <c r="N289" i="4" s="1"/>
  <c r="B289" i="4"/>
  <c r="A289" i="4"/>
  <c r="L288" i="4"/>
  <c r="K288" i="4"/>
  <c r="J288" i="4"/>
  <c r="I288" i="4"/>
  <c r="H288" i="4"/>
  <c r="G288" i="4"/>
  <c r="F288" i="4"/>
  <c r="Q288" i="4" s="1"/>
  <c r="E288" i="4"/>
  <c r="D288" i="4"/>
  <c r="C288" i="4"/>
  <c r="N288" i="4" s="1"/>
  <c r="B288" i="4"/>
  <c r="A288" i="4"/>
  <c r="L287" i="4"/>
  <c r="K287" i="4"/>
  <c r="J287" i="4"/>
  <c r="I287" i="4"/>
  <c r="H287" i="4"/>
  <c r="G287" i="4"/>
  <c r="F287" i="4"/>
  <c r="Q287" i="4" s="1"/>
  <c r="E287" i="4"/>
  <c r="D287" i="4"/>
  <c r="C287" i="4"/>
  <c r="N287" i="4" s="1"/>
  <c r="B287" i="4"/>
  <c r="A287" i="4"/>
  <c r="L286" i="4"/>
  <c r="K286" i="4"/>
  <c r="J286" i="4"/>
  <c r="I286" i="4"/>
  <c r="H286" i="4"/>
  <c r="G286" i="4"/>
  <c r="F286" i="4"/>
  <c r="Q286" i="4" s="1"/>
  <c r="E286" i="4"/>
  <c r="D286" i="4"/>
  <c r="C286" i="4"/>
  <c r="N286" i="4" s="1"/>
  <c r="B286" i="4"/>
  <c r="A286" i="4"/>
  <c r="L285" i="4"/>
  <c r="K285" i="4"/>
  <c r="J285" i="4"/>
  <c r="I285" i="4"/>
  <c r="H285" i="4"/>
  <c r="G285" i="4"/>
  <c r="F285" i="4"/>
  <c r="Q285" i="4" s="1"/>
  <c r="E285" i="4"/>
  <c r="D285" i="4"/>
  <c r="C285" i="4"/>
  <c r="N285" i="4" s="1"/>
  <c r="B285" i="4"/>
  <c r="A285" i="4"/>
  <c r="L284" i="4"/>
  <c r="K284" i="4"/>
  <c r="J284" i="4"/>
  <c r="I284" i="4"/>
  <c r="H284" i="4"/>
  <c r="G284" i="4"/>
  <c r="F284" i="4"/>
  <c r="Q284" i="4" s="1"/>
  <c r="E284" i="4"/>
  <c r="D284" i="4"/>
  <c r="C284" i="4"/>
  <c r="N284" i="4" s="1"/>
  <c r="B284" i="4"/>
  <c r="A284" i="4"/>
  <c r="L283" i="4"/>
  <c r="K283" i="4"/>
  <c r="J283" i="4"/>
  <c r="I283" i="4"/>
  <c r="H283" i="4"/>
  <c r="G283" i="4"/>
  <c r="F283" i="4"/>
  <c r="Q283" i="4" s="1"/>
  <c r="E283" i="4"/>
  <c r="D283" i="4"/>
  <c r="C283" i="4"/>
  <c r="N283" i="4" s="1"/>
  <c r="B283" i="4"/>
  <c r="A283" i="4"/>
  <c r="L282" i="4"/>
  <c r="K282" i="4"/>
  <c r="J282" i="4"/>
  <c r="I282" i="4"/>
  <c r="H282" i="4"/>
  <c r="G282" i="4"/>
  <c r="F282" i="4"/>
  <c r="Q282" i="4" s="1"/>
  <c r="E282" i="4"/>
  <c r="D282" i="4"/>
  <c r="C282" i="4"/>
  <c r="N282" i="4" s="1"/>
  <c r="B282" i="4"/>
  <c r="A282" i="4"/>
  <c r="L281" i="4"/>
  <c r="K281" i="4"/>
  <c r="J281" i="4"/>
  <c r="I281" i="4"/>
  <c r="H281" i="4"/>
  <c r="G281" i="4"/>
  <c r="F281" i="4"/>
  <c r="Q281" i="4" s="1"/>
  <c r="E281" i="4"/>
  <c r="D281" i="4"/>
  <c r="C281" i="4"/>
  <c r="N281" i="4" s="1"/>
  <c r="B281" i="4"/>
  <c r="A281" i="4"/>
  <c r="L280" i="4"/>
  <c r="K280" i="4"/>
  <c r="J280" i="4"/>
  <c r="I280" i="4"/>
  <c r="H280" i="4"/>
  <c r="G280" i="4"/>
  <c r="F280" i="4"/>
  <c r="Q280" i="4" s="1"/>
  <c r="E280" i="4"/>
  <c r="D280" i="4"/>
  <c r="C280" i="4"/>
  <c r="N280" i="4" s="1"/>
  <c r="B280" i="4"/>
  <c r="A280" i="4"/>
  <c r="L279" i="4"/>
  <c r="K279" i="4"/>
  <c r="J279" i="4"/>
  <c r="I279" i="4"/>
  <c r="H279" i="4"/>
  <c r="G279" i="4"/>
  <c r="F279" i="4"/>
  <c r="Q279" i="4" s="1"/>
  <c r="E279" i="4"/>
  <c r="D279" i="4"/>
  <c r="C279" i="4"/>
  <c r="N279" i="4" s="1"/>
  <c r="B279" i="4"/>
  <c r="A279" i="4"/>
  <c r="L278" i="4"/>
  <c r="K278" i="4"/>
  <c r="J278" i="4"/>
  <c r="I278" i="4"/>
  <c r="H278" i="4"/>
  <c r="G278" i="4"/>
  <c r="F278" i="4"/>
  <c r="Q278" i="4" s="1"/>
  <c r="E278" i="4"/>
  <c r="D278" i="4"/>
  <c r="C278" i="4"/>
  <c r="N278" i="4" s="1"/>
  <c r="B278" i="4"/>
  <c r="A278" i="4"/>
  <c r="L277" i="4"/>
  <c r="K277" i="4"/>
  <c r="J277" i="4"/>
  <c r="I277" i="4"/>
  <c r="H277" i="4"/>
  <c r="G277" i="4"/>
  <c r="F277" i="4"/>
  <c r="Q277" i="4" s="1"/>
  <c r="E277" i="4"/>
  <c r="D277" i="4"/>
  <c r="C277" i="4"/>
  <c r="N277" i="4" s="1"/>
  <c r="B277" i="4"/>
  <c r="A277" i="4"/>
  <c r="L276" i="4"/>
  <c r="K276" i="4"/>
  <c r="J276" i="4"/>
  <c r="I276" i="4"/>
  <c r="H276" i="4"/>
  <c r="G276" i="4"/>
  <c r="F276" i="4"/>
  <c r="Q276" i="4" s="1"/>
  <c r="E276" i="4"/>
  <c r="D276" i="4"/>
  <c r="C276" i="4"/>
  <c r="N276" i="4" s="1"/>
  <c r="B276" i="4"/>
  <c r="A276" i="4"/>
  <c r="L275" i="4"/>
  <c r="K275" i="4"/>
  <c r="J275" i="4"/>
  <c r="I275" i="4"/>
  <c r="H275" i="4"/>
  <c r="G275" i="4"/>
  <c r="F275" i="4"/>
  <c r="Q275" i="4" s="1"/>
  <c r="E275" i="4"/>
  <c r="D275" i="4"/>
  <c r="C275" i="4"/>
  <c r="N275" i="4" s="1"/>
  <c r="B275" i="4"/>
  <c r="A275" i="4"/>
  <c r="L274" i="4"/>
  <c r="K274" i="4"/>
  <c r="J274" i="4"/>
  <c r="I274" i="4"/>
  <c r="H274" i="4"/>
  <c r="G274" i="4"/>
  <c r="F274" i="4"/>
  <c r="Q274" i="4" s="1"/>
  <c r="E274" i="4"/>
  <c r="D274" i="4"/>
  <c r="C274" i="4"/>
  <c r="N274" i="4" s="1"/>
  <c r="B274" i="4"/>
  <c r="A274" i="4"/>
  <c r="L273" i="4"/>
  <c r="K273" i="4"/>
  <c r="J273" i="4"/>
  <c r="I273" i="4"/>
  <c r="H273" i="4"/>
  <c r="G273" i="4"/>
  <c r="F273" i="4"/>
  <c r="Q273" i="4" s="1"/>
  <c r="E273" i="4"/>
  <c r="D273" i="4"/>
  <c r="C273" i="4"/>
  <c r="N273" i="4" s="1"/>
  <c r="B273" i="4"/>
  <c r="A273" i="4"/>
  <c r="L272" i="4"/>
  <c r="K272" i="4"/>
  <c r="J272" i="4"/>
  <c r="I272" i="4"/>
  <c r="H272" i="4"/>
  <c r="G272" i="4"/>
  <c r="F272" i="4"/>
  <c r="Q272" i="4" s="1"/>
  <c r="E272" i="4"/>
  <c r="D272" i="4"/>
  <c r="C272" i="4"/>
  <c r="N272" i="4" s="1"/>
  <c r="B272" i="4"/>
  <c r="A272" i="4"/>
  <c r="L271" i="4"/>
  <c r="K271" i="4"/>
  <c r="J271" i="4"/>
  <c r="I271" i="4"/>
  <c r="H271" i="4"/>
  <c r="G271" i="4"/>
  <c r="F271" i="4"/>
  <c r="Q271" i="4" s="1"/>
  <c r="E271" i="4"/>
  <c r="D271" i="4"/>
  <c r="C271" i="4"/>
  <c r="N271" i="4" s="1"/>
  <c r="B271" i="4"/>
  <c r="A271" i="4"/>
  <c r="L270" i="4"/>
  <c r="K270" i="4"/>
  <c r="J270" i="4"/>
  <c r="I270" i="4"/>
  <c r="H270" i="4"/>
  <c r="G270" i="4"/>
  <c r="F270" i="4"/>
  <c r="Q270" i="4" s="1"/>
  <c r="E270" i="4"/>
  <c r="D270" i="4"/>
  <c r="C270" i="4"/>
  <c r="N270" i="4" s="1"/>
  <c r="B270" i="4"/>
  <c r="A270" i="4"/>
  <c r="L269" i="4"/>
  <c r="K269" i="4"/>
  <c r="J269" i="4"/>
  <c r="I269" i="4"/>
  <c r="H269" i="4"/>
  <c r="G269" i="4"/>
  <c r="F269" i="4"/>
  <c r="Q269" i="4" s="1"/>
  <c r="E269" i="4"/>
  <c r="D269" i="4"/>
  <c r="C269" i="4"/>
  <c r="N269" i="4" s="1"/>
  <c r="B269" i="4"/>
  <c r="A269" i="4"/>
  <c r="L268" i="4"/>
  <c r="K268" i="4"/>
  <c r="J268" i="4"/>
  <c r="I268" i="4"/>
  <c r="H268" i="4"/>
  <c r="G268" i="4"/>
  <c r="F268" i="4"/>
  <c r="Q268" i="4" s="1"/>
  <c r="E268" i="4"/>
  <c r="D268" i="4"/>
  <c r="C268" i="4"/>
  <c r="N268" i="4" s="1"/>
  <c r="B268" i="4"/>
  <c r="A268" i="4"/>
  <c r="L267" i="4"/>
  <c r="K267" i="4"/>
  <c r="J267" i="4"/>
  <c r="I267" i="4"/>
  <c r="H267" i="4"/>
  <c r="G267" i="4"/>
  <c r="F267" i="4"/>
  <c r="Q267" i="4" s="1"/>
  <c r="E267" i="4"/>
  <c r="D267" i="4"/>
  <c r="C267" i="4"/>
  <c r="N267" i="4" s="1"/>
  <c r="B267" i="4"/>
  <c r="A267" i="4"/>
  <c r="L266" i="4"/>
  <c r="K266" i="4"/>
  <c r="J266" i="4"/>
  <c r="I266" i="4"/>
  <c r="H266" i="4"/>
  <c r="G266" i="4"/>
  <c r="F266" i="4"/>
  <c r="Q266" i="4" s="1"/>
  <c r="E266" i="4"/>
  <c r="D266" i="4"/>
  <c r="C266" i="4"/>
  <c r="N266" i="4" s="1"/>
  <c r="B266" i="4"/>
  <c r="A266" i="4"/>
  <c r="L265" i="4"/>
  <c r="K265" i="4"/>
  <c r="J265" i="4"/>
  <c r="I265" i="4"/>
  <c r="H265" i="4"/>
  <c r="G265" i="4"/>
  <c r="F265" i="4"/>
  <c r="Q265" i="4" s="1"/>
  <c r="E265" i="4"/>
  <c r="D265" i="4"/>
  <c r="C265" i="4"/>
  <c r="N265" i="4" s="1"/>
  <c r="B265" i="4"/>
  <c r="A265" i="4"/>
  <c r="L264" i="4"/>
  <c r="K264" i="4"/>
  <c r="J264" i="4"/>
  <c r="I264" i="4"/>
  <c r="H264" i="4"/>
  <c r="G264" i="4"/>
  <c r="F264" i="4"/>
  <c r="Q264" i="4" s="1"/>
  <c r="E264" i="4"/>
  <c r="D264" i="4"/>
  <c r="C264" i="4"/>
  <c r="N264" i="4" s="1"/>
  <c r="B264" i="4"/>
  <c r="A264" i="4"/>
  <c r="L263" i="4"/>
  <c r="K263" i="4"/>
  <c r="J263" i="4"/>
  <c r="I263" i="4"/>
  <c r="H263" i="4"/>
  <c r="G263" i="4"/>
  <c r="F263" i="4"/>
  <c r="Q263" i="4" s="1"/>
  <c r="E263" i="4"/>
  <c r="D263" i="4"/>
  <c r="C263" i="4"/>
  <c r="N263" i="4" s="1"/>
  <c r="B263" i="4"/>
  <c r="A263" i="4"/>
  <c r="L262" i="4"/>
  <c r="K262" i="4"/>
  <c r="J262" i="4"/>
  <c r="I262" i="4"/>
  <c r="H262" i="4"/>
  <c r="G262" i="4"/>
  <c r="F262" i="4"/>
  <c r="Q262" i="4" s="1"/>
  <c r="E262" i="4"/>
  <c r="D262" i="4"/>
  <c r="C262" i="4"/>
  <c r="N262" i="4" s="1"/>
  <c r="B262" i="4"/>
  <c r="A262" i="4"/>
  <c r="L261" i="4"/>
  <c r="K261" i="4"/>
  <c r="J261" i="4"/>
  <c r="I261" i="4"/>
  <c r="H261" i="4"/>
  <c r="G261" i="4"/>
  <c r="F261" i="4"/>
  <c r="Q261" i="4" s="1"/>
  <c r="E261" i="4"/>
  <c r="D261" i="4"/>
  <c r="C261" i="4"/>
  <c r="N261" i="4" s="1"/>
  <c r="B261" i="4"/>
  <c r="A261" i="4"/>
  <c r="L260" i="4"/>
  <c r="K260" i="4"/>
  <c r="J260" i="4"/>
  <c r="I260" i="4"/>
  <c r="H260" i="4"/>
  <c r="G260" i="4"/>
  <c r="F260" i="4"/>
  <c r="Q260" i="4" s="1"/>
  <c r="E260" i="4"/>
  <c r="D260" i="4"/>
  <c r="C260" i="4"/>
  <c r="N260" i="4" s="1"/>
  <c r="B260" i="4"/>
  <c r="A260" i="4"/>
  <c r="L259" i="4"/>
  <c r="K259" i="4"/>
  <c r="J259" i="4"/>
  <c r="I259" i="4"/>
  <c r="H259" i="4"/>
  <c r="G259" i="4"/>
  <c r="F259" i="4"/>
  <c r="Q259" i="4" s="1"/>
  <c r="E259" i="4"/>
  <c r="D259" i="4"/>
  <c r="C259" i="4"/>
  <c r="N259" i="4" s="1"/>
  <c r="B259" i="4"/>
  <c r="A259" i="4"/>
  <c r="L258" i="4"/>
  <c r="K258" i="4"/>
  <c r="J258" i="4"/>
  <c r="I258" i="4"/>
  <c r="H258" i="4"/>
  <c r="G258" i="4"/>
  <c r="F258" i="4"/>
  <c r="Q258" i="4" s="1"/>
  <c r="E258" i="4"/>
  <c r="D258" i="4"/>
  <c r="C258" i="4"/>
  <c r="N258" i="4" s="1"/>
  <c r="B258" i="4"/>
  <c r="A258" i="4"/>
  <c r="L257" i="4"/>
  <c r="K257" i="4"/>
  <c r="J257" i="4"/>
  <c r="I257" i="4"/>
  <c r="H257" i="4"/>
  <c r="G257" i="4"/>
  <c r="F257" i="4"/>
  <c r="Q257" i="4" s="1"/>
  <c r="E257" i="4"/>
  <c r="D257" i="4"/>
  <c r="C257" i="4"/>
  <c r="N257" i="4" s="1"/>
  <c r="B257" i="4"/>
  <c r="A257" i="4"/>
  <c r="L256" i="4"/>
  <c r="K256" i="4"/>
  <c r="J256" i="4"/>
  <c r="I256" i="4"/>
  <c r="H256" i="4"/>
  <c r="G256" i="4"/>
  <c r="F256" i="4"/>
  <c r="Q256" i="4" s="1"/>
  <c r="E256" i="4"/>
  <c r="D256" i="4"/>
  <c r="C256" i="4"/>
  <c r="N256" i="4" s="1"/>
  <c r="B256" i="4"/>
  <c r="A256" i="4"/>
  <c r="L255" i="4"/>
  <c r="K255" i="4"/>
  <c r="J255" i="4"/>
  <c r="I255" i="4"/>
  <c r="H255" i="4"/>
  <c r="G255" i="4"/>
  <c r="F255" i="4"/>
  <c r="Q255" i="4" s="1"/>
  <c r="E255" i="4"/>
  <c r="D255" i="4"/>
  <c r="C255" i="4"/>
  <c r="N255" i="4" s="1"/>
  <c r="B255" i="4"/>
  <c r="A255" i="4"/>
  <c r="L254" i="4"/>
  <c r="K254" i="4"/>
  <c r="J254" i="4"/>
  <c r="I254" i="4"/>
  <c r="H254" i="4"/>
  <c r="G254" i="4"/>
  <c r="F254" i="4"/>
  <c r="Q254" i="4" s="1"/>
  <c r="E254" i="4"/>
  <c r="D254" i="4"/>
  <c r="C254" i="4"/>
  <c r="N254" i="4" s="1"/>
  <c r="B254" i="4"/>
  <c r="A254" i="4"/>
  <c r="L253" i="4"/>
  <c r="K253" i="4"/>
  <c r="J253" i="4"/>
  <c r="I253" i="4"/>
  <c r="H253" i="4"/>
  <c r="G253" i="4"/>
  <c r="F253" i="4"/>
  <c r="Q253" i="4" s="1"/>
  <c r="E253" i="4"/>
  <c r="D253" i="4"/>
  <c r="C253" i="4"/>
  <c r="N253" i="4" s="1"/>
  <c r="B253" i="4"/>
  <c r="A253" i="4"/>
  <c r="L252" i="4"/>
  <c r="K252" i="4"/>
  <c r="J252" i="4"/>
  <c r="I252" i="4"/>
  <c r="H252" i="4"/>
  <c r="G252" i="4"/>
  <c r="F252" i="4"/>
  <c r="Q252" i="4" s="1"/>
  <c r="E252" i="4"/>
  <c r="D252" i="4"/>
  <c r="C252" i="4"/>
  <c r="N252" i="4" s="1"/>
  <c r="B252" i="4"/>
  <c r="A252" i="4"/>
  <c r="L251" i="4"/>
  <c r="K251" i="4"/>
  <c r="J251" i="4"/>
  <c r="I251" i="4"/>
  <c r="H251" i="4"/>
  <c r="G251" i="4"/>
  <c r="F251" i="4"/>
  <c r="Q251" i="4" s="1"/>
  <c r="E251" i="4"/>
  <c r="D251" i="4"/>
  <c r="C251" i="4"/>
  <c r="N251" i="4" s="1"/>
  <c r="B251" i="4"/>
  <c r="A251" i="4"/>
  <c r="L250" i="4"/>
  <c r="K250" i="4"/>
  <c r="J250" i="4"/>
  <c r="I250" i="4"/>
  <c r="H250" i="4"/>
  <c r="G250" i="4"/>
  <c r="F250" i="4"/>
  <c r="Q250" i="4" s="1"/>
  <c r="E250" i="4"/>
  <c r="D250" i="4"/>
  <c r="C250" i="4"/>
  <c r="N250" i="4" s="1"/>
  <c r="B250" i="4"/>
  <c r="A250" i="4"/>
  <c r="L249" i="4"/>
  <c r="K249" i="4"/>
  <c r="J249" i="4"/>
  <c r="I249" i="4"/>
  <c r="H249" i="4"/>
  <c r="G249" i="4"/>
  <c r="F249" i="4"/>
  <c r="Q249" i="4" s="1"/>
  <c r="E249" i="4"/>
  <c r="D249" i="4"/>
  <c r="C249" i="4"/>
  <c r="N249" i="4" s="1"/>
  <c r="B249" i="4"/>
  <c r="A249" i="4"/>
  <c r="L248" i="4"/>
  <c r="K248" i="4"/>
  <c r="J248" i="4"/>
  <c r="I248" i="4"/>
  <c r="H248" i="4"/>
  <c r="G248" i="4"/>
  <c r="F248" i="4"/>
  <c r="Q248" i="4" s="1"/>
  <c r="E248" i="4"/>
  <c r="D248" i="4"/>
  <c r="C248" i="4"/>
  <c r="N248" i="4" s="1"/>
  <c r="B248" i="4"/>
  <c r="A248" i="4"/>
  <c r="L247" i="4"/>
  <c r="K247" i="4"/>
  <c r="J247" i="4"/>
  <c r="I247" i="4"/>
  <c r="H247" i="4"/>
  <c r="G247" i="4"/>
  <c r="F247" i="4"/>
  <c r="Q247" i="4" s="1"/>
  <c r="E247" i="4"/>
  <c r="D247" i="4"/>
  <c r="C247" i="4"/>
  <c r="N247" i="4" s="1"/>
  <c r="B247" i="4"/>
  <c r="A247" i="4"/>
  <c r="L246" i="4"/>
  <c r="K246" i="4"/>
  <c r="J246" i="4"/>
  <c r="I246" i="4"/>
  <c r="H246" i="4"/>
  <c r="G246" i="4"/>
  <c r="F246" i="4"/>
  <c r="Q246" i="4" s="1"/>
  <c r="E246" i="4"/>
  <c r="D246" i="4"/>
  <c r="C246" i="4"/>
  <c r="N246" i="4" s="1"/>
  <c r="B246" i="4"/>
  <c r="A246" i="4"/>
  <c r="L245" i="4"/>
  <c r="K245" i="4"/>
  <c r="J245" i="4"/>
  <c r="I245" i="4"/>
  <c r="H245" i="4"/>
  <c r="G245" i="4"/>
  <c r="F245" i="4"/>
  <c r="Q245" i="4" s="1"/>
  <c r="E245" i="4"/>
  <c r="D245" i="4"/>
  <c r="C245" i="4"/>
  <c r="N245" i="4" s="1"/>
  <c r="B245" i="4"/>
  <c r="A245" i="4"/>
  <c r="L244" i="4"/>
  <c r="K244" i="4"/>
  <c r="J244" i="4"/>
  <c r="I244" i="4"/>
  <c r="H244" i="4"/>
  <c r="G244" i="4"/>
  <c r="F244" i="4"/>
  <c r="Q244" i="4" s="1"/>
  <c r="E244" i="4"/>
  <c r="D244" i="4"/>
  <c r="C244" i="4"/>
  <c r="N244" i="4" s="1"/>
  <c r="B244" i="4"/>
  <c r="A244" i="4"/>
  <c r="L243" i="4"/>
  <c r="K243" i="4"/>
  <c r="J243" i="4"/>
  <c r="I243" i="4"/>
  <c r="H243" i="4"/>
  <c r="G243" i="4"/>
  <c r="F243" i="4"/>
  <c r="Q243" i="4" s="1"/>
  <c r="E243" i="4"/>
  <c r="D243" i="4"/>
  <c r="C243" i="4"/>
  <c r="N243" i="4" s="1"/>
  <c r="B243" i="4"/>
  <c r="A243" i="4"/>
  <c r="L242" i="4"/>
  <c r="K242" i="4"/>
  <c r="J242" i="4"/>
  <c r="I242" i="4"/>
  <c r="H242" i="4"/>
  <c r="G242" i="4"/>
  <c r="F242" i="4"/>
  <c r="Q242" i="4" s="1"/>
  <c r="E242" i="4"/>
  <c r="D242" i="4"/>
  <c r="C242" i="4"/>
  <c r="N242" i="4" s="1"/>
  <c r="B242" i="4"/>
  <c r="A242" i="4"/>
  <c r="L241" i="4"/>
  <c r="K241" i="4"/>
  <c r="J241" i="4"/>
  <c r="I241" i="4"/>
  <c r="H241" i="4"/>
  <c r="G241" i="4"/>
  <c r="F241" i="4"/>
  <c r="Q241" i="4" s="1"/>
  <c r="E241" i="4"/>
  <c r="D241" i="4"/>
  <c r="C241" i="4"/>
  <c r="N241" i="4" s="1"/>
  <c r="B241" i="4"/>
  <c r="A241" i="4"/>
  <c r="L240" i="4"/>
  <c r="K240" i="4"/>
  <c r="J240" i="4"/>
  <c r="I240" i="4"/>
  <c r="H240" i="4"/>
  <c r="G240" i="4"/>
  <c r="F240" i="4"/>
  <c r="Q240" i="4" s="1"/>
  <c r="E240" i="4"/>
  <c r="D240" i="4"/>
  <c r="C240" i="4"/>
  <c r="N240" i="4" s="1"/>
  <c r="B240" i="4"/>
  <c r="A240" i="4"/>
  <c r="L239" i="4"/>
  <c r="K239" i="4"/>
  <c r="J239" i="4"/>
  <c r="I239" i="4"/>
  <c r="H239" i="4"/>
  <c r="G239" i="4"/>
  <c r="F239" i="4"/>
  <c r="Q239" i="4" s="1"/>
  <c r="E239" i="4"/>
  <c r="D239" i="4"/>
  <c r="C239" i="4"/>
  <c r="N239" i="4" s="1"/>
  <c r="B239" i="4"/>
  <c r="A239" i="4"/>
  <c r="L238" i="4"/>
  <c r="K238" i="4"/>
  <c r="J238" i="4"/>
  <c r="I238" i="4"/>
  <c r="H238" i="4"/>
  <c r="G238" i="4"/>
  <c r="F238" i="4"/>
  <c r="Q238" i="4" s="1"/>
  <c r="E238" i="4"/>
  <c r="D238" i="4"/>
  <c r="C238" i="4"/>
  <c r="N238" i="4" s="1"/>
  <c r="B238" i="4"/>
  <c r="A238" i="4"/>
  <c r="L237" i="4"/>
  <c r="K237" i="4"/>
  <c r="J237" i="4"/>
  <c r="I237" i="4"/>
  <c r="H237" i="4"/>
  <c r="G237" i="4"/>
  <c r="F237" i="4"/>
  <c r="Q237" i="4" s="1"/>
  <c r="E237" i="4"/>
  <c r="D237" i="4"/>
  <c r="C237" i="4"/>
  <c r="N237" i="4" s="1"/>
  <c r="B237" i="4"/>
  <c r="A237" i="4"/>
  <c r="L236" i="4"/>
  <c r="K236" i="4"/>
  <c r="J236" i="4"/>
  <c r="I236" i="4"/>
  <c r="H236" i="4"/>
  <c r="G236" i="4"/>
  <c r="F236" i="4"/>
  <c r="Q236" i="4" s="1"/>
  <c r="E236" i="4"/>
  <c r="D236" i="4"/>
  <c r="C236" i="4"/>
  <c r="N236" i="4" s="1"/>
  <c r="B236" i="4"/>
  <c r="A236" i="4"/>
  <c r="L235" i="4"/>
  <c r="K235" i="4"/>
  <c r="J235" i="4"/>
  <c r="I235" i="4"/>
  <c r="H235" i="4"/>
  <c r="G235" i="4"/>
  <c r="F235" i="4"/>
  <c r="Q235" i="4" s="1"/>
  <c r="E235" i="4"/>
  <c r="D235" i="4"/>
  <c r="C235" i="4"/>
  <c r="N235" i="4" s="1"/>
  <c r="B235" i="4"/>
  <c r="A235" i="4"/>
  <c r="L234" i="4"/>
  <c r="K234" i="4"/>
  <c r="J234" i="4"/>
  <c r="I234" i="4"/>
  <c r="H234" i="4"/>
  <c r="G234" i="4"/>
  <c r="F234" i="4"/>
  <c r="Q234" i="4" s="1"/>
  <c r="E234" i="4"/>
  <c r="D234" i="4"/>
  <c r="C234" i="4"/>
  <c r="N234" i="4" s="1"/>
  <c r="B234" i="4"/>
  <c r="A234" i="4"/>
  <c r="L233" i="4"/>
  <c r="K233" i="4"/>
  <c r="J233" i="4"/>
  <c r="I233" i="4"/>
  <c r="H233" i="4"/>
  <c r="G233" i="4"/>
  <c r="F233" i="4"/>
  <c r="Q233" i="4" s="1"/>
  <c r="E233" i="4"/>
  <c r="D233" i="4"/>
  <c r="C233" i="4"/>
  <c r="N233" i="4" s="1"/>
  <c r="B233" i="4"/>
  <c r="A233" i="4"/>
  <c r="L232" i="4"/>
  <c r="K232" i="4"/>
  <c r="J232" i="4"/>
  <c r="I232" i="4"/>
  <c r="H232" i="4"/>
  <c r="G232" i="4"/>
  <c r="F232" i="4"/>
  <c r="Q232" i="4" s="1"/>
  <c r="E232" i="4"/>
  <c r="D232" i="4"/>
  <c r="C232" i="4"/>
  <c r="N232" i="4" s="1"/>
  <c r="B232" i="4"/>
  <c r="A232" i="4"/>
  <c r="L231" i="4"/>
  <c r="K231" i="4"/>
  <c r="J231" i="4"/>
  <c r="I231" i="4"/>
  <c r="H231" i="4"/>
  <c r="G231" i="4"/>
  <c r="F231" i="4"/>
  <c r="Q231" i="4" s="1"/>
  <c r="E231" i="4"/>
  <c r="D231" i="4"/>
  <c r="C231" i="4"/>
  <c r="N231" i="4" s="1"/>
  <c r="B231" i="4"/>
  <c r="A231" i="4"/>
  <c r="L230" i="4"/>
  <c r="K230" i="4"/>
  <c r="J230" i="4"/>
  <c r="I230" i="4"/>
  <c r="H230" i="4"/>
  <c r="G230" i="4"/>
  <c r="F230" i="4"/>
  <c r="Q230" i="4" s="1"/>
  <c r="E230" i="4"/>
  <c r="D230" i="4"/>
  <c r="C230" i="4"/>
  <c r="N230" i="4" s="1"/>
  <c r="B230" i="4"/>
  <c r="A230" i="4"/>
  <c r="L229" i="4"/>
  <c r="K229" i="4"/>
  <c r="J229" i="4"/>
  <c r="I229" i="4"/>
  <c r="H229" i="4"/>
  <c r="G229" i="4"/>
  <c r="F229" i="4"/>
  <c r="Q229" i="4" s="1"/>
  <c r="E229" i="4"/>
  <c r="D229" i="4"/>
  <c r="C229" i="4"/>
  <c r="N229" i="4" s="1"/>
  <c r="B229" i="4"/>
  <c r="A229" i="4"/>
  <c r="L228" i="4"/>
  <c r="K228" i="4"/>
  <c r="J228" i="4"/>
  <c r="I228" i="4"/>
  <c r="H228" i="4"/>
  <c r="G228" i="4"/>
  <c r="F228" i="4"/>
  <c r="Q228" i="4" s="1"/>
  <c r="E228" i="4"/>
  <c r="D228" i="4"/>
  <c r="C228" i="4"/>
  <c r="N228" i="4" s="1"/>
  <c r="B228" i="4"/>
  <c r="A228" i="4"/>
  <c r="L227" i="4"/>
  <c r="K227" i="4"/>
  <c r="J227" i="4"/>
  <c r="I227" i="4"/>
  <c r="H227" i="4"/>
  <c r="G227" i="4"/>
  <c r="F227" i="4"/>
  <c r="Q227" i="4" s="1"/>
  <c r="E227" i="4"/>
  <c r="D227" i="4"/>
  <c r="C227" i="4"/>
  <c r="N227" i="4" s="1"/>
  <c r="B227" i="4"/>
  <c r="A227" i="4"/>
  <c r="L226" i="4"/>
  <c r="K226" i="4"/>
  <c r="J226" i="4"/>
  <c r="I226" i="4"/>
  <c r="H226" i="4"/>
  <c r="G226" i="4"/>
  <c r="F226" i="4"/>
  <c r="Q226" i="4" s="1"/>
  <c r="E226" i="4"/>
  <c r="D226" i="4"/>
  <c r="C226" i="4"/>
  <c r="N226" i="4" s="1"/>
  <c r="B226" i="4"/>
  <c r="A226" i="4"/>
  <c r="L225" i="4"/>
  <c r="K225" i="4"/>
  <c r="J225" i="4"/>
  <c r="I225" i="4"/>
  <c r="H225" i="4"/>
  <c r="G225" i="4"/>
  <c r="F225" i="4"/>
  <c r="Q225" i="4" s="1"/>
  <c r="E225" i="4"/>
  <c r="D225" i="4"/>
  <c r="C225" i="4"/>
  <c r="N225" i="4" s="1"/>
  <c r="B225" i="4"/>
  <c r="A225" i="4"/>
  <c r="L224" i="4"/>
  <c r="K224" i="4"/>
  <c r="J224" i="4"/>
  <c r="I224" i="4"/>
  <c r="H224" i="4"/>
  <c r="G224" i="4"/>
  <c r="F224" i="4"/>
  <c r="Q224" i="4" s="1"/>
  <c r="E224" i="4"/>
  <c r="D224" i="4"/>
  <c r="C224" i="4"/>
  <c r="N224" i="4" s="1"/>
  <c r="B224" i="4"/>
  <c r="A224" i="4"/>
  <c r="L223" i="4"/>
  <c r="K223" i="4"/>
  <c r="J223" i="4"/>
  <c r="I223" i="4"/>
  <c r="H223" i="4"/>
  <c r="G223" i="4"/>
  <c r="F223" i="4"/>
  <c r="Q223" i="4" s="1"/>
  <c r="E223" i="4"/>
  <c r="D223" i="4"/>
  <c r="C223" i="4"/>
  <c r="N223" i="4" s="1"/>
  <c r="B223" i="4"/>
  <c r="A223" i="4"/>
  <c r="L222" i="4"/>
  <c r="K222" i="4"/>
  <c r="J222" i="4"/>
  <c r="I222" i="4"/>
  <c r="H222" i="4"/>
  <c r="G222" i="4"/>
  <c r="F222" i="4"/>
  <c r="Q222" i="4" s="1"/>
  <c r="E222" i="4"/>
  <c r="D222" i="4"/>
  <c r="C222" i="4"/>
  <c r="N222" i="4" s="1"/>
  <c r="B222" i="4"/>
  <c r="A222" i="4"/>
  <c r="L221" i="4"/>
  <c r="K221" i="4"/>
  <c r="J221" i="4"/>
  <c r="I221" i="4"/>
  <c r="H221" i="4"/>
  <c r="G221" i="4"/>
  <c r="F221" i="4"/>
  <c r="Q221" i="4" s="1"/>
  <c r="E221" i="4"/>
  <c r="D221" i="4"/>
  <c r="C221" i="4"/>
  <c r="N221" i="4" s="1"/>
  <c r="B221" i="4"/>
  <c r="A221" i="4"/>
  <c r="L220" i="4"/>
  <c r="K220" i="4"/>
  <c r="J220" i="4"/>
  <c r="I220" i="4"/>
  <c r="H220" i="4"/>
  <c r="G220" i="4"/>
  <c r="F220" i="4"/>
  <c r="Q220" i="4" s="1"/>
  <c r="E220" i="4"/>
  <c r="D220" i="4"/>
  <c r="C220" i="4"/>
  <c r="N220" i="4" s="1"/>
  <c r="B220" i="4"/>
  <c r="A220" i="4"/>
  <c r="L219" i="4"/>
  <c r="K219" i="4"/>
  <c r="J219" i="4"/>
  <c r="I219" i="4"/>
  <c r="H219" i="4"/>
  <c r="G219" i="4"/>
  <c r="F219" i="4"/>
  <c r="Q219" i="4" s="1"/>
  <c r="E219" i="4"/>
  <c r="D219" i="4"/>
  <c r="C219" i="4"/>
  <c r="N219" i="4" s="1"/>
  <c r="B219" i="4"/>
  <c r="A219" i="4"/>
  <c r="L218" i="4"/>
  <c r="K218" i="4"/>
  <c r="J218" i="4"/>
  <c r="I218" i="4"/>
  <c r="H218" i="4"/>
  <c r="G218" i="4"/>
  <c r="F218" i="4"/>
  <c r="Q218" i="4" s="1"/>
  <c r="E218" i="4"/>
  <c r="D218" i="4"/>
  <c r="C218" i="4"/>
  <c r="N218" i="4" s="1"/>
  <c r="B218" i="4"/>
  <c r="A218" i="4"/>
  <c r="L217" i="4"/>
  <c r="K217" i="4"/>
  <c r="J217" i="4"/>
  <c r="I217" i="4"/>
  <c r="H217" i="4"/>
  <c r="G217" i="4"/>
  <c r="F217" i="4"/>
  <c r="Q217" i="4" s="1"/>
  <c r="E217" i="4"/>
  <c r="D217" i="4"/>
  <c r="C217" i="4"/>
  <c r="N217" i="4" s="1"/>
  <c r="B217" i="4"/>
  <c r="A217" i="4"/>
  <c r="L216" i="4"/>
  <c r="K216" i="4"/>
  <c r="J216" i="4"/>
  <c r="I216" i="4"/>
  <c r="H216" i="4"/>
  <c r="G216" i="4"/>
  <c r="F216" i="4"/>
  <c r="Q216" i="4" s="1"/>
  <c r="E216" i="4"/>
  <c r="D216" i="4"/>
  <c r="C216" i="4"/>
  <c r="N216" i="4" s="1"/>
  <c r="B216" i="4"/>
  <c r="A216" i="4"/>
  <c r="L215" i="4"/>
  <c r="K215" i="4"/>
  <c r="J215" i="4"/>
  <c r="I215" i="4"/>
  <c r="H215" i="4"/>
  <c r="G215" i="4"/>
  <c r="F215" i="4"/>
  <c r="Q215" i="4" s="1"/>
  <c r="E215" i="4"/>
  <c r="D215" i="4"/>
  <c r="C215" i="4"/>
  <c r="N215" i="4" s="1"/>
  <c r="B215" i="4"/>
  <c r="A215" i="4"/>
  <c r="L214" i="4"/>
  <c r="K214" i="4"/>
  <c r="J214" i="4"/>
  <c r="I214" i="4"/>
  <c r="H214" i="4"/>
  <c r="G214" i="4"/>
  <c r="F214" i="4"/>
  <c r="Q214" i="4" s="1"/>
  <c r="E214" i="4"/>
  <c r="D214" i="4"/>
  <c r="C214" i="4"/>
  <c r="N214" i="4" s="1"/>
  <c r="B214" i="4"/>
  <c r="A214" i="4"/>
  <c r="L213" i="4"/>
  <c r="K213" i="4"/>
  <c r="J213" i="4"/>
  <c r="I213" i="4"/>
  <c r="H213" i="4"/>
  <c r="G213" i="4"/>
  <c r="F213" i="4"/>
  <c r="Q213" i="4" s="1"/>
  <c r="E213" i="4"/>
  <c r="D213" i="4"/>
  <c r="C213" i="4"/>
  <c r="N213" i="4" s="1"/>
  <c r="B213" i="4"/>
  <c r="A213" i="4"/>
  <c r="L212" i="4"/>
  <c r="K212" i="4"/>
  <c r="J212" i="4"/>
  <c r="I212" i="4"/>
  <c r="H212" i="4"/>
  <c r="G212" i="4"/>
  <c r="F212" i="4"/>
  <c r="Q212" i="4" s="1"/>
  <c r="E212" i="4"/>
  <c r="D212" i="4"/>
  <c r="C212" i="4"/>
  <c r="N212" i="4" s="1"/>
  <c r="B212" i="4"/>
  <c r="A212" i="4"/>
  <c r="L211" i="4"/>
  <c r="K211" i="4"/>
  <c r="J211" i="4"/>
  <c r="I211" i="4"/>
  <c r="H211" i="4"/>
  <c r="G211" i="4"/>
  <c r="F211" i="4"/>
  <c r="Q211" i="4" s="1"/>
  <c r="E211" i="4"/>
  <c r="C8" i="8" s="1"/>
  <c r="D211" i="4"/>
  <c r="C211" i="4"/>
  <c r="N211" i="4" s="1"/>
  <c r="B211" i="4"/>
  <c r="A211" i="4"/>
  <c r="Q210" i="4"/>
  <c r="P210" i="4"/>
  <c r="N210" i="4"/>
  <c r="L210" i="4"/>
  <c r="K210" i="4"/>
  <c r="J210" i="4"/>
  <c r="I210" i="4"/>
  <c r="H210" i="4"/>
  <c r="G210" i="4"/>
  <c r="F210" i="4"/>
  <c r="E210" i="4"/>
  <c r="D210" i="4"/>
  <c r="C210" i="4"/>
  <c r="B210" i="4"/>
  <c r="A210" i="4"/>
  <c r="L209" i="4"/>
  <c r="K209" i="4"/>
  <c r="J209" i="4"/>
  <c r="I209" i="4"/>
  <c r="H209" i="4"/>
  <c r="G209" i="4"/>
  <c r="F209" i="4"/>
  <c r="Q209" i="4" s="1"/>
  <c r="E209" i="4"/>
  <c r="D209" i="4"/>
  <c r="C209" i="4"/>
  <c r="N209" i="4" s="1"/>
  <c r="B209" i="4"/>
  <c r="A209" i="4"/>
  <c r="L208" i="4"/>
  <c r="K208" i="4"/>
  <c r="J208" i="4"/>
  <c r="I208" i="4"/>
  <c r="H208" i="4"/>
  <c r="G208" i="4"/>
  <c r="F208" i="4"/>
  <c r="Q208" i="4" s="1"/>
  <c r="E208" i="4"/>
  <c r="D208" i="4"/>
  <c r="C208" i="4"/>
  <c r="N208" i="4" s="1"/>
  <c r="B208" i="4"/>
  <c r="A208" i="4"/>
  <c r="L207" i="4"/>
  <c r="K207" i="4"/>
  <c r="J207" i="4"/>
  <c r="I207" i="4"/>
  <c r="H207" i="4"/>
  <c r="G207" i="4"/>
  <c r="F207" i="4"/>
  <c r="Q207" i="4" s="1"/>
  <c r="E207" i="4"/>
  <c r="D207" i="4"/>
  <c r="C207" i="4"/>
  <c r="N207" i="4" s="1"/>
  <c r="B207" i="4"/>
  <c r="A207" i="4"/>
  <c r="L206" i="4"/>
  <c r="K206" i="4"/>
  <c r="J206" i="4"/>
  <c r="I206" i="4"/>
  <c r="H206" i="4"/>
  <c r="G206" i="4"/>
  <c r="F206" i="4"/>
  <c r="Q206" i="4" s="1"/>
  <c r="E206" i="4"/>
  <c r="D206" i="4"/>
  <c r="C206" i="4"/>
  <c r="N206" i="4" s="1"/>
  <c r="B206" i="4"/>
  <c r="A206" i="4"/>
  <c r="L205" i="4"/>
  <c r="K205" i="4"/>
  <c r="J205" i="4"/>
  <c r="I205" i="4"/>
  <c r="H205" i="4"/>
  <c r="G205" i="4"/>
  <c r="F205" i="4"/>
  <c r="Q205" i="4" s="1"/>
  <c r="E205" i="4"/>
  <c r="D205" i="4"/>
  <c r="C205" i="4"/>
  <c r="N205" i="4" s="1"/>
  <c r="B205" i="4"/>
  <c r="A205" i="4"/>
  <c r="L204" i="4"/>
  <c r="K204" i="4"/>
  <c r="J204" i="4"/>
  <c r="I204" i="4"/>
  <c r="H204" i="4"/>
  <c r="G204" i="4"/>
  <c r="F204" i="4"/>
  <c r="Q204" i="4" s="1"/>
  <c r="E204" i="4"/>
  <c r="D204" i="4"/>
  <c r="C204" i="4"/>
  <c r="N204" i="4" s="1"/>
  <c r="B204" i="4"/>
  <c r="A204" i="4"/>
  <c r="L203" i="4"/>
  <c r="K203" i="4"/>
  <c r="J203" i="4"/>
  <c r="I203" i="4"/>
  <c r="H203" i="4"/>
  <c r="G203" i="4"/>
  <c r="F203" i="4"/>
  <c r="Q203" i="4" s="1"/>
  <c r="E203" i="4"/>
  <c r="D203" i="4"/>
  <c r="C203" i="4"/>
  <c r="N203" i="4" s="1"/>
  <c r="B203" i="4"/>
  <c r="A203" i="4"/>
  <c r="L202" i="4"/>
  <c r="K202" i="4"/>
  <c r="J202" i="4"/>
  <c r="I202" i="4"/>
  <c r="H202" i="4"/>
  <c r="G202" i="4"/>
  <c r="F202" i="4"/>
  <c r="Q202" i="4" s="1"/>
  <c r="E202" i="4"/>
  <c r="D202" i="4"/>
  <c r="C202" i="4"/>
  <c r="N202" i="4" s="1"/>
  <c r="B202" i="4"/>
  <c r="A202" i="4"/>
  <c r="L201" i="4"/>
  <c r="K201" i="4"/>
  <c r="J201" i="4"/>
  <c r="I201" i="4"/>
  <c r="H201" i="4"/>
  <c r="G201" i="4"/>
  <c r="F201" i="4"/>
  <c r="Q201" i="4" s="1"/>
  <c r="E201" i="4"/>
  <c r="D201" i="4"/>
  <c r="C201" i="4"/>
  <c r="N201" i="4" s="1"/>
  <c r="B201" i="4"/>
  <c r="A201" i="4"/>
  <c r="L200" i="4"/>
  <c r="K200" i="4"/>
  <c r="J200" i="4"/>
  <c r="I200" i="4"/>
  <c r="H200" i="4"/>
  <c r="G200" i="4"/>
  <c r="F200" i="4"/>
  <c r="Q200" i="4" s="1"/>
  <c r="E200" i="4"/>
  <c r="D200" i="4"/>
  <c r="C200" i="4"/>
  <c r="N200" i="4" s="1"/>
  <c r="B200" i="4"/>
  <c r="A200" i="4"/>
  <c r="L199" i="4"/>
  <c r="K199" i="4"/>
  <c r="J199" i="4"/>
  <c r="I199" i="4"/>
  <c r="H199" i="4"/>
  <c r="G199" i="4"/>
  <c r="F199" i="4"/>
  <c r="Q199" i="4" s="1"/>
  <c r="E199" i="4"/>
  <c r="D199" i="4"/>
  <c r="C199" i="4"/>
  <c r="N199" i="4" s="1"/>
  <c r="B199" i="4"/>
  <c r="A199" i="4"/>
  <c r="L198" i="4"/>
  <c r="K198" i="4"/>
  <c r="J198" i="4"/>
  <c r="I198" i="4"/>
  <c r="H198" i="4"/>
  <c r="G198" i="4"/>
  <c r="F198" i="4"/>
  <c r="Q198" i="4" s="1"/>
  <c r="E198" i="4"/>
  <c r="D198" i="4"/>
  <c r="C198" i="4"/>
  <c r="N198" i="4" s="1"/>
  <c r="B198" i="4"/>
  <c r="A198" i="4"/>
  <c r="L197" i="4"/>
  <c r="K197" i="4"/>
  <c r="J197" i="4"/>
  <c r="I197" i="4"/>
  <c r="H197" i="4"/>
  <c r="G197" i="4"/>
  <c r="F197" i="4"/>
  <c r="Q197" i="4" s="1"/>
  <c r="E197" i="4"/>
  <c r="D197" i="4"/>
  <c r="C197" i="4"/>
  <c r="N197" i="4" s="1"/>
  <c r="B197" i="4"/>
  <c r="A197" i="4"/>
  <c r="L196" i="4"/>
  <c r="K196" i="4"/>
  <c r="J196" i="4"/>
  <c r="I196" i="4"/>
  <c r="H196" i="4"/>
  <c r="G196" i="4"/>
  <c r="F196" i="4"/>
  <c r="Q196" i="4" s="1"/>
  <c r="E196" i="4"/>
  <c r="D196" i="4"/>
  <c r="C196" i="4"/>
  <c r="N196" i="4" s="1"/>
  <c r="B196" i="4"/>
  <c r="A196" i="4"/>
  <c r="L195" i="4"/>
  <c r="K195" i="4"/>
  <c r="J195" i="4"/>
  <c r="I195" i="4"/>
  <c r="H195" i="4"/>
  <c r="G195" i="4"/>
  <c r="F195" i="4"/>
  <c r="Q195" i="4" s="1"/>
  <c r="E195" i="4"/>
  <c r="D195" i="4"/>
  <c r="C195" i="4"/>
  <c r="N195" i="4" s="1"/>
  <c r="B195" i="4"/>
  <c r="A195" i="4"/>
  <c r="L194" i="4"/>
  <c r="K194" i="4"/>
  <c r="J194" i="4"/>
  <c r="I194" i="4"/>
  <c r="H194" i="4"/>
  <c r="G194" i="4"/>
  <c r="F194" i="4"/>
  <c r="Q194" i="4" s="1"/>
  <c r="E194" i="4"/>
  <c r="D194" i="4"/>
  <c r="C194" i="4"/>
  <c r="N194" i="4" s="1"/>
  <c r="B194" i="4"/>
  <c r="A194" i="4"/>
  <c r="L193" i="4"/>
  <c r="K193" i="4"/>
  <c r="J193" i="4"/>
  <c r="I193" i="4"/>
  <c r="H193" i="4"/>
  <c r="G193" i="4"/>
  <c r="F193" i="4"/>
  <c r="Q193" i="4" s="1"/>
  <c r="E193" i="4"/>
  <c r="D193" i="4"/>
  <c r="C193" i="4"/>
  <c r="N193" i="4" s="1"/>
  <c r="B193" i="4"/>
  <c r="A193" i="4"/>
  <c r="L192" i="4"/>
  <c r="K192" i="4"/>
  <c r="J192" i="4"/>
  <c r="I192" i="4"/>
  <c r="H192" i="4"/>
  <c r="G192" i="4"/>
  <c r="F192" i="4"/>
  <c r="Q192" i="4" s="1"/>
  <c r="E192" i="4"/>
  <c r="D192" i="4"/>
  <c r="C192" i="4"/>
  <c r="N192" i="4" s="1"/>
  <c r="B192" i="4"/>
  <c r="A192" i="4"/>
  <c r="L191" i="4"/>
  <c r="K191" i="4"/>
  <c r="J191" i="4"/>
  <c r="I191" i="4"/>
  <c r="H191" i="4"/>
  <c r="G191" i="4"/>
  <c r="F191" i="4"/>
  <c r="Q191" i="4" s="1"/>
  <c r="E191" i="4"/>
  <c r="D191" i="4"/>
  <c r="C191" i="4"/>
  <c r="N191" i="4" s="1"/>
  <c r="B191" i="4"/>
  <c r="A191" i="4"/>
  <c r="L190" i="4"/>
  <c r="K190" i="4"/>
  <c r="J190" i="4"/>
  <c r="I190" i="4"/>
  <c r="H190" i="4"/>
  <c r="G190" i="4"/>
  <c r="F190" i="4"/>
  <c r="Q190" i="4" s="1"/>
  <c r="E190" i="4"/>
  <c r="D190" i="4"/>
  <c r="C190" i="4"/>
  <c r="N190" i="4" s="1"/>
  <c r="B190" i="4"/>
  <c r="A190" i="4"/>
  <c r="L189" i="4"/>
  <c r="K189" i="4"/>
  <c r="J189" i="4"/>
  <c r="I189" i="4"/>
  <c r="H189" i="4"/>
  <c r="G189" i="4"/>
  <c r="F189" i="4"/>
  <c r="Q189" i="4" s="1"/>
  <c r="E189" i="4"/>
  <c r="D189" i="4"/>
  <c r="C189" i="4"/>
  <c r="N189" i="4" s="1"/>
  <c r="B189" i="4"/>
  <c r="A189" i="4"/>
  <c r="L188" i="4"/>
  <c r="K188" i="4"/>
  <c r="J188" i="4"/>
  <c r="I188" i="4"/>
  <c r="H188" i="4"/>
  <c r="G188" i="4"/>
  <c r="F188" i="4"/>
  <c r="Q188" i="4" s="1"/>
  <c r="E188" i="4"/>
  <c r="D188" i="4"/>
  <c r="C188" i="4"/>
  <c r="N188" i="4" s="1"/>
  <c r="B188" i="4"/>
  <c r="A188" i="4"/>
  <c r="L187" i="4"/>
  <c r="K187" i="4"/>
  <c r="J187" i="4"/>
  <c r="I187" i="4"/>
  <c r="H187" i="4"/>
  <c r="G187" i="4"/>
  <c r="F187" i="4"/>
  <c r="Q187" i="4" s="1"/>
  <c r="E187" i="4"/>
  <c r="D187" i="4"/>
  <c r="C187" i="4"/>
  <c r="N187" i="4" s="1"/>
  <c r="B187" i="4"/>
  <c r="A187" i="4"/>
  <c r="L186" i="4"/>
  <c r="K186" i="4"/>
  <c r="J186" i="4"/>
  <c r="I186" i="4"/>
  <c r="H186" i="4"/>
  <c r="G186" i="4"/>
  <c r="F186" i="4"/>
  <c r="Q186" i="4" s="1"/>
  <c r="E186" i="4"/>
  <c r="D186" i="4"/>
  <c r="C186" i="4"/>
  <c r="N186" i="4" s="1"/>
  <c r="B186" i="4"/>
  <c r="A186" i="4"/>
  <c r="L185" i="4"/>
  <c r="K185" i="4"/>
  <c r="J185" i="4"/>
  <c r="I185" i="4"/>
  <c r="H185" i="4"/>
  <c r="G185" i="4"/>
  <c r="F185" i="4"/>
  <c r="Q185" i="4" s="1"/>
  <c r="E185" i="4"/>
  <c r="D185" i="4"/>
  <c r="C185" i="4"/>
  <c r="N185" i="4" s="1"/>
  <c r="B185" i="4"/>
  <c r="A185" i="4"/>
  <c r="L184" i="4"/>
  <c r="K184" i="4"/>
  <c r="J184" i="4"/>
  <c r="I184" i="4"/>
  <c r="H184" i="4"/>
  <c r="G184" i="4"/>
  <c r="F184" i="4"/>
  <c r="Q184" i="4" s="1"/>
  <c r="E184" i="4"/>
  <c r="D184" i="4"/>
  <c r="C184" i="4"/>
  <c r="N184" i="4" s="1"/>
  <c r="B184" i="4"/>
  <c r="A184" i="4"/>
  <c r="L183" i="4"/>
  <c r="K183" i="4"/>
  <c r="J183" i="4"/>
  <c r="I183" i="4"/>
  <c r="H183" i="4"/>
  <c r="G183" i="4"/>
  <c r="F183" i="4"/>
  <c r="Q183" i="4" s="1"/>
  <c r="E183" i="4"/>
  <c r="D183" i="4"/>
  <c r="C183" i="4"/>
  <c r="N183" i="4" s="1"/>
  <c r="B183" i="4"/>
  <c r="A183" i="4"/>
  <c r="L182" i="4"/>
  <c r="K182" i="4"/>
  <c r="J182" i="4"/>
  <c r="I182" i="4"/>
  <c r="H182" i="4"/>
  <c r="G182" i="4"/>
  <c r="F182" i="4"/>
  <c r="Q182" i="4" s="1"/>
  <c r="E182" i="4"/>
  <c r="D182" i="4"/>
  <c r="C182" i="4"/>
  <c r="N182" i="4" s="1"/>
  <c r="B182" i="4"/>
  <c r="A182" i="4"/>
  <c r="L181" i="4"/>
  <c r="K181" i="4"/>
  <c r="J181" i="4"/>
  <c r="I181" i="4"/>
  <c r="H181" i="4"/>
  <c r="G181" i="4"/>
  <c r="F181" i="4"/>
  <c r="Q181" i="4" s="1"/>
  <c r="E181" i="4"/>
  <c r="D181" i="4"/>
  <c r="C181" i="4"/>
  <c r="N181" i="4" s="1"/>
  <c r="B181" i="4"/>
  <c r="A181" i="4"/>
  <c r="L180" i="4"/>
  <c r="K180" i="4"/>
  <c r="J180" i="4"/>
  <c r="I180" i="4"/>
  <c r="H180" i="4"/>
  <c r="G180" i="4"/>
  <c r="F180" i="4"/>
  <c r="Q180" i="4" s="1"/>
  <c r="E180" i="4"/>
  <c r="D180" i="4"/>
  <c r="C180" i="4"/>
  <c r="N180" i="4" s="1"/>
  <c r="B180" i="4"/>
  <c r="A180" i="4"/>
  <c r="L179" i="4"/>
  <c r="K179" i="4"/>
  <c r="J179" i="4"/>
  <c r="I179" i="4"/>
  <c r="H179" i="4"/>
  <c r="G179" i="4"/>
  <c r="F179" i="4"/>
  <c r="Q179" i="4" s="1"/>
  <c r="E179" i="4"/>
  <c r="D179" i="4"/>
  <c r="C179" i="4"/>
  <c r="N179" i="4" s="1"/>
  <c r="B179" i="4"/>
  <c r="A179" i="4"/>
  <c r="L178" i="4"/>
  <c r="K178" i="4"/>
  <c r="J178" i="4"/>
  <c r="I178" i="4"/>
  <c r="H178" i="4"/>
  <c r="G178" i="4"/>
  <c r="F178" i="4"/>
  <c r="Q178" i="4" s="1"/>
  <c r="E178" i="4"/>
  <c r="D178" i="4"/>
  <c r="C178" i="4"/>
  <c r="N178" i="4" s="1"/>
  <c r="B178" i="4"/>
  <c r="A178" i="4"/>
  <c r="L177" i="4"/>
  <c r="K177" i="4"/>
  <c r="J177" i="4"/>
  <c r="I177" i="4"/>
  <c r="H177" i="4"/>
  <c r="G177" i="4"/>
  <c r="F177" i="4"/>
  <c r="Q177" i="4" s="1"/>
  <c r="E177" i="4"/>
  <c r="D177" i="4"/>
  <c r="C177" i="4"/>
  <c r="N177" i="4" s="1"/>
  <c r="B177" i="4"/>
  <c r="A177" i="4"/>
  <c r="L176" i="4"/>
  <c r="K176" i="4"/>
  <c r="J176" i="4"/>
  <c r="I176" i="4"/>
  <c r="H176" i="4"/>
  <c r="G176" i="4"/>
  <c r="F176" i="4"/>
  <c r="Q176" i="4" s="1"/>
  <c r="E176" i="4"/>
  <c r="D176" i="4"/>
  <c r="C176" i="4"/>
  <c r="N176" i="4" s="1"/>
  <c r="B176" i="4"/>
  <c r="A176" i="4"/>
  <c r="L175" i="4"/>
  <c r="K175" i="4"/>
  <c r="J175" i="4"/>
  <c r="I175" i="4"/>
  <c r="H175" i="4"/>
  <c r="G175" i="4"/>
  <c r="F175" i="4"/>
  <c r="Q175" i="4" s="1"/>
  <c r="E175" i="4"/>
  <c r="D175" i="4"/>
  <c r="C175" i="4"/>
  <c r="N175" i="4" s="1"/>
  <c r="B175" i="4"/>
  <c r="A175" i="4"/>
  <c r="L174" i="4"/>
  <c r="K174" i="4"/>
  <c r="J174" i="4"/>
  <c r="I174" i="4"/>
  <c r="H174" i="4"/>
  <c r="G174" i="4"/>
  <c r="F174" i="4"/>
  <c r="Q174" i="4" s="1"/>
  <c r="E174" i="4"/>
  <c r="D174" i="4"/>
  <c r="C174" i="4"/>
  <c r="N174" i="4" s="1"/>
  <c r="B174" i="4"/>
  <c r="A174" i="4"/>
  <c r="L173" i="4"/>
  <c r="K173" i="4"/>
  <c r="J173" i="4"/>
  <c r="I173" i="4"/>
  <c r="H173" i="4"/>
  <c r="G173" i="4"/>
  <c r="F173" i="4"/>
  <c r="Q173" i="4" s="1"/>
  <c r="E173" i="4"/>
  <c r="D173" i="4"/>
  <c r="C173" i="4"/>
  <c r="N173" i="4" s="1"/>
  <c r="B173" i="4"/>
  <c r="A173" i="4"/>
  <c r="L172" i="4"/>
  <c r="K172" i="4"/>
  <c r="J172" i="4"/>
  <c r="I172" i="4"/>
  <c r="H172" i="4"/>
  <c r="G172" i="4"/>
  <c r="F172" i="4"/>
  <c r="Q172" i="4" s="1"/>
  <c r="E172" i="4"/>
  <c r="D172" i="4"/>
  <c r="C172" i="4"/>
  <c r="N172" i="4" s="1"/>
  <c r="B172" i="4"/>
  <c r="A172" i="4"/>
  <c r="L171" i="4"/>
  <c r="K171" i="4"/>
  <c r="J171" i="4"/>
  <c r="I171" i="4"/>
  <c r="H171" i="4"/>
  <c r="G171" i="4"/>
  <c r="F171" i="4"/>
  <c r="Q171" i="4" s="1"/>
  <c r="E171" i="4"/>
  <c r="D171" i="4"/>
  <c r="C171" i="4"/>
  <c r="N171" i="4" s="1"/>
  <c r="B171" i="4"/>
  <c r="A171" i="4"/>
  <c r="L170" i="4"/>
  <c r="K170" i="4"/>
  <c r="J170" i="4"/>
  <c r="I170" i="4"/>
  <c r="H170" i="4"/>
  <c r="G170" i="4"/>
  <c r="F170" i="4"/>
  <c r="Q170" i="4" s="1"/>
  <c r="E170" i="4"/>
  <c r="D170" i="4"/>
  <c r="C170" i="4"/>
  <c r="N170" i="4" s="1"/>
  <c r="B170" i="4"/>
  <c r="A170" i="4"/>
  <c r="L169" i="4"/>
  <c r="K169" i="4"/>
  <c r="J169" i="4"/>
  <c r="I169" i="4"/>
  <c r="H169" i="4"/>
  <c r="G169" i="4"/>
  <c r="F169" i="4"/>
  <c r="Q169" i="4" s="1"/>
  <c r="E169" i="4"/>
  <c r="D169" i="4"/>
  <c r="C169" i="4"/>
  <c r="N169" i="4" s="1"/>
  <c r="B169" i="4"/>
  <c r="A169" i="4"/>
  <c r="L168" i="4"/>
  <c r="K168" i="4"/>
  <c r="J168" i="4"/>
  <c r="I168" i="4"/>
  <c r="H168" i="4"/>
  <c r="G168" i="4"/>
  <c r="F168" i="4"/>
  <c r="Q168" i="4" s="1"/>
  <c r="E168" i="4"/>
  <c r="D168" i="4"/>
  <c r="C168" i="4"/>
  <c r="N168" i="4" s="1"/>
  <c r="B168" i="4"/>
  <c r="A168" i="4"/>
  <c r="L167" i="4"/>
  <c r="K167" i="4"/>
  <c r="J167" i="4"/>
  <c r="I167" i="4"/>
  <c r="H167" i="4"/>
  <c r="G167" i="4"/>
  <c r="F167" i="4"/>
  <c r="Q167" i="4" s="1"/>
  <c r="E167" i="4"/>
  <c r="D167" i="4"/>
  <c r="C167" i="4"/>
  <c r="N167" i="4" s="1"/>
  <c r="B167" i="4"/>
  <c r="A167" i="4"/>
  <c r="L166" i="4"/>
  <c r="K166" i="4"/>
  <c r="J166" i="4"/>
  <c r="I166" i="4"/>
  <c r="H166" i="4"/>
  <c r="G166" i="4"/>
  <c r="F166" i="4"/>
  <c r="Q166" i="4" s="1"/>
  <c r="E166" i="4"/>
  <c r="D166" i="4"/>
  <c r="C166" i="4"/>
  <c r="N166" i="4" s="1"/>
  <c r="B166" i="4"/>
  <c r="A166" i="4"/>
  <c r="L165" i="4"/>
  <c r="K165" i="4"/>
  <c r="J165" i="4"/>
  <c r="I165" i="4"/>
  <c r="H165" i="4"/>
  <c r="G165" i="4"/>
  <c r="F165" i="4"/>
  <c r="Q165" i="4" s="1"/>
  <c r="E165" i="4"/>
  <c r="D165" i="4"/>
  <c r="C165" i="4"/>
  <c r="N165" i="4" s="1"/>
  <c r="B165" i="4"/>
  <c r="A165" i="4"/>
  <c r="L164" i="4"/>
  <c r="K164" i="4"/>
  <c r="J164" i="4"/>
  <c r="I164" i="4"/>
  <c r="H164" i="4"/>
  <c r="G164" i="4"/>
  <c r="F164" i="4"/>
  <c r="Q164" i="4" s="1"/>
  <c r="E164" i="4"/>
  <c r="D164" i="4"/>
  <c r="C164" i="4"/>
  <c r="N164" i="4" s="1"/>
  <c r="B164" i="4"/>
  <c r="A164" i="4"/>
  <c r="L163" i="4"/>
  <c r="K163" i="4"/>
  <c r="J163" i="4"/>
  <c r="I163" i="4"/>
  <c r="H163" i="4"/>
  <c r="G163" i="4"/>
  <c r="F163" i="4"/>
  <c r="Q163" i="4" s="1"/>
  <c r="E163" i="4"/>
  <c r="D163" i="4"/>
  <c r="C163" i="4"/>
  <c r="N163" i="4" s="1"/>
  <c r="B163" i="4"/>
  <c r="A163" i="4"/>
  <c r="L162" i="4"/>
  <c r="K162" i="4"/>
  <c r="J162" i="4"/>
  <c r="I162" i="4"/>
  <c r="H162" i="4"/>
  <c r="G162" i="4"/>
  <c r="F162" i="4"/>
  <c r="Q162" i="4" s="1"/>
  <c r="E162" i="4"/>
  <c r="D162" i="4"/>
  <c r="C162" i="4"/>
  <c r="N162" i="4" s="1"/>
  <c r="B162" i="4"/>
  <c r="A162" i="4"/>
  <c r="L161" i="4"/>
  <c r="K161" i="4"/>
  <c r="J161" i="4"/>
  <c r="I161" i="4"/>
  <c r="H161" i="4"/>
  <c r="G161" i="4"/>
  <c r="F161" i="4"/>
  <c r="Q161" i="4" s="1"/>
  <c r="E161" i="4"/>
  <c r="D161" i="4"/>
  <c r="C161" i="4"/>
  <c r="N161" i="4" s="1"/>
  <c r="B161" i="4"/>
  <c r="A161" i="4"/>
  <c r="L160" i="4"/>
  <c r="K160" i="4"/>
  <c r="J160" i="4"/>
  <c r="I160" i="4"/>
  <c r="H160" i="4"/>
  <c r="G160" i="4"/>
  <c r="F160" i="4"/>
  <c r="Q160" i="4" s="1"/>
  <c r="E160" i="4"/>
  <c r="D160" i="4"/>
  <c r="C160" i="4"/>
  <c r="N160" i="4" s="1"/>
  <c r="B160" i="4"/>
  <c r="A160" i="4"/>
  <c r="L159" i="4"/>
  <c r="K159" i="4"/>
  <c r="J159" i="4"/>
  <c r="I159" i="4"/>
  <c r="H159" i="4"/>
  <c r="G159" i="4"/>
  <c r="F159" i="4"/>
  <c r="Q159" i="4" s="1"/>
  <c r="E159" i="4"/>
  <c r="D159" i="4"/>
  <c r="C159" i="4"/>
  <c r="N159" i="4" s="1"/>
  <c r="B159" i="4"/>
  <c r="A159" i="4"/>
  <c r="L158" i="4"/>
  <c r="K158" i="4"/>
  <c r="J158" i="4"/>
  <c r="I158" i="4"/>
  <c r="H158" i="4"/>
  <c r="G158" i="4"/>
  <c r="F158" i="4"/>
  <c r="Q158" i="4" s="1"/>
  <c r="E158" i="4"/>
  <c r="D158" i="4"/>
  <c r="C158" i="4"/>
  <c r="N158" i="4" s="1"/>
  <c r="B158" i="4"/>
  <c r="A158" i="4"/>
  <c r="L157" i="4"/>
  <c r="K157" i="4"/>
  <c r="J157" i="4"/>
  <c r="I157" i="4"/>
  <c r="H157" i="4"/>
  <c r="G157" i="4"/>
  <c r="F157" i="4"/>
  <c r="Q157" i="4" s="1"/>
  <c r="E157" i="4"/>
  <c r="D157" i="4"/>
  <c r="C157" i="4"/>
  <c r="N157" i="4" s="1"/>
  <c r="B157" i="4"/>
  <c r="A157" i="4"/>
  <c r="L156" i="4"/>
  <c r="K156" i="4"/>
  <c r="J156" i="4"/>
  <c r="I156" i="4"/>
  <c r="H156" i="4"/>
  <c r="G156" i="4"/>
  <c r="F156" i="4"/>
  <c r="Q156" i="4" s="1"/>
  <c r="E156" i="4"/>
  <c r="D156" i="4"/>
  <c r="C156" i="4"/>
  <c r="N156" i="4" s="1"/>
  <c r="B156" i="4"/>
  <c r="A156" i="4"/>
  <c r="L155" i="4"/>
  <c r="K155" i="4"/>
  <c r="J155" i="4"/>
  <c r="I155" i="4"/>
  <c r="H155" i="4"/>
  <c r="G155" i="4"/>
  <c r="F155" i="4"/>
  <c r="Q155" i="4" s="1"/>
  <c r="E155" i="4"/>
  <c r="D155" i="4"/>
  <c r="C155" i="4"/>
  <c r="N155" i="4" s="1"/>
  <c r="B155" i="4"/>
  <c r="A155" i="4"/>
  <c r="L154" i="4"/>
  <c r="K154" i="4"/>
  <c r="J154" i="4"/>
  <c r="I154" i="4"/>
  <c r="H154" i="4"/>
  <c r="G154" i="4"/>
  <c r="F154" i="4"/>
  <c r="Q154" i="4" s="1"/>
  <c r="E154" i="4"/>
  <c r="D154" i="4"/>
  <c r="C154" i="4"/>
  <c r="N154" i="4" s="1"/>
  <c r="B154" i="4"/>
  <c r="A154" i="4"/>
  <c r="L153" i="4"/>
  <c r="K153" i="4"/>
  <c r="J153" i="4"/>
  <c r="I153" i="4"/>
  <c r="H153" i="4"/>
  <c r="G153" i="4"/>
  <c r="F153" i="4"/>
  <c r="Q153" i="4" s="1"/>
  <c r="E153" i="4"/>
  <c r="D153" i="4"/>
  <c r="C153" i="4"/>
  <c r="N153" i="4" s="1"/>
  <c r="B153" i="4"/>
  <c r="A153" i="4"/>
  <c r="L152" i="4"/>
  <c r="K152" i="4"/>
  <c r="J152" i="4"/>
  <c r="I152" i="4"/>
  <c r="H152" i="4"/>
  <c r="G152" i="4"/>
  <c r="F152" i="4"/>
  <c r="Q152" i="4" s="1"/>
  <c r="E152" i="4"/>
  <c r="D152" i="4"/>
  <c r="C152" i="4"/>
  <c r="N152" i="4" s="1"/>
  <c r="B152" i="4"/>
  <c r="A152" i="4"/>
  <c r="L151" i="4"/>
  <c r="K151" i="4"/>
  <c r="J151" i="4"/>
  <c r="I151" i="4"/>
  <c r="H151" i="4"/>
  <c r="G151" i="4"/>
  <c r="F151" i="4"/>
  <c r="Q151" i="4" s="1"/>
  <c r="E151" i="4"/>
  <c r="D151" i="4"/>
  <c r="C151" i="4"/>
  <c r="N151" i="4" s="1"/>
  <c r="B151" i="4"/>
  <c r="A151" i="4"/>
  <c r="L150" i="4"/>
  <c r="K150" i="4"/>
  <c r="J150" i="4"/>
  <c r="I150" i="4"/>
  <c r="H150" i="4"/>
  <c r="G150" i="4"/>
  <c r="F150" i="4"/>
  <c r="Q150" i="4" s="1"/>
  <c r="E150" i="4"/>
  <c r="D150" i="4"/>
  <c r="C150" i="4"/>
  <c r="N150" i="4" s="1"/>
  <c r="B150" i="4"/>
  <c r="A150" i="4"/>
  <c r="L149" i="4"/>
  <c r="K149" i="4"/>
  <c r="J149" i="4"/>
  <c r="I149" i="4"/>
  <c r="H149" i="4"/>
  <c r="G149" i="4"/>
  <c r="F149" i="4"/>
  <c r="Q149" i="4" s="1"/>
  <c r="E149" i="4"/>
  <c r="D149" i="4"/>
  <c r="C149" i="4"/>
  <c r="N149" i="4" s="1"/>
  <c r="B149" i="4"/>
  <c r="A149" i="4"/>
  <c r="L148" i="4"/>
  <c r="K148" i="4"/>
  <c r="J148" i="4"/>
  <c r="I148" i="4"/>
  <c r="H148" i="4"/>
  <c r="G148" i="4"/>
  <c r="F148" i="4"/>
  <c r="Q148" i="4" s="1"/>
  <c r="E148" i="4"/>
  <c r="D148" i="4"/>
  <c r="C148" i="4"/>
  <c r="N148" i="4" s="1"/>
  <c r="B148" i="4"/>
  <c r="A148" i="4"/>
  <c r="L147" i="4"/>
  <c r="K147" i="4"/>
  <c r="J147" i="4"/>
  <c r="I147" i="4"/>
  <c r="H147" i="4"/>
  <c r="G147" i="4"/>
  <c r="F147" i="4"/>
  <c r="Q147" i="4" s="1"/>
  <c r="E147" i="4"/>
  <c r="D147" i="4"/>
  <c r="C147" i="4"/>
  <c r="N147" i="4" s="1"/>
  <c r="B147" i="4"/>
  <c r="A147" i="4"/>
  <c r="L146" i="4"/>
  <c r="K146" i="4"/>
  <c r="J146" i="4"/>
  <c r="I146" i="4"/>
  <c r="H146" i="4"/>
  <c r="G146" i="4"/>
  <c r="F146" i="4"/>
  <c r="Q146" i="4" s="1"/>
  <c r="E146" i="4"/>
  <c r="D146" i="4"/>
  <c r="C146" i="4"/>
  <c r="N146" i="4" s="1"/>
  <c r="B146" i="4"/>
  <c r="A146" i="4"/>
  <c r="L145" i="4"/>
  <c r="K145" i="4"/>
  <c r="J145" i="4"/>
  <c r="I145" i="4"/>
  <c r="H145" i="4"/>
  <c r="G145" i="4"/>
  <c r="F145" i="4"/>
  <c r="Q145" i="4" s="1"/>
  <c r="E145" i="4"/>
  <c r="D145" i="4"/>
  <c r="C145" i="4"/>
  <c r="N145" i="4" s="1"/>
  <c r="B145" i="4"/>
  <c r="A145" i="4"/>
  <c r="L144" i="4"/>
  <c r="K144" i="4"/>
  <c r="J144" i="4"/>
  <c r="I144" i="4"/>
  <c r="H144" i="4"/>
  <c r="G144" i="4"/>
  <c r="F144" i="4"/>
  <c r="Q144" i="4" s="1"/>
  <c r="E144" i="4"/>
  <c r="D144" i="4"/>
  <c r="C144" i="4"/>
  <c r="N144" i="4" s="1"/>
  <c r="B144" i="4"/>
  <c r="A144" i="4"/>
  <c r="L143" i="4"/>
  <c r="K143" i="4"/>
  <c r="J143" i="4"/>
  <c r="I143" i="4"/>
  <c r="H143" i="4"/>
  <c r="G143" i="4"/>
  <c r="F143" i="4"/>
  <c r="Q143" i="4" s="1"/>
  <c r="E143" i="4"/>
  <c r="D143" i="4"/>
  <c r="C143" i="4"/>
  <c r="N143" i="4" s="1"/>
  <c r="B143" i="4"/>
  <c r="A143" i="4"/>
  <c r="L142" i="4"/>
  <c r="K142" i="4"/>
  <c r="J142" i="4"/>
  <c r="I142" i="4"/>
  <c r="H142" i="4"/>
  <c r="G142" i="4"/>
  <c r="F142" i="4"/>
  <c r="Q142" i="4" s="1"/>
  <c r="E142" i="4"/>
  <c r="D142" i="4"/>
  <c r="C142" i="4"/>
  <c r="N142" i="4" s="1"/>
  <c r="B142" i="4"/>
  <c r="A142" i="4"/>
  <c r="L141" i="4"/>
  <c r="K141" i="4"/>
  <c r="J141" i="4"/>
  <c r="I141" i="4"/>
  <c r="H141" i="4"/>
  <c r="G141" i="4"/>
  <c r="F141" i="4"/>
  <c r="Q141" i="4" s="1"/>
  <c r="E141" i="4"/>
  <c r="D141" i="4"/>
  <c r="C141" i="4"/>
  <c r="N141" i="4" s="1"/>
  <c r="B141" i="4"/>
  <c r="A141" i="4"/>
  <c r="L140" i="4"/>
  <c r="K140" i="4"/>
  <c r="J140" i="4"/>
  <c r="I140" i="4"/>
  <c r="H140" i="4"/>
  <c r="G140" i="4"/>
  <c r="F140" i="4"/>
  <c r="Q140" i="4" s="1"/>
  <c r="E140" i="4"/>
  <c r="D140" i="4"/>
  <c r="C140" i="4"/>
  <c r="N140" i="4" s="1"/>
  <c r="B140" i="4"/>
  <c r="A140" i="4"/>
  <c r="L139" i="4"/>
  <c r="K139" i="4"/>
  <c r="J139" i="4"/>
  <c r="I139" i="4"/>
  <c r="H139" i="4"/>
  <c r="G139" i="4"/>
  <c r="F139" i="4"/>
  <c r="Q139" i="4" s="1"/>
  <c r="E139" i="4"/>
  <c r="D139" i="4"/>
  <c r="C139" i="4"/>
  <c r="N139" i="4" s="1"/>
  <c r="B139" i="4"/>
  <c r="A139" i="4"/>
  <c r="L138" i="4"/>
  <c r="K138" i="4"/>
  <c r="J138" i="4"/>
  <c r="I138" i="4"/>
  <c r="H138" i="4"/>
  <c r="G138" i="4"/>
  <c r="F138" i="4"/>
  <c r="Q138" i="4" s="1"/>
  <c r="E138" i="4"/>
  <c r="D138" i="4"/>
  <c r="C138" i="4"/>
  <c r="N138" i="4" s="1"/>
  <c r="B138" i="4"/>
  <c r="A138" i="4"/>
  <c r="L137" i="4"/>
  <c r="K137" i="4"/>
  <c r="J137" i="4"/>
  <c r="I137" i="4"/>
  <c r="H137" i="4"/>
  <c r="G137" i="4"/>
  <c r="F137" i="4"/>
  <c r="Q137" i="4" s="1"/>
  <c r="E137" i="4"/>
  <c r="D137" i="4"/>
  <c r="C137" i="4"/>
  <c r="N137" i="4" s="1"/>
  <c r="B137" i="4"/>
  <c r="A137" i="4"/>
  <c r="L136" i="4"/>
  <c r="K136" i="4"/>
  <c r="J136" i="4"/>
  <c r="I136" i="4"/>
  <c r="H136" i="4"/>
  <c r="G136" i="4"/>
  <c r="F136" i="4"/>
  <c r="Q136" i="4" s="1"/>
  <c r="E136" i="4"/>
  <c r="D136" i="4"/>
  <c r="C136" i="4"/>
  <c r="N136" i="4" s="1"/>
  <c r="B136" i="4"/>
  <c r="A136" i="4"/>
  <c r="L135" i="4"/>
  <c r="K135" i="4"/>
  <c r="J135" i="4"/>
  <c r="I135" i="4"/>
  <c r="H135" i="4"/>
  <c r="G135" i="4"/>
  <c r="F135" i="4"/>
  <c r="Q135" i="4" s="1"/>
  <c r="E135" i="4"/>
  <c r="D135" i="4"/>
  <c r="C135" i="4"/>
  <c r="N135" i="4" s="1"/>
  <c r="B135" i="4"/>
  <c r="A135" i="4"/>
  <c r="L134" i="4"/>
  <c r="K134" i="4"/>
  <c r="J134" i="4"/>
  <c r="I134" i="4"/>
  <c r="H134" i="4"/>
  <c r="G134" i="4"/>
  <c r="F134" i="4"/>
  <c r="Q134" i="4" s="1"/>
  <c r="E134" i="4"/>
  <c r="D134" i="4"/>
  <c r="C134" i="4"/>
  <c r="N134" i="4" s="1"/>
  <c r="B134" i="4"/>
  <c r="A134" i="4"/>
  <c r="L133" i="4"/>
  <c r="K133" i="4"/>
  <c r="J133" i="4"/>
  <c r="I133" i="4"/>
  <c r="H133" i="4"/>
  <c r="G133" i="4"/>
  <c r="F133" i="4"/>
  <c r="Q133" i="4" s="1"/>
  <c r="E133" i="4"/>
  <c r="D133" i="4"/>
  <c r="C133" i="4"/>
  <c r="N133" i="4" s="1"/>
  <c r="B133" i="4"/>
  <c r="A133" i="4"/>
  <c r="L132" i="4"/>
  <c r="K132" i="4"/>
  <c r="J132" i="4"/>
  <c r="I132" i="4"/>
  <c r="H132" i="4"/>
  <c r="G132" i="4"/>
  <c r="F132" i="4"/>
  <c r="Q132" i="4" s="1"/>
  <c r="E132" i="4"/>
  <c r="D132" i="4"/>
  <c r="C132" i="4"/>
  <c r="N132" i="4" s="1"/>
  <c r="B132" i="4"/>
  <c r="A132" i="4"/>
  <c r="L131" i="4"/>
  <c r="K131" i="4"/>
  <c r="J131" i="4"/>
  <c r="I131" i="4"/>
  <c r="H131" i="4"/>
  <c r="G131" i="4"/>
  <c r="F131" i="4"/>
  <c r="Q131" i="4" s="1"/>
  <c r="E131" i="4"/>
  <c r="D131" i="4"/>
  <c r="C131" i="4"/>
  <c r="N131" i="4" s="1"/>
  <c r="B131" i="4"/>
  <c r="A131" i="4"/>
  <c r="L130" i="4"/>
  <c r="K130" i="4"/>
  <c r="J130" i="4"/>
  <c r="I130" i="4"/>
  <c r="H130" i="4"/>
  <c r="G130" i="4"/>
  <c r="F130" i="4"/>
  <c r="Q130" i="4" s="1"/>
  <c r="E130" i="4"/>
  <c r="D130" i="4"/>
  <c r="C130" i="4"/>
  <c r="N130" i="4" s="1"/>
  <c r="B130" i="4"/>
  <c r="A130" i="4"/>
  <c r="L129" i="4"/>
  <c r="K129" i="4"/>
  <c r="J129" i="4"/>
  <c r="I129" i="4"/>
  <c r="H129" i="4"/>
  <c r="G129" i="4"/>
  <c r="F129" i="4"/>
  <c r="Q129" i="4" s="1"/>
  <c r="E129" i="4"/>
  <c r="D129" i="4"/>
  <c r="C129" i="4"/>
  <c r="N129" i="4" s="1"/>
  <c r="B129" i="4"/>
  <c r="A129" i="4"/>
  <c r="L128" i="4"/>
  <c r="K128" i="4"/>
  <c r="J128" i="4"/>
  <c r="I128" i="4"/>
  <c r="H128" i="4"/>
  <c r="G128" i="4"/>
  <c r="F128" i="4"/>
  <c r="Q128" i="4" s="1"/>
  <c r="E128" i="4"/>
  <c r="D128" i="4"/>
  <c r="C128" i="4"/>
  <c r="N128" i="4" s="1"/>
  <c r="B128" i="4"/>
  <c r="A128" i="4"/>
  <c r="L127" i="4"/>
  <c r="K127" i="4"/>
  <c r="J127" i="4"/>
  <c r="I127" i="4"/>
  <c r="H127" i="4"/>
  <c r="G127" i="4"/>
  <c r="F127" i="4"/>
  <c r="Q127" i="4" s="1"/>
  <c r="E127" i="4"/>
  <c r="D127" i="4"/>
  <c r="C127" i="4"/>
  <c r="N127" i="4" s="1"/>
  <c r="B127" i="4"/>
  <c r="A127" i="4"/>
  <c r="L126" i="4"/>
  <c r="K126" i="4"/>
  <c r="J126" i="4"/>
  <c r="I126" i="4"/>
  <c r="H126" i="4"/>
  <c r="G126" i="4"/>
  <c r="F126" i="4"/>
  <c r="Q126" i="4" s="1"/>
  <c r="E126" i="4"/>
  <c r="D126" i="4"/>
  <c r="C126" i="4"/>
  <c r="N126" i="4" s="1"/>
  <c r="B126" i="4"/>
  <c r="A126" i="4"/>
  <c r="L125" i="4"/>
  <c r="K125" i="4"/>
  <c r="J125" i="4"/>
  <c r="I125" i="4"/>
  <c r="H125" i="4"/>
  <c r="G125" i="4"/>
  <c r="F125" i="4"/>
  <c r="Q125" i="4" s="1"/>
  <c r="E125" i="4"/>
  <c r="D125" i="4"/>
  <c r="C125" i="4"/>
  <c r="N125" i="4" s="1"/>
  <c r="B125" i="4"/>
  <c r="A125" i="4"/>
  <c r="L124" i="4"/>
  <c r="K124" i="4"/>
  <c r="J124" i="4"/>
  <c r="I124" i="4"/>
  <c r="H124" i="4"/>
  <c r="G124" i="4"/>
  <c r="F124" i="4"/>
  <c r="Q124" i="4" s="1"/>
  <c r="E124" i="4"/>
  <c r="D124" i="4"/>
  <c r="C124" i="4"/>
  <c r="N124" i="4" s="1"/>
  <c r="B124" i="4"/>
  <c r="A124" i="4"/>
  <c r="L123" i="4"/>
  <c r="K123" i="4"/>
  <c r="J123" i="4"/>
  <c r="I123" i="4"/>
  <c r="H123" i="4"/>
  <c r="G123" i="4"/>
  <c r="F123" i="4"/>
  <c r="Q123" i="4" s="1"/>
  <c r="E123" i="4"/>
  <c r="D123" i="4"/>
  <c r="C123" i="4"/>
  <c r="N123" i="4" s="1"/>
  <c r="B123" i="4"/>
  <c r="A123" i="4"/>
  <c r="L122" i="4"/>
  <c r="K122" i="4"/>
  <c r="J122" i="4"/>
  <c r="I122" i="4"/>
  <c r="H122" i="4"/>
  <c r="G122" i="4"/>
  <c r="F122" i="4"/>
  <c r="Q122" i="4" s="1"/>
  <c r="E122" i="4"/>
  <c r="D122" i="4"/>
  <c r="C122" i="4"/>
  <c r="N122" i="4" s="1"/>
  <c r="B122" i="4"/>
  <c r="A122" i="4"/>
  <c r="L121" i="4"/>
  <c r="K121" i="4"/>
  <c r="J121" i="4"/>
  <c r="I121" i="4"/>
  <c r="H121" i="4"/>
  <c r="G121" i="4"/>
  <c r="F121" i="4"/>
  <c r="Q121" i="4" s="1"/>
  <c r="E121" i="4"/>
  <c r="D121" i="4"/>
  <c r="C121" i="4"/>
  <c r="N121" i="4" s="1"/>
  <c r="B121" i="4"/>
  <c r="A121" i="4"/>
  <c r="L120" i="4"/>
  <c r="K120" i="4"/>
  <c r="J120" i="4"/>
  <c r="I120" i="4"/>
  <c r="H120" i="4"/>
  <c r="G120" i="4"/>
  <c r="F120" i="4"/>
  <c r="Q120" i="4" s="1"/>
  <c r="E120" i="4"/>
  <c r="D120" i="4"/>
  <c r="C120" i="4"/>
  <c r="N120" i="4" s="1"/>
  <c r="B120" i="4"/>
  <c r="A120" i="4"/>
  <c r="L119" i="4"/>
  <c r="K119" i="4"/>
  <c r="J119" i="4"/>
  <c r="I119" i="4"/>
  <c r="H119" i="4"/>
  <c r="G119" i="4"/>
  <c r="F119" i="4"/>
  <c r="Q119" i="4" s="1"/>
  <c r="E119" i="4"/>
  <c r="D119" i="4"/>
  <c r="C119" i="4"/>
  <c r="N119" i="4" s="1"/>
  <c r="B119" i="4"/>
  <c r="A119" i="4"/>
  <c r="L118" i="4"/>
  <c r="K118" i="4"/>
  <c r="J118" i="4"/>
  <c r="I118" i="4"/>
  <c r="H118" i="4"/>
  <c r="G118" i="4"/>
  <c r="F118" i="4"/>
  <c r="Q118" i="4" s="1"/>
  <c r="E118" i="4"/>
  <c r="D118" i="4"/>
  <c r="C118" i="4"/>
  <c r="N118" i="4" s="1"/>
  <c r="B118" i="4"/>
  <c r="A118" i="4"/>
  <c r="L117" i="4"/>
  <c r="K117" i="4"/>
  <c r="J117" i="4"/>
  <c r="I117" i="4"/>
  <c r="H117" i="4"/>
  <c r="G117" i="4"/>
  <c r="F117" i="4"/>
  <c r="Q117" i="4" s="1"/>
  <c r="E117" i="4"/>
  <c r="D117" i="4"/>
  <c r="C117" i="4"/>
  <c r="N117" i="4" s="1"/>
  <c r="B117" i="4"/>
  <c r="A117" i="4"/>
  <c r="L116" i="4"/>
  <c r="K116" i="4"/>
  <c r="J116" i="4"/>
  <c r="I116" i="4"/>
  <c r="H116" i="4"/>
  <c r="G116" i="4"/>
  <c r="F116" i="4"/>
  <c r="Q116" i="4" s="1"/>
  <c r="E116" i="4"/>
  <c r="D116" i="4"/>
  <c r="C116" i="4"/>
  <c r="N116" i="4" s="1"/>
  <c r="B116" i="4"/>
  <c r="A116" i="4"/>
  <c r="L115" i="4"/>
  <c r="K115" i="4"/>
  <c r="J115" i="4"/>
  <c r="I115" i="4"/>
  <c r="H115" i="4"/>
  <c r="G115" i="4"/>
  <c r="F115" i="4"/>
  <c r="Q115" i="4" s="1"/>
  <c r="E115" i="4"/>
  <c r="D115" i="4"/>
  <c r="C115" i="4"/>
  <c r="N115" i="4" s="1"/>
  <c r="B115" i="4"/>
  <c r="A115" i="4"/>
  <c r="L114" i="4"/>
  <c r="K114" i="4"/>
  <c r="J114" i="4"/>
  <c r="I114" i="4"/>
  <c r="H114" i="4"/>
  <c r="G114" i="4"/>
  <c r="F114" i="4"/>
  <c r="Q114" i="4" s="1"/>
  <c r="E114" i="4"/>
  <c r="D114" i="4"/>
  <c r="C114" i="4"/>
  <c r="N114" i="4" s="1"/>
  <c r="B114" i="4"/>
  <c r="A114" i="4"/>
  <c r="L113" i="4"/>
  <c r="K113" i="4"/>
  <c r="J113" i="4"/>
  <c r="I113" i="4"/>
  <c r="H113" i="4"/>
  <c r="G113" i="4"/>
  <c r="F113" i="4"/>
  <c r="Q113" i="4" s="1"/>
  <c r="E113" i="4"/>
  <c r="D113" i="4"/>
  <c r="C113" i="4"/>
  <c r="N113" i="4" s="1"/>
  <c r="B113" i="4"/>
  <c r="A113" i="4"/>
  <c r="L112" i="4"/>
  <c r="K112" i="4"/>
  <c r="J112" i="4"/>
  <c r="I112" i="4"/>
  <c r="H112" i="4"/>
  <c r="G112" i="4"/>
  <c r="F112" i="4"/>
  <c r="Q112" i="4" s="1"/>
  <c r="E112" i="4"/>
  <c r="D112" i="4"/>
  <c r="C112" i="4"/>
  <c r="N112" i="4" s="1"/>
  <c r="B112" i="4"/>
  <c r="A112" i="4"/>
  <c r="L111" i="4"/>
  <c r="K111" i="4"/>
  <c r="J111" i="4"/>
  <c r="I111" i="4"/>
  <c r="H111" i="4"/>
  <c r="G111" i="4"/>
  <c r="F111" i="4"/>
  <c r="Q111" i="4" s="1"/>
  <c r="E111" i="4"/>
  <c r="D111" i="4"/>
  <c r="C111" i="4"/>
  <c r="N111" i="4" s="1"/>
  <c r="B111" i="4"/>
  <c r="A111" i="4"/>
  <c r="L110" i="4"/>
  <c r="K110" i="4"/>
  <c r="J110" i="4"/>
  <c r="I110" i="4"/>
  <c r="H110" i="4"/>
  <c r="G110" i="4"/>
  <c r="F110" i="4"/>
  <c r="Q110" i="4" s="1"/>
  <c r="E110" i="4"/>
  <c r="D110" i="4"/>
  <c r="C110" i="4"/>
  <c r="N110" i="4" s="1"/>
  <c r="B110" i="4"/>
  <c r="A110" i="4"/>
  <c r="L109" i="4"/>
  <c r="K109" i="4"/>
  <c r="J109" i="4"/>
  <c r="I109" i="4"/>
  <c r="H109" i="4"/>
  <c r="G109" i="4"/>
  <c r="F109" i="4"/>
  <c r="Q109" i="4" s="1"/>
  <c r="E109" i="4"/>
  <c r="D109" i="4"/>
  <c r="C109" i="4"/>
  <c r="N109" i="4" s="1"/>
  <c r="B109" i="4"/>
  <c r="A109" i="4"/>
  <c r="L108" i="4"/>
  <c r="K108" i="4"/>
  <c r="J108" i="4"/>
  <c r="I108" i="4"/>
  <c r="H108" i="4"/>
  <c r="G108" i="4"/>
  <c r="F108" i="4"/>
  <c r="Q108" i="4" s="1"/>
  <c r="E108" i="4"/>
  <c r="D108" i="4"/>
  <c r="C108" i="4"/>
  <c r="N108" i="4" s="1"/>
  <c r="B108" i="4"/>
  <c r="A108" i="4"/>
  <c r="L107" i="4"/>
  <c r="K107" i="4"/>
  <c r="J107" i="4"/>
  <c r="I107" i="4"/>
  <c r="H107" i="4"/>
  <c r="G107" i="4"/>
  <c r="F107" i="4"/>
  <c r="Q107" i="4" s="1"/>
  <c r="E107" i="4"/>
  <c r="D107" i="4"/>
  <c r="C107" i="4"/>
  <c r="N107" i="4" s="1"/>
  <c r="B107" i="4"/>
  <c r="A107" i="4"/>
  <c r="L106" i="4"/>
  <c r="K106" i="4"/>
  <c r="J106" i="4"/>
  <c r="I106" i="4"/>
  <c r="H106" i="4"/>
  <c r="G106" i="4"/>
  <c r="F106" i="4"/>
  <c r="Q106" i="4" s="1"/>
  <c r="E106" i="4"/>
  <c r="D106" i="4"/>
  <c r="C106" i="4"/>
  <c r="N106" i="4" s="1"/>
  <c r="B106" i="4"/>
  <c r="A106" i="4"/>
  <c r="L105" i="4"/>
  <c r="K105" i="4"/>
  <c r="J105" i="4"/>
  <c r="I105" i="4"/>
  <c r="H105" i="4"/>
  <c r="G105" i="4"/>
  <c r="F105" i="4"/>
  <c r="Q105" i="4" s="1"/>
  <c r="E105" i="4"/>
  <c r="D105" i="4"/>
  <c r="C105" i="4"/>
  <c r="N105" i="4" s="1"/>
  <c r="B105" i="4"/>
  <c r="A105" i="4"/>
  <c r="L104" i="4"/>
  <c r="K104" i="4"/>
  <c r="J104" i="4"/>
  <c r="I104" i="4"/>
  <c r="H104" i="4"/>
  <c r="G104" i="4"/>
  <c r="F104" i="4"/>
  <c r="Q104" i="4" s="1"/>
  <c r="E104" i="4"/>
  <c r="D104" i="4"/>
  <c r="C104" i="4"/>
  <c r="N104" i="4" s="1"/>
  <c r="B104" i="4"/>
  <c r="A104" i="4"/>
  <c r="L103" i="4"/>
  <c r="K103" i="4"/>
  <c r="J103" i="4"/>
  <c r="I103" i="4"/>
  <c r="H103" i="4"/>
  <c r="G103" i="4"/>
  <c r="F103" i="4"/>
  <c r="Q103" i="4" s="1"/>
  <c r="E103" i="4"/>
  <c r="D103" i="4"/>
  <c r="C103" i="4"/>
  <c r="N103" i="4" s="1"/>
  <c r="B103" i="4"/>
  <c r="A103" i="4"/>
  <c r="L102" i="4"/>
  <c r="K102" i="4"/>
  <c r="J102" i="4"/>
  <c r="I102" i="4"/>
  <c r="H102" i="4"/>
  <c r="G102" i="4"/>
  <c r="F102" i="4"/>
  <c r="Q102" i="4" s="1"/>
  <c r="E102" i="4"/>
  <c r="D102" i="4"/>
  <c r="C102" i="4"/>
  <c r="N102" i="4" s="1"/>
  <c r="B102" i="4"/>
  <c r="A102" i="4"/>
  <c r="L101" i="4"/>
  <c r="K101" i="4"/>
  <c r="J101" i="4"/>
  <c r="I101" i="4"/>
  <c r="H101" i="4"/>
  <c r="G101" i="4"/>
  <c r="F101" i="4"/>
  <c r="Q101" i="4" s="1"/>
  <c r="E101" i="4"/>
  <c r="D101" i="4"/>
  <c r="C101" i="4"/>
  <c r="N101" i="4" s="1"/>
  <c r="B101" i="4"/>
  <c r="A101" i="4"/>
  <c r="L100" i="4"/>
  <c r="K100" i="4"/>
  <c r="J100" i="4"/>
  <c r="I100" i="4"/>
  <c r="H100" i="4"/>
  <c r="G100" i="4"/>
  <c r="F100" i="4"/>
  <c r="Q100" i="4" s="1"/>
  <c r="E100" i="4"/>
  <c r="D100" i="4"/>
  <c r="C100" i="4"/>
  <c r="N100" i="4" s="1"/>
  <c r="B100" i="4"/>
  <c r="A100" i="4"/>
  <c r="L99" i="4"/>
  <c r="K99" i="4"/>
  <c r="J99" i="4"/>
  <c r="I99" i="4"/>
  <c r="H99" i="4"/>
  <c r="G99" i="4"/>
  <c r="F99" i="4"/>
  <c r="Q99" i="4" s="1"/>
  <c r="E99" i="4"/>
  <c r="D99" i="4"/>
  <c r="C99" i="4"/>
  <c r="N99" i="4" s="1"/>
  <c r="B99" i="4"/>
  <c r="A99" i="4"/>
  <c r="L98" i="4"/>
  <c r="K98" i="4"/>
  <c r="J98" i="4"/>
  <c r="I98" i="4"/>
  <c r="H98" i="4"/>
  <c r="G98" i="4"/>
  <c r="F98" i="4"/>
  <c r="Q98" i="4" s="1"/>
  <c r="E98" i="4"/>
  <c r="D98" i="4"/>
  <c r="C98" i="4"/>
  <c r="N98" i="4" s="1"/>
  <c r="B98" i="4"/>
  <c r="A98" i="4"/>
  <c r="L97" i="4"/>
  <c r="K97" i="4"/>
  <c r="J97" i="4"/>
  <c r="I97" i="4"/>
  <c r="H97" i="4"/>
  <c r="G97" i="4"/>
  <c r="F97" i="4"/>
  <c r="Q97" i="4" s="1"/>
  <c r="E97" i="4"/>
  <c r="D97" i="4"/>
  <c r="C97" i="4"/>
  <c r="N97" i="4" s="1"/>
  <c r="B97" i="4"/>
  <c r="A97" i="4"/>
  <c r="L96" i="4"/>
  <c r="K96" i="4"/>
  <c r="J96" i="4"/>
  <c r="I96" i="4"/>
  <c r="H96" i="4"/>
  <c r="G96" i="4"/>
  <c r="F96" i="4"/>
  <c r="Q96" i="4" s="1"/>
  <c r="E96" i="4"/>
  <c r="D96" i="4"/>
  <c r="C96" i="4"/>
  <c r="N96" i="4" s="1"/>
  <c r="B96" i="4"/>
  <c r="A96" i="4"/>
  <c r="L95" i="4"/>
  <c r="K95" i="4"/>
  <c r="J95" i="4"/>
  <c r="I95" i="4"/>
  <c r="H95" i="4"/>
  <c r="G95" i="4"/>
  <c r="F95" i="4"/>
  <c r="Q95" i="4" s="1"/>
  <c r="E95" i="4"/>
  <c r="D95" i="4"/>
  <c r="C95" i="4"/>
  <c r="N95" i="4" s="1"/>
  <c r="B95" i="4"/>
  <c r="A95" i="4"/>
  <c r="L94" i="4"/>
  <c r="K94" i="4"/>
  <c r="J94" i="4"/>
  <c r="I94" i="4"/>
  <c r="H94" i="4"/>
  <c r="G94" i="4"/>
  <c r="F94" i="4"/>
  <c r="Q94" i="4" s="1"/>
  <c r="E94" i="4"/>
  <c r="D94" i="4"/>
  <c r="C94" i="4"/>
  <c r="N94" i="4" s="1"/>
  <c r="B94" i="4"/>
  <c r="A94" i="4"/>
  <c r="L93" i="4"/>
  <c r="K93" i="4"/>
  <c r="J93" i="4"/>
  <c r="I93" i="4"/>
  <c r="H93" i="4"/>
  <c r="G93" i="4"/>
  <c r="F93" i="4"/>
  <c r="Q93" i="4" s="1"/>
  <c r="E93" i="4"/>
  <c r="D93" i="4"/>
  <c r="C93" i="4"/>
  <c r="N93" i="4" s="1"/>
  <c r="B93" i="4"/>
  <c r="A93" i="4"/>
  <c r="L92" i="4"/>
  <c r="K92" i="4"/>
  <c r="J92" i="4"/>
  <c r="I92" i="4"/>
  <c r="H92" i="4"/>
  <c r="G92" i="4"/>
  <c r="F92" i="4"/>
  <c r="Q92" i="4" s="1"/>
  <c r="E92" i="4"/>
  <c r="D92" i="4"/>
  <c r="C92" i="4"/>
  <c r="N92" i="4" s="1"/>
  <c r="B92" i="4"/>
  <c r="A92" i="4"/>
  <c r="L91" i="4"/>
  <c r="K91" i="4"/>
  <c r="J91" i="4"/>
  <c r="I91" i="4"/>
  <c r="H91" i="4"/>
  <c r="G91" i="4"/>
  <c r="F91" i="4"/>
  <c r="Q91" i="4" s="1"/>
  <c r="E91" i="4"/>
  <c r="D91" i="4"/>
  <c r="C91" i="4"/>
  <c r="N91" i="4" s="1"/>
  <c r="B91" i="4"/>
  <c r="A91" i="4"/>
  <c r="L90" i="4"/>
  <c r="K90" i="4"/>
  <c r="J90" i="4"/>
  <c r="I90" i="4"/>
  <c r="H90" i="4"/>
  <c r="G90" i="4"/>
  <c r="F90" i="4"/>
  <c r="Q90" i="4" s="1"/>
  <c r="E90" i="4"/>
  <c r="D90" i="4"/>
  <c r="C90" i="4"/>
  <c r="N90" i="4" s="1"/>
  <c r="B90" i="4"/>
  <c r="A90" i="4"/>
  <c r="L89" i="4"/>
  <c r="K89" i="4"/>
  <c r="J89" i="4"/>
  <c r="I89" i="4"/>
  <c r="H89" i="4"/>
  <c r="G89" i="4"/>
  <c r="F89" i="4"/>
  <c r="Q89" i="4" s="1"/>
  <c r="E89" i="4"/>
  <c r="D89" i="4"/>
  <c r="C89" i="4"/>
  <c r="N89" i="4" s="1"/>
  <c r="B89" i="4"/>
  <c r="A89" i="4"/>
  <c r="L88" i="4"/>
  <c r="K88" i="4"/>
  <c r="J88" i="4"/>
  <c r="I88" i="4"/>
  <c r="H88" i="4"/>
  <c r="G88" i="4"/>
  <c r="F88" i="4"/>
  <c r="Q88" i="4" s="1"/>
  <c r="E88" i="4"/>
  <c r="D88" i="4"/>
  <c r="C88" i="4"/>
  <c r="N88" i="4" s="1"/>
  <c r="B88" i="4"/>
  <c r="A88" i="4"/>
  <c r="L87" i="4"/>
  <c r="K87" i="4"/>
  <c r="J87" i="4"/>
  <c r="I87" i="4"/>
  <c r="H87" i="4"/>
  <c r="G87" i="4"/>
  <c r="F87" i="4"/>
  <c r="Q87" i="4" s="1"/>
  <c r="E87" i="4"/>
  <c r="D87" i="4"/>
  <c r="C87" i="4"/>
  <c r="N87" i="4" s="1"/>
  <c r="B87" i="4"/>
  <c r="A87" i="4"/>
  <c r="L86" i="4"/>
  <c r="K86" i="4"/>
  <c r="J86" i="4"/>
  <c r="I86" i="4"/>
  <c r="H86" i="4"/>
  <c r="G86" i="4"/>
  <c r="F86" i="4"/>
  <c r="Q86" i="4" s="1"/>
  <c r="E86" i="4"/>
  <c r="D86" i="4"/>
  <c r="C86" i="4"/>
  <c r="N86" i="4" s="1"/>
  <c r="B86" i="4"/>
  <c r="A86" i="4"/>
  <c r="L85" i="4"/>
  <c r="K85" i="4"/>
  <c r="J85" i="4"/>
  <c r="I85" i="4"/>
  <c r="H85" i="4"/>
  <c r="G85" i="4"/>
  <c r="F85" i="4"/>
  <c r="Q85" i="4" s="1"/>
  <c r="E85" i="4"/>
  <c r="D85" i="4"/>
  <c r="C85" i="4"/>
  <c r="N85" i="4" s="1"/>
  <c r="B85" i="4"/>
  <c r="A85" i="4"/>
  <c r="L84" i="4"/>
  <c r="K84" i="4"/>
  <c r="J84" i="4"/>
  <c r="I84" i="4"/>
  <c r="H84" i="4"/>
  <c r="G84" i="4"/>
  <c r="F84" i="4"/>
  <c r="Q84" i="4" s="1"/>
  <c r="E84" i="4"/>
  <c r="D84" i="4"/>
  <c r="C84" i="4"/>
  <c r="N84" i="4" s="1"/>
  <c r="B84" i="4"/>
  <c r="A84" i="4"/>
  <c r="L83" i="4"/>
  <c r="K83" i="4"/>
  <c r="J83" i="4"/>
  <c r="I83" i="4"/>
  <c r="H83" i="4"/>
  <c r="G83" i="4"/>
  <c r="F83" i="4"/>
  <c r="Q83" i="4" s="1"/>
  <c r="E83" i="4"/>
  <c r="D83" i="4"/>
  <c r="C83" i="4"/>
  <c r="N83" i="4" s="1"/>
  <c r="B83" i="4"/>
  <c r="A83" i="4"/>
  <c r="L82" i="4"/>
  <c r="K82" i="4"/>
  <c r="J82" i="4"/>
  <c r="I82" i="4"/>
  <c r="H82" i="4"/>
  <c r="G82" i="4"/>
  <c r="F82" i="4"/>
  <c r="Q82" i="4" s="1"/>
  <c r="E82" i="4"/>
  <c r="D82" i="4"/>
  <c r="C82" i="4"/>
  <c r="N82" i="4" s="1"/>
  <c r="B82" i="4"/>
  <c r="A82" i="4"/>
  <c r="L81" i="4"/>
  <c r="K81" i="4"/>
  <c r="J81" i="4"/>
  <c r="I81" i="4"/>
  <c r="H81" i="4"/>
  <c r="G81" i="4"/>
  <c r="F81" i="4"/>
  <c r="Q81" i="4" s="1"/>
  <c r="E81" i="4"/>
  <c r="D81" i="4"/>
  <c r="C81" i="4"/>
  <c r="N81" i="4" s="1"/>
  <c r="B81" i="4"/>
  <c r="A81" i="4"/>
  <c r="L80" i="4"/>
  <c r="K80" i="4"/>
  <c r="J80" i="4"/>
  <c r="I80" i="4"/>
  <c r="H80" i="4"/>
  <c r="G80" i="4"/>
  <c r="F80" i="4"/>
  <c r="Q80" i="4" s="1"/>
  <c r="E80" i="4"/>
  <c r="D80" i="4"/>
  <c r="C80" i="4"/>
  <c r="N80" i="4" s="1"/>
  <c r="B80" i="4"/>
  <c r="A80" i="4"/>
  <c r="L79" i="4"/>
  <c r="K79" i="4"/>
  <c r="J79" i="4"/>
  <c r="I79" i="4"/>
  <c r="H79" i="4"/>
  <c r="G79" i="4"/>
  <c r="F79" i="4"/>
  <c r="Q79" i="4" s="1"/>
  <c r="E79" i="4"/>
  <c r="D79" i="4"/>
  <c r="C79" i="4"/>
  <c r="N79" i="4" s="1"/>
  <c r="B79" i="4"/>
  <c r="A79" i="4"/>
  <c r="L78" i="4"/>
  <c r="K78" i="4"/>
  <c r="J78" i="4"/>
  <c r="I78" i="4"/>
  <c r="H78" i="4"/>
  <c r="G78" i="4"/>
  <c r="F78" i="4"/>
  <c r="Q78" i="4" s="1"/>
  <c r="E78" i="4"/>
  <c r="D78" i="4"/>
  <c r="C78" i="4"/>
  <c r="N78" i="4" s="1"/>
  <c r="B78" i="4"/>
  <c r="A78" i="4"/>
  <c r="L77" i="4"/>
  <c r="K77" i="4"/>
  <c r="J77" i="4"/>
  <c r="I77" i="4"/>
  <c r="H77" i="4"/>
  <c r="G77" i="4"/>
  <c r="F77" i="4"/>
  <c r="Q77" i="4" s="1"/>
  <c r="E77" i="4"/>
  <c r="D77" i="4"/>
  <c r="C77" i="4"/>
  <c r="N77" i="4" s="1"/>
  <c r="B77" i="4"/>
  <c r="A77" i="4"/>
  <c r="L76" i="4"/>
  <c r="K76" i="4"/>
  <c r="J76" i="4"/>
  <c r="I76" i="4"/>
  <c r="H76" i="4"/>
  <c r="G76" i="4"/>
  <c r="F76" i="4"/>
  <c r="Q76" i="4" s="1"/>
  <c r="E76" i="4"/>
  <c r="D76" i="4"/>
  <c r="C76" i="4"/>
  <c r="N76" i="4" s="1"/>
  <c r="B76" i="4"/>
  <c r="A76" i="4"/>
  <c r="L75" i="4"/>
  <c r="K75" i="4"/>
  <c r="J75" i="4"/>
  <c r="I75" i="4"/>
  <c r="H75" i="4"/>
  <c r="G75" i="4"/>
  <c r="F75" i="4"/>
  <c r="Q75" i="4" s="1"/>
  <c r="E75" i="4"/>
  <c r="D75" i="4"/>
  <c r="C75" i="4"/>
  <c r="N75" i="4" s="1"/>
  <c r="B75" i="4"/>
  <c r="A75" i="4"/>
  <c r="L74" i="4"/>
  <c r="K74" i="4"/>
  <c r="J74" i="4"/>
  <c r="I74" i="4"/>
  <c r="H74" i="4"/>
  <c r="G74" i="4"/>
  <c r="F74" i="4"/>
  <c r="Q74" i="4" s="1"/>
  <c r="E74" i="4"/>
  <c r="D74" i="4"/>
  <c r="C74" i="4"/>
  <c r="N74" i="4" s="1"/>
  <c r="B74" i="4"/>
  <c r="A74" i="4"/>
  <c r="L73" i="4"/>
  <c r="K73" i="4"/>
  <c r="J73" i="4"/>
  <c r="I73" i="4"/>
  <c r="H73" i="4"/>
  <c r="G73" i="4"/>
  <c r="F73" i="4"/>
  <c r="Q73" i="4" s="1"/>
  <c r="E73" i="4"/>
  <c r="D73" i="4"/>
  <c r="C73" i="4"/>
  <c r="N73" i="4" s="1"/>
  <c r="B73" i="4"/>
  <c r="A73" i="4"/>
  <c r="L72" i="4"/>
  <c r="K72" i="4"/>
  <c r="J72" i="4"/>
  <c r="I72" i="4"/>
  <c r="H72" i="4"/>
  <c r="G72" i="4"/>
  <c r="F72" i="4"/>
  <c r="Q72" i="4" s="1"/>
  <c r="E72" i="4"/>
  <c r="D72" i="4"/>
  <c r="C72" i="4"/>
  <c r="N72" i="4" s="1"/>
  <c r="B72" i="4"/>
  <c r="A72" i="4"/>
  <c r="L71" i="4"/>
  <c r="K71" i="4"/>
  <c r="J71" i="4"/>
  <c r="I71" i="4"/>
  <c r="H71" i="4"/>
  <c r="G71" i="4"/>
  <c r="F71" i="4"/>
  <c r="Q71" i="4" s="1"/>
  <c r="E71" i="4"/>
  <c r="D71" i="4"/>
  <c r="C71" i="4"/>
  <c r="N71" i="4" s="1"/>
  <c r="B71" i="4"/>
  <c r="A71" i="4"/>
  <c r="L70" i="4"/>
  <c r="K70" i="4"/>
  <c r="J70" i="4"/>
  <c r="I70" i="4"/>
  <c r="H70" i="4"/>
  <c r="G70" i="4"/>
  <c r="F70" i="4"/>
  <c r="Q70" i="4" s="1"/>
  <c r="E70" i="4"/>
  <c r="D70" i="4"/>
  <c r="C70" i="4"/>
  <c r="N70" i="4" s="1"/>
  <c r="B70" i="4"/>
  <c r="A70" i="4"/>
  <c r="L69" i="4"/>
  <c r="K69" i="4"/>
  <c r="J69" i="4"/>
  <c r="I69" i="4"/>
  <c r="H69" i="4"/>
  <c r="G69" i="4"/>
  <c r="F69" i="4"/>
  <c r="Q69" i="4" s="1"/>
  <c r="E69" i="4"/>
  <c r="D69" i="4"/>
  <c r="C69" i="4"/>
  <c r="N69" i="4" s="1"/>
  <c r="B69" i="4"/>
  <c r="A69" i="4"/>
  <c r="L68" i="4"/>
  <c r="K68" i="4"/>
  <c r="J68" i="4"/>
  <c r="I68" i="4"/>
  <c r="H68" i="4"/>
  <c r="G68" i="4"/>
  <c r="F68" i="4"/>
  <c r="Q68" i="4" s="1"/>
  <c r="E68" i="4"/>
  <c r="D68" i="4"/>
  <c r="C68" i="4"/>
  <c r="N68" i="4" s="1"/>
  <c r="B68" i="4"/>
  <c r="A68" i="4"/>
  <c r="L67" i="4"/>
  <c r="K67" i="4"/>
  <c r="J67" i="4"/>
  <c r="I67" i="4"/>
  <c r="H67" i="4"/>
  <c r="G67" i="4"/>
  <c r="F67" i="4"/>
  <c r="Q67" i="4" s="1"/>
  <c r="E67" i="4"/>
  <c r="D67" i="4"/>
  <c r="C67" i="4"/>
  <c r="N67" i="4" s="1"/>
  <c r="B67" i="4"/>
  <c r="A67" i="4"/>
  <c r="L66" i="4"/>
  <c r="K66" i="4"/>
  <c r="J66" i="4"/>
  <c r="I66" i="4"/>
  <c r="H66" i="4"/>
  <c r="G66" i="4"/>
  <c r="F66" i="4"/>
  <c r="Q66" i="4" s="1"/>
  <c r="E66" i="4"/>
  <c r="D66" i="4"/>
  <c r="C66" i="4"/>
  <c r="N66" i="4" s="1"/>
  <c r="B66" i="4"/>
  <c r="A66" i="4"/>
  <c r="L65" i="4"/>
  <c r="K65" i="4"/>
  <c r="J65" i="4"/>
  <c r="I65" i="4"/>
  <c r="H65" i="4"/>
  <c r="G65" i="4"/>
  <c r="F65" i="4"/>
  <c r="Q65" i="4" s="1"/>
  <c r="E65" i="4"/>
  <c r="D65" i="4"/>
  <c r="C65" i="4"/>
  <c r="N65" i="4" s="1"/>
  <c r="B65" i="4"/>
  <c r="A65" i="4"/>
  <c r="L64" i="4"/>
  <c r="K64" i="4"/>
  <c r="J64" i="4"/>
  <c r="I64" i="4"/>
  <c r="H64" i="4"/>
  <c r="G64" i="4"/>
  <c r="F64" i="4"/>
  <c r="Q64" i="4" s="1"/>
  <c r="E64" i="4"/>
  <c r="D64" i="4"/>
  <c r="C64" i="4"/>
  <c r="N64" i="4" s="1"/>
  <c r="B64" i="4"/>
  <c r="A64" i="4"/>
  <c r="L63" i="4"/>
  <c r="K63" i="4"/>
  <c r="J63" i="4"/>
  <c r="I63" i="4"/>
  <c r="H63" i="4"/>
  <c r="G63" i="4"/>
  <c r="F63" i="4"/>
  <c r="Q63" i="4" s="1"/>
  <c r="E63" i="4"/>
  <c r="D63" i="4"/>
  <c r="C63" i="4"/>
  <c r="N63" i="4" s="1"/>
  <c r="B63" i="4"/>
  <c r="A63" i="4"/>
  <c r="L62" i="4"/>
  <c r="K62" i="4"/>
  <c r="J62" i="4"/>
  <c r="I62" i="4"/>
  <c r="H62" i="4"/>
  <c r="G62" i="4"/>
  <c r="F62" i="4"/>
  <c r="Q62" i="4" s="1"/>
  <c r="E62" i="4"/>
  <c r="D62" i="4"/>
  <c r="C62" i="4"/>
  <c r="N62" i="4" s="1"/>
  <c r="B62" i="4"/>
  <c r="A62" i="4"/>
  <c r="L61" i="4"/>
  <c r="K61" i="4"/>
  <c r="J61" i="4"/>
  <c r="I61" i="4"/>
  <c r="H61" i="4"/>
  <c r="G61" i="4"/>
  <c r="F61" i="4"/>
  <c r="Q61" i="4" s="1"/>
  <c r="E61" i="4"/>
  <c r="D61" i="4"/>
  <c r="C61" i="4"/>
  <c r="N61" i="4" s="1"/>
  <c r="B61" i="4"/>
  <c r="A61" i="4"/>
  <c r="L60" i="4"/>
  <c r="K60" i="4"/>
  <c r="J60" i="4"/>
  <c r="I60" i="4"/>
  <c r="H60" i="4"/>
  <c r="G60" i="4"/>
  <c r="F60" i="4"/>
  <c r="Q60" i="4" s="1"/>
  <c r="E60" i="4"/>
  <c r="D60" i="4"/>
  <c r="C60" i="4"/>
  <c r="N60" i="4" s="1"/>
  <c r="B60" i="4"/>
  <c r="A60" i="4"/>
  <c r="L59" i="4"/>
  <c r="K59" i="4"/>
  <c r="J59" i="4"/>
  <c r="I59" i="4"/>
  <c r="H59" i="4"/>
  <c r="G59" i="4"/>
  <c r="F59" i="4"/>
  <c r="Q59" i="4" s="1"/>
  <c r="E59" i="4"/>
  <c r="D59" i="4"/>
  <c r="C59" i="4"/>
  <c r="N59" i="4" s="1"/>
  <c r="B59" i="4"/>
  <c r="A59" i="4"/>
  <c r="L58" i="4"/>
  <c r="K58" i="4"/>
  <c r="J58" i="4"/>
  <c r="I58" i="4"/>
  <c r="H58" i="4"/>
  <c r="G58" i="4"/>
  <c r="F58" i="4"/>
  <c r="Q58" i="4" s="1"/>
  <c r="E58" i="4"/>
  <c r="D58" i="4"/>
  <c r="C58" i="4"/>
  <c r="N58" i="4" s="1"/>
  <c r="B58" i="4"/>
  <c r="A58" i="4"/>
  <c r="L57" i="4"/>
  <c r="K57" i="4"/>
  <c r="J57" i="4"/>
  <c r="I57" i="4"/>
  <c r="H57" i="4"/>
  <c r="G57" i="4"/>
  <c r="F57" i="4"/>
  <c r="Q57" i="4" s="1"/>
  <c r="E57" i="4"/>
  <c r="D57" i="4"/>
  <c r="C57" i="4"/>
  <c r="N57" i="4" s="1"/>
  <c r="B57" i="4"/>
  <c r="A57" i="4"/>
  <c r="L56" i="4"/>
  <c r="K56" i="4"/>
  <c r="J56" i="4"/>
  <c r="I56" i="4"/>
  <c r="H56" i="4"/>
  <c r="G56" i="4"/>
  <c r="F56" i="4"/>
  <c r="Q56" i="4" s="1"/>
  <c r="E56" i="4"/>
  <c r="D56" i="4"/>
  <c r="C56" i="4"/>
  <c r="N56" i="4" s="1"/>
  <c r="B56" i="4"/>
  <c r="A56" i="4"/>
  <c r="L55" i="4"/>
  <c r="K55" i="4"/>
  <c r="J55" i="4"/>
  <c r="I55" i="4"/>
  <c r="H55" i="4"/>
  <c r="G55" i="4"/>
  <c r="F55" i="4"/>
  <c r="Q55" i="4" s="1"/>
  <c r="E55" i="4"/>
  <c r="D55" i="4"/>
  <c r="C55" i="4"/>
  <c r="N55" i="4" s="1"/>
  <c r="B55" i="4"/>
  <c r="A55" i="4"/>
  <c r="L54" i="4"/>
  <c r="K54" i="4"/>
  <c r="J54" i="4"/>
  <c r="I54" i="4"/>
  <c r="H54" i="4"/>
  <c r="G54" i="4"/>
  <c r="F54" i="4"/>
  <c r="Q54" i="4" s="1"/>
  <c r="E54" i="4"/>
  <c r="D54" i="4"/>
  <c r="C54" i="4"/>
  <c r="N54" i="4" s="1"/>
  <c r="B54" i="4"/>
  <c r="A54" i="4"/>
  <c r="L53" i="4"/>
  <c r="K53" i="4"/>
  <c r="J53" i="4"/>
  <c r="I53" i="4"/>
  <c r="H53" i="4"/>
  <c r="G53" i="4"/>
  <c r="F53" i="4"/>
  <c r="Q53" i="4" s="1"/>
  <c r="E53" i="4"/>
  <c r="D53" i="4"/>
  <c r="C53" i="4"/>
  <c r="N53" i="4" s="1"/>
  <c r="B53" i="4"/>
  <c r="A53" i="4"/>
  <c r="L52" i="4"/>
  <c r="K52" i="4"/>
  <c r="J52" i="4"/>
  <c r="I52" i="4"/>
  <c r="H52" i="4"/>
  <c r="G52" i="4"/>
  <c r="F52" i="4"/>
  <c r="Q52" i="4" s="1"/>
  <c r="E52" i="4"/>
  <c r="D52" i="4"/>
  <c r="C52" i="4"/>
  <c r="N52" i="4" s="1"/>
  <c r="B52" i="4"/>
  <c r="A52" i="4"/>
  <c r="L51" i="4"/>
  <c r="K51" i="4"/>
  <c r="J51" i="4"/>
  <c r="I51" i="4"/>
  <c r="H51" i="4"/>
  <c r="G51" i="4"/>
  <c r="F51" i="4"/>
  <c r="Q51" i="4" s="1"/>
  <c r="E51" i="4"/>
  <c r="D51" i="4"/>
  <c r="C51" i="4"/>
  <c r="N51" i="4" s="1"/>
  <c r="B51" i="4"/>
  <c r="A51" i="4"/>
  <c r="L50" i="4"/>
  <c r="K50" i="4"/>
  <c r="J50" i="4"/>
  <c r="I50" i="4"/>
  <c r="H50" i="4"/>
  <c r="G50" i="4"/>
  <c r="F50" i="4"/>
  <c r="Q50" i="4" s="1"/>
  <c r="E50" i="4"/>
  <c r="D50" i="4"/>
  <c r="C50" i="4"/>
  <c r="N50" i="4" s="1"/>
  <c r="B50" i="4"/>
  <c r="A50" i="4"/>
  <c r="L49" i="4"/>
  <c r="K49" i="4"/>
  <c r="J49" i="4"/>
  <c r="I49" i="4"/>
  <c r="H49" i="4"/>
  <c r="G49" i="4"/>
  <c r="F49" i="4"/>
  <c r="Q49" i="4" s="1"/>
  <c r="E49" i="4"/>
  <c r="D49" i="4"/>
  <c r="C49" i="4"/>
  <c r="N49" i="4" s="1"/>
  <c r="B49" i="4"/>
  <c r="A49" i="4"/>
  <c r="L48" i="4"/>
  <c r="K48" i="4"/>
  <c r="J48" i="4"/>
  <c r="I48" i="4"/>
  <c r="H48" i="4"/>
  <c r="G48" i="4"/>
  <c r="F48" i="4"/>
  <c r="Q48" i="4" s="1"/>
  <c r="E48" i="4"/>
  <c r="D48" i="4"/>
  <c r="C48" i="4"/>
  <c r="N48" i="4" s="1"/>
  <c r="B48" i="4"/>
  <c r="A48" i="4"/>
  <c r="L47" i="4"/>
  <c r="K47" i="4"/>
  <c r="J47" i="4"/>
  <c r="I47" i="4"/>
  <c r="H47" i="4"/>
  <c r="G47" i="4"/>
  <c r="F47" i="4"/>
  <c r="Q47" i="4" s="1"/>
  <c r="E47" i="4"/>
  <c r="D47" i="4"/>
  <c r="C47" i="4"/>
  <c r="N47" i="4" s="1"/>
  <c r="B47" i="4"/>
  <c r="A47" i="4"/>
  <c r="L46" i="4"/>
  <c r="K46" i="4"/>
  <c r="J46" i="4"/>
  <c r="I46" i="4"/>
  <c r="H46" i="4"/>
  <c r="G46" i="4"/>
  <c r="F46" i="4"/>
  <c r="Q46" i="4" s="1"/>
  <c r="E46" i="4"/>
  <c r="D46" i="4"/>
  <c r="C46" i="4"/>
  <c r="N46" i="4" s="1"/>
  <c r="B46" i="4"/>
  <c r="A46" i="4"/>
  <c r="L45" i="4"/>
  <c r="K45" i="4"/>
  <c r="J45" i="4"/>
  <c r="I45" i="4"/>
  <c r="H45" i="4"/>
  <c r="G45" i="4"/>
  <c r="F45" i="4"/>
  <c r="Q45" i="4" s="1"/>
  <c r="E45" i="4"/>
  <c r="D45" i="4"/>
  <c r="C45" i="4"/>
  <c r="N45" i="4" s="1"/>
  <c r="B45" i="4"/>
  <c r="A45" i="4"/>
  <c r="L44" i="4"/>
  <c r="K44" i="4"/>
  <c r="J44" i="4"/>
  <c r="I44" i="4"/>
  <c r="H44" i="4"/>
  <c r="G44" i="4"/>
  <c r="F44" i="4"/>
  <c r="Q44" i="4" s="1"/>
  <c r="E44" i="4"/>
  <c r="D44" i="4"/>
  <c r="C44" i="4"/>
  <c r="N44" i="4" s="1"/>
  <c r="B44" i="4"/>
  <c r="A44" i="4"/>
  <c r="L43" i="4"/>
  <c r="K43" i="4"/>
  <c r="J43" i="4"/>
  <c r="I43" i="4"/>
  <c r="H43" i="4"/>
  <c r="G43" i="4"/>
  <c r="F43" i="4"/>
  <c r="Q43" i="4" s="1"/>
  <c r="E43" i="4"/>
  <c r="D43" i="4"/>
  <c r="C43" i="4"/>
  <c r="N43" i="4" s="1"/>
  <c r="B43" i="4"/>
  <c r="A43" i="4"/>
  <c r="L42" i="4"/>
  <c r="K42" i="4"/>
  <c r="J42" i="4"/>
  <c r="I42" i="4"/>
  <c r="H42" i="4"/>
  <c r="G42" i="4"/>
  <c r="F42" i="4"/>
  <c r="Q42" i="4" s="1"/>
  <c r="E42" i="4"/>
  <c r="D42" i="4"/>
  <c r="C42" i="4"/>
  <c r="N42" i="4" s="1"/>
  <c r="B42" i="4"/>
  <c r="A42" i="4"/>
  <c r="L41" i="4"/>
  <c r="K41" i="4"/>
  <c r="J41" i="4"/>
  <c r="I41" i="4"/>
  <c r="H41" i="4"/>
  <c r="G41" i="4"/>
  <c r="F41" i="4"/>
  <c r="Q41" i="4" s="1"/>
  <c r="E41" i="4"/>
  <c r="D41" i="4"/>
  <c r="C41" i="4"/>
  <c r="N41" i="4" s="1"/>
  <c r="B41" i="4"/>
  <c r="A41" i="4"/>
  <c r="L40" i="4"/>
  <c r="K40" i="4"/>
  <c r="J40" i="4"/>
  <c r="I40" i="4"/>
  <c r="H40" i="4"/>
  <c r="G40" i="4"/>
  <c r="F40" i="4"/>
  <c r="Q40" i="4" s="1"/>
  <c r="E40" i="4"/>
  <c r="D40" i="4"/>
  <c r="C40" i="4"/>
  <c r="N40" i="4" s="1"/>
  <c r="B40" i="4"/>
  <c r="A40" i="4"/>
  <c r="L39" i="4"/>
  <c r="K39" i="4"/>
  <c r="J39" i="4"/>
  <c r="I39" i="4"/>
  <c r="H39" i="4"/>
  <c r="G39" i="4"/>
  <c r="F39" i="4"/>
  <c r="Q39" i="4" s="1"/>
  <c r="E39" i="4"/>
  <c r="D39" i="4"/>
  <c r="C39" i="4"/>
  <c r="N39" i="4" s="1"/>
  <c r="B39" i="4"/>
  <c r="A39" i="4"/>
  <c r="L38" i="4"/>
  <c r="K38" i="4"/>
  <c r="J38" i="4"/>
  <c r="I38" i="4"/>
  <c r="H38" i="4"/>
  <c r="G38" i="4"/>
  <c r="F38" i="4"/>
  <c r="Q38" i="4" s="1"/>
  <c r="E38" i="4"/>
  <c r="D38" i="4"/>
  <c r="C38" i="4"/>
  <c r="N38" i="4" s="1"/>
  <c r="B38" i="4"/>
  <c r="A38" i="4"/>
  <c r="L37" i="4"/>
  <c r="K37" i="4"/>
  <c r="J37" i="4"/>
  <c r="I37" i="4"/>
  <c r="H37" i="4"/>
  <c r="G37" i="4"/>
  <c r="F37" i="4"/>
  <c r="Q37" i="4" s="1"/>
  <c r="E37" i="4"/>
  <c r="D37" i="4"/>
  <c r="C37" i="4"/>
  <c r="N37" i="4" s="1"/>
  <c r="B37" i="4"/>
  <c r="A37" i="4"/>
  <c r="L36" i="4"/>
  <c r="K36" i="4"/>
  <c r="J36" i="4"/>
  <c r="I36" i="4"/>
  <c r="H36" i="4"/>
  <c r="G36" i="4"/>
  <c r="F36" i="4"/>
  <c r="Q36" i="4" s="1"/>
  <c r="E36" i="4"/>
  <c r="D36" i="4"/>
  <c r="C36" i="4"/>
  <c r="N36" i="4" s="1"/>
  <c r="B36" i="4"/>
  <c r="A36" i="4"/>
  <c r="L35" i="4"/>
  <c r="K35" i="4"/>
  <c r="J35" i="4"/>
  <c r="I35" i="4"/>
  <c r="H35" i="4"/>
  <c r="G35" i="4"/>
  <c r="F35" i="4"/>
  <c r="Q35" i="4" s="1"/>
  <c r="E35" i="4"/>
  <c r="D35" i="4"/>
  <c r="C35" i="4"/>
  <c r="N35" i="4" s="1"/>
  <c r="B35" i="4"/>
  <c r="A35" i="4"/>
  <c r="L34" i="4"/>
  <c r="K34" i="4"/>
  <c r="J34" i="4"/>
  <c r="I34" i="4"/>
  <c r="H34" i="4"/>
  <c r="G34" i="4"/>
  <c r="F34" i="4"/>
  <c r="Q34" i="4" s="1"/>
  <c r="E34" i="4"/>
  <c r="D34" i="4"/>
  <c r="C34" i="4"/>
  <c r="N34" i="4" s="1"/>
  <c r="B34" i="4"/>
  <c r="A34" i="4"/>
  <c r="L33" i="4"/>
  <c r="K33" i="4"/>
  <c r="J33" i="4"/>
  <c r="I33" i="4"/>
  <c r="H33" i="4"/>
  <c r="G33" i="4"/>
  <c r="F33" i="4"/>
  <c r="Q33" i="4" s="1"/>
  <c r="E33" i="4"/>
  <c r="D33" i="4"/>
  <c r="C33" i="4"/>
  <c r="N33" i="4" s="1"/>
  <c r="B33" i="4"/>
  <c r="A33" i="4"/>
  <c r="L32" i="4"/>
  <c r="K32" i="4"/>
  <c r="J32" i="4"/>
  <c r="I32" i="4"/>
  <c r="H32" i="4"/>
  <c r="G32" i="4"/>
  <c r="F32" i="4"/>
  <c r="Q32" i="4" s="1"/>
  <c r="E32" i="4"/>
  <c r="D32" i="4"/>
  <c r="C32" i="4"/>
  <c r="N32" i="4" s="1"/>
  <c r="B32" i="4"/>
  <c r="A32" i="4"/>
  <c r="L31" i="4"/>
  <c r="K31" i="4"/>
  <c r="J31" i="4"/>
  <c r="I31" i="4"/>
  <c r="H31" i="4"/>
  <c r="G31" i="4"/>
  <c r="F31" i="4"/>
  <c r="Q31" i="4" s="1"/>
  <c r="E31" i="4"/>
  <c r="D31" i="4"/>
  <c r="C31" i="4"/>
  <c r="N31" i="4" s="1"/>
  <c r="B31" i="4"/>
  <c r="A31" i="4"/>
  <c r="L30" i="4"/>
  <c r="K30" i="4"/>
  <c r="J30" i="4"/>
  <c r="I30" i="4"/>
  <c r="H30" i="4"/>
  <c r="G30" i="4"/>
  <c r="F30" i="4"/>
  <c r="Q30" i="4" s="1"/>
  <c r="E30" i="4"/>
  <c r="D30" i="4"/>
  <c r="C30" i="4"/>
  <c r="N30" i="4" s="1"/>
  <c r="B30" i="4"/>
  <c r="A30" i="4"/>
  <c r="L29" i="4"/>
  <c r="K29" i="4"/>
  <c r="J29" i="4"/>
  <c r="I29" i="4"/>
  <c r="H29" i="4"/>
  <c r="G29" i="4"/>
  <c r="F29" i="4"/>
  <c r="Q29" i="4" s="1"/>
  <c r="E29" i="4"/>
  <c r="D29" i="4"/>
  <c r="C29" i="4"/>
  <c r="N29" i="4" s="1"/>
  <c r="B29" i="4"/>
  <c r="A29" i="4"/>
  <c r="L28" i="4"/>
  <c r="K28" i="4"/>
  <c r="J28" i="4"/>
  <c r="I28" i="4"/>
  <c r="H28" i="4"/>
  <c r="G28" i="4"/>
  <c r="F28" i="4"/>
  <c r="Q28" i="4" s="1"/>
  <c r="E28" i="4"/>
  <c r="D28" i="4"/>
  <c r="C28" i="4"/>
  <c r="N28" i="4" s="1"/>
  <c r="B28" i="4"/>
  <c r="A28" i="4"/>
  <c r="L27" i="4"/>
  <c r="K27" i="4"/>
  <c r="J27" i="4"/>
  <c r="I27" i="4"/>
  <c r="H27" i="4"/>
  <c r="G27" i="4"/>
  <c r="F27" i="4"/>
  <c r="Q27" i="4" s="1"/>
  <c r="E27" i="4"/>
  <c r="D27" i="4"/>
  <c r="C27" i="4"/>
  <c r="N27" i="4" s="1"/>
  <c r="B27" i="4"/>
  <c r="A27" i="4"/>
  <c r="L26" i="4"/>
  <c r="K26" i="4"/>
  <c r="J26" i="4"/>
  <c r="I26" i="4"/>
  <c r="H26" i="4"/>
  <c r="G26" i="4"/>
  <c r="F26" i="4"/>
  <c r="Q26" i="4" s="1"/>
  <c r="E26" i="4"/>
  <c r="D26" i="4"/>
  <c r="C26" i="4"/>
  <c r="N26" i="4" s="1"/>
  <c r="B26" i="4"/>
  <c r="A26" i="4"/>
  <c r="L25" i="4"/>
  <c r="K25" i="4"/>
  <c r="J25" i="4"/>
  <c r="I25" i="4"/>
  <c r="H25" i="4"/>
  <c r="G25" i="4"/>
  <c r="F25" i="4"/>
  <c r="Q25" i="4" s="1"/>
  <c r="E25" i="4"/>
  <c r="D25" i="4"/>
  <c r="C25" i="4"/>
  <c r="N25" i="4" s="1"/>
  <c r="B25" i="4"/>
  <c r="A25" i="4"/>
  <c r="L24" i="4"/>
  <c r="K24" i="4"/>
  <c r="J24" i="4"/>
  <c r="I24" i="4"/>
  <c r="H24" i="4"/>
  <c r="G24" i="4"/>
  <c r="F24" i="4"/>
  <c r="Q24" i="4" s="1"/>
  <c r="E24" i="4"/>
  <c r="D24" i="4"/>
  <c r="C24" i="4"/>
  <c r="N24" i="4" s="1"/>
  <c r="B24" i="4"/>
  <c r="A24" i="4"/>
  <c r="L23" i="4"/>
  <c r="K23" i="4"/>
  <c r="J23" i="4"/>
  <c r="I23" i="4"/>
  <c r="H23" i="4"/>
  <c r="G23" i="4"/>
  <c r="F23" i="4"/>
  <c r="Q23" i="4" s="1"/>
  <c r="E23" i="4"/>
  <c r="D23" i="4"/>
  <c r="C23" i="4"/>
  <c r="N23" i="4" s="1"/>
  <c r="B23" i="4"/>
  <c r="A23" i="4"/>
  <c r="L22" i="4"/>
  <c r="K22" i="4"/>
  <c r="J22" i="4"/>
  <c r="I22" i="4"/>
  <c r="H22" i="4"/>
  <c r="G22" i="4"/>
  <c r="F22" i="4"/>
  <c r="Q22" i="4" s="1"/>
  <c r="E22" i="4"/>
  <c r="D22" i="4"/>
  <c r="C22" i="4"/>
  <c r="N22" i="4" s="1"/>
  <c r="B22" i="4"/>
  <c r="A22" i="4"/>
  <c r="L21" i="4"/>
  <c r="K21" i="4"/>
  <c r="J21" i="4"/>
  <c r="I21" i="4"/>
  <c r="H21" i="4"/>
  <c r="G21" i="4"/>
  <c r="F21" i="4"/>
  <c r="Q21" i="4" s="1"/>
  <c r="E21" i="4"/>
  <c r="D21" i="4"/>
  <c r="C21" i="4"/>
  <c r="N21" i="4" s="1"/>
  <c r="B21" i="4"/>
  <c r="A21" i="4"/>
  <c r="L20" i="4"/>
  <c r="K20" i="4"/>
  <c r="J20" i="4"/>
  <c r="I20" i="4"/>
  <c r="H20" i="4"/>
  <c r="G20" i="4"/>
  <c r="F20" i="4"/>
  <c r="Q20" i="4" s="1"/>
  <c r="E20" i="4"/>
  <c r="D20" i="4"/>
  <c r="C20" i="4"/>
  <c r="N20" i="4" s="1"/>
  <c r="B20" i="4"/>
  <c r="A20" i="4"/>
  <c r="L19" i="4"/>
  <c r="K19" i="4"/>
  <c r="J19" i="4"/>
  <c r="I19" i="4"/>
  <c r="H19" i="4"/>
  <c r="G19" i="4"/>
  <c r="F19" i="4"/>
  <c r="Q19" i="4" s="1"/>
  <c r="E19" i="4"/>
  <c r="D19" i="4"/>
  <c r="C19" i="4"/>
  <c r="N19" i="4" s="1"/>
  <c r="B19" i="4"/>
  <c r="A19" i="4"/>
  <c r="L18" i="4"/>
  <c r="K18" i="4"/>
  <c r="J18" i="4"/>
  <c r="I18" i="4"/>
  <c r="H18" i="4"/>
  <c r="G18" i="4"/>
  <c r="F18" i="4"/>
  <c r="Q18" i="4" s="1"/>
  <c r="E18" i="4"/>
  <c r="D18" i="4"/>
  <c r="C18" i="4"/>
  <c r="N18" i="4" s="1"/>
  <c r="B18" i="4"/>
  <c r="A18" i="4"/>
  <c r="L17" i="4"/>
  <c r="K17" i="4"/>
  <c r="J17" i="4"/>
  <c r="I17" i="4"/>
  <c r="H17" i="4"/>
  <c r="G17" i="4"/>
  <c r="F17" i="4"/>
  <c r="Q17" i="4" s="1"/>
  <c r="E17" i="4"/>
  <c r="D17" i="4"/>
  <c r="C17" i="4"/>
  <c r="N17" i="4" s="1"/>
  <c r="B17" i="4"/>
  <c r="A17" i="4"/>
  <c r="L16" i="4"/>
  <c r="K16" i="4"/>
  <c r="J16" i="4"/>
  <c r="I16" i="4"/>
  <c r="H16" i="4"/>
  <c r="G16" i="4"/>
  <c r="F16" i="4"/>
  <c r="Q16" i="4" s="1"/>
  <c r="E16" i="4"/>
  <c r="D16" i="4"/>
  <c r="C16" i="4"/>
  <c r="N16" i="4" s="1"/>
  <c r="B16" i="4"/>
  <c r="A16" i="4"/>
  <c r="L15" i="4"/>
  <c r="K15" i="4"/>
  <c r="J15" i="4"/>
  <c r="I15" i="4"/>
  <c r="H15" i="4"/>
  <c r="G15" i="4"/>
  <c r="F15" i="4"/>
  <c r="Q15" i="4" s="1"/>
  <c r="E15" i="4"/>
  <c r="D15" i="4"/>
  <c r="C15" i="4"/>
  <c r="N15" i="4" s="1"/>
  <c r="B15" i="4"/>
  <c r="A15" i="4"/>
  <c r="L14" i="4"/>
  <c r="K14" i="4"/>
  <c r="J14" i="4"/>
  <c r="I14" i="4"/>
  <c r="H14" i="4"/>
  <c r="G14" i="4"/>
  <c r="F14" i="4"/>
  <c r="Q14" i="4" s="1"/>
  <c r="E14" i="4"/>
  <c r="D14" i="4"/>
  <c r="C14" i="4"/>
  <c r="N14" i="4" s="1"/>
  <c r="B14" i="4"/>
  <c r="A14" i="4"/>
  <c r="L13" i="4"/>
  <c r="K13" i="4"/>
  <c r="J13" i="4"/>
  <c r="I13" i="4"/>
  <c r="H13" i="4"/>
  <c r="G13" i="4"/>
  <c r="F13" i="4"/>
  <c r="Q13" i="4" s="1"/>
  <c r="E13" i="4"/>
  <c r="D13" i="4"/>
  <c r="C13" i="4"/>
  <c r="N13" i="4" s="1"/>
  <c r="B13" i="4"/>
  <c r="A13" i="4"/>
  <c r="L12" i="4"/>
  <c r="K12" i="4"/>
  <c r="J12" i="4"/>
  <c r="I12" i="4"/>
  <c r="H12" i="4"/>
  <c r="G12" i="4"/>
  <c r="F12" i="4"/>
  <c r="Q12" i="4" s="1"/>
  <c r="E12" i="4"/>
  <c r="D12" i="4"/>
  <c r="C12" i="4"/>
  <c r="N12" i="4" s="1"/>
  <c r="B12" i="4"/>
  <c r="A12" i="4"/>
  <c r="L11" i="4"/>
  <c r="K11" i="4"/>
  <c r="J11" i="4"/>
  <c r="I11" i="4"/>
  <c r="H11" i="4"/>
  <c r="G11" i="4"/>
  <c r="F11" i="4"/>
  <c r="Q11" i="4" s="1"/>
  <c r="E11" i="4"/>
  <c r="D11" i="4"/>
  <c r="C11" i="4"/>
  <c r="N11" i="4" s="1"/>
  <c r="B11" i="4"/>
  <c r="A11" i="4"/>
  <c r="L10" i="4"/>
  <c r="K10" i="4"/>
  <c r="J10" i="4"/>
  <c r="I10" i="4"/>
  <c r="H10" i="4"/>
  <c r="G10" i="4"/>
  <c r="F10" i="4"/>
  <c r="Q10" i="4" s="1"/>
  <c r="E10" i="4"/>
  <c r="D10" i="4"/>
  <c r="C10" i="4"/>
  <c r="N10" i="4" s="1"/>
  <c r="B10" i="4"/>
  <c r="A10" i="4"/>
  <c r="L9" i="4"/>
  <c r="K9" i="4"/>
  <c r="J9" i="4"/>
  <c r="I9" i="4"/>
  <c r="H9" i="4"/>
  <c r="G9" i="4"/>
  <c r="F9" i="4"/>
  <c r="Q9" i="4" s="1"/>
  <c r="E9" i="4"/>
  <c r="D9" i="4"/>
  <c r="C9" i="4"/>
  <c r="N9" i="4" s="1"/>
  <c r="B9" i="4"/>
  <c r="A9" i="4"/>
  <c r="L8" i="4"/>
  <c r="K8" i="4"/>
  <c r="J8" i="4"/>
  <c r="I8" i="4"/>
  <c r="H8" i="4"/>
  <c r="G8" i="4"/>
  <c r="F8" i="4"/>
  <c r="Q8" i="4" s="1"/>
  <c r="E8" i="4"/>
  <c r="D8" i="4"/>
  <c r="C8" i="4"/>
  <c r="N8" i="4" s="1"/>
  <c r="B8" i="4"/>
  <c r="A8" i="4"/>
  <c r="L7" i="4"/>
  <c r="K7" i="4"/>
  <c r="J7" i="4"/>
  <c r="I7" i="4"/>
  <c r="H7" i="4"/>
  <c r="G7" i="4"/>
  <c r="F7" i="4"/>
  <c r="Q7" i="4" s="1"/>
  <c r="E7" i="4"/>
  <c r="D7" i="4"/>
  <c r="C7" i="4"/>
  <c r="N7" i="4" s="1"/>
  <c r="B7" i="4"/>
  <c r="A7" i="4"/>
  <c r="L6" i="4"/>
  <c r="K6" i="4"/>
  <c r="J6" i="4"/>
  <c r="I6" i="4"/>
  <c r="H6" i="4"/>
  <c r="G6" i="4"/>
  <c r="F6" i="4"/>
  <c r="Q6" i="4" s="1"/>
  <c r="E6" i="4"/>
  <c r="D6" i="4"/>
  <c r="C6" i="4"/>
  <c r="N6" i="4" s="1"/>
  <c r="B6" i="4"/>
  <c r="A6" i="4"/>
  <c r="L5" i="4"/>
  <c r="K5" i="4"/>
  <c r="J5" i="4"/>
  <c r="I5" i="4"/>
  <c r="H5" i="4"/>
  <c r="G5" i="4"/>
  <c r="F5" i="4"/>
  <c r="Q5" i="4" s="1"/>
  <c r="E5" i="4"/>
  <c r="D5" i="4"/>
  <c r="C5" i="4"/>
  <c r="N5" i="4" s="1"/>
  <c r="B5" i="4"/>
  <c r="A5" i="4"/>
  <c r="L4" i="4"/>
  <c r="K4" i="4"/>
  <c r="J4" i="4"/>
  <c r="I4" i="4"/>
  <c r="H4" i="4"/>
  <c r="G4" i="4"/>
  <c r="F4" i="4"/>
  <c r="Q4" i="4" s="1"/>
  <c r="E4" i="4"/>
  <c r="D4" i="4"/>
  <c r="C4" i="4"/>
  <c r="N4" i="4" s="1"/>
  <c r="B4" i="4"/>
  <c r="A4" i="4"/>
  <c r="L3" i="4"/>
  <c r="K3" i="4"/>
  <c r="J3" i="4"/>
  <c r="I3" i="4"/>
  <c r="H3" i="4"/>
  <c r="G3" i="4"/>
  <c r="F3" i="4"/>
  <c r="Q3" i="4" s="1"/>
  <c r="E3" i="4"/>
  <c r="D3" i="4"/>
  <c r="C3" i="4"/>
  <c r="N3" i="4" s="1"/>
  <c r="B3" i="4"/>
  <c r="A3" i="4"/>
  <c r="L2" i="4"/>
  <c r="K2" i="4"/>
  <c r="J2" i="4"/>
  <c r="I2" i="4"/>
  <c r="H2" i="4"/>
  <c r="G2" i="4"/>
  <c r="F2" i="4"/>
  <c r="Q2" i="4" s="1"/>
  <c r="E2" i="4"/>
  <c r="D2" i="4"/>
  <c r="C2" i="4"/>
  <c r="N2" i="4" s="1"/>
  <c r="B2" i="4"/>
  <c r="A2" i="4"/>
  <c r="M697" i="4" l="1"/>
  <c r="M663" i="4"/>
  <c r="M529" i="4"/>
  <c r="M414" i="4"/>
  <c r="M399" i="4"/>
  <c r="M749" i="4"/>
  <c r="M477" i="4"/>
  <c r="M475" i="4"/>
  <c r="M473" i="4"/>
  <c r="M469" i="4"/>
  <c r="M468" i="4"/>
  <c r="M463" i="4"/>
  <c r="M461" i="4"/>
  <c r="M420" i="4"/>
  <c r="M419" i="4"/>
  <c r="M416" i="4"/>
  <c r="M413" i="4"/>
  <c r="M411" i="4"/>
  <c r="M409" i="4"/>
  <c r="M407" i="4"/>
  <c r="M405" i="4"/>
  <c r="M403" i="4"/>
  <c r="M401" i="4"/>
  <c r="M394" i="4"/>
  <c r="M392" i="4"/>
  <c r="M391" i="4"/>
  <c r="M386" i="4"/>
  <c r="M383" i="4"/>
  <c r="M380" i="4"/>
  <c r="M377" i="4"/>
  <c r="M374" i="4"/>
  <c r="M367" i="4"/>
  <c r="M364" i="4"/>
  <c r="M363" i="4"/>
  <c r="M353" i="4"/>
  <c r="M348" i="4"/>
  <c r="M344" i="4"/>
  <c r="M337" i="4"/>
  <c r="M334" i="4"/>
  <c r="M331" i="4"/>
  <c r="M330" i="4"/>
  <c r="M329" i="4"/>
  <c r="M326" i="4"/>
  <c r="M319" i="4"/>
  <c r="M316" i="4"/>
  <c r="M313" i="4"/>
  <c r="M310" i="4"/>
  <c r="M307" i="4"/>
  <c r="M306" i="4"/>
  <c r="M301" i="4"/>
  <c r="M298" i="4"/>
  <c r="M295" i="4"/>
  <c r="M292" i="4"/>
  <c r="M287" i="4"/>
  <c r="M284" i="4"/>
  <c r="M281" i="4"/>
  <c r="M278" i="4"/>
  <c r="M275" i="4"/>
  <c r="M274" i="4"/>
  <c r="M272" i="4"/>
  <c r="M269" i="4"/>
  <c r="M268" i="4"/>
  <c r="M265" i="4"/>
  <c r="M262" i="4"/>
  <c r="M259" i="4"/>
  <c r="M256" i="4"/>
  <c r="M253" i="4"/>
  <c r="M250" i="4"/>
  <c r="M247" i="4"/>
  <c r="M244" i="4"/>
  <c r="M241" i="4"/>
  <c r="M235" i="4"/>
  <c r="M232" i="4"/>
  <c r="M229" i="4"/>
  <c r="M226" i="4"/>
  <c r="M154" i="4"/>
  <c r="M476" i="4"/>
  <c r="M474" i="4"/>
  <c r="M472" i="4"/>
  <c r="M470" i="4"/>
  <c r="M466" i="4"/>
  <c r="M464" i="4"/>
  <c r="M462" i="4"/>
  <c r="M460" i="4"/>
  <c r="M418" i="4"/>
  <c r="M415" i="4"/>
  <c r="M412" i="4"/>
  <c r="M410" i="4"/>
  <c r="M408" i="4"/>
  <c r="M406" i="4"/>
  <c r="M404" i="4"/>
  <c r="M402" i="4"/>
  <c r="M400" i="4"/>
  <c r="M398" i="4"/>
  <c r="M396" i="4"/>
  <c r="M395" i="4"/>
  <c r="M393" i="4"/>
  <c r="M390" i="4"/>
  <c r="M387" i="4"/>
  <c r="M385" i="4"/>
  <c r="M384" i="4"/>
  <c r="M381" i="4"/>
  <c r="M378" i="4"/>
  <c r="M373" i="4"/>
  <c r="M370" i="4"/>
  <c r="M369" i="4"/>
  <c r="M366" i="4"/>
  <c r="M361" i="4"/>
  <c r="M360" i="4"/>
  <c r="M357" i="4"/>
  <c r="M356" i="4"/>
  <c r="M354" i="4"/>
  <c r="M351" i="4"/>
  <c r="M350" i="4"/>
  <c r="M347" i="4"/>
  <c r="M345" i="4"/>
  <c r="M342" i="4"/>
  <c r="M341" i="4"/>
  <c r="M335" i="4"/>
  <c r="M332" i="4"/>
  <c r="M327" i="4"/>
  <c r="M322" i="4"/>
  <c r="M321" i="4"/>
  <c r="M318" i="4"/>
  <c r="M315" i="4"/>
  <c r="M314" i="4"/>
  <c r="M309" i="4"/>
  <c r="M304" i="4"/>
  <c r="M303" i="4"/>
  <c r="M300" i="4"/>
  <c r="M297" i="4"/>
  <c r="M294" i="4"/>
  <c r="M291" i="4"/>
  <c r="M288" i="4"/>
  <c r="M286" i="4"/>
  <c r="M285" i="4"/>
  <c r="M282" i="4"/>
  <c r="M277" i="4"/>
  <c r="M271" i="4"/>
  <c r="M270" i="4"/>
  <c r="M267" i="4"/>
  <c r="M264" i="4"/>
  <c r="M261" i="4"/>
  <c r="M258" i="4"/>
  <c r="M255" i="4"/>
  <c r="M252" i="4"/>
  <c r="M249" i="4"/>
  <c r="M246" i="4"/>
  <c r="M243" i="4"/>
  <c r="M238" i="4"/>
  <c r="M237" i="4"/>
  <c r="M236" i="4"/>
  <c r="M231" i="4"/>
  <c r="M227" i="4"/>
  <c r="M397" i="4"/>
  <c r="M389" i="4"/>
  <c r="M388" i="4"/>
  <c r="M382" i="4"/>
  <c r="M379" i="4"/>
  <c r="M376" i="4"/>
  <c r="M375" i="4"/>
  <c r="M372" i="4"/>
  <c r="M371" i="4"/>
  <c r="M368" i="4"/>
  <c r="M365" i="4"/>
  <c r="M362" i="4"/>
  <c r="M359" i="4"/>
  <c r="M355" i="4"/>
  <c r="M352" i="4"/>
  <c r="M349" i="4"/>
  <c r="M346" i="4"/>
  <c r="M343" i="4"/>
  <c r="M340" i="4"/>
  <c r="M339" i="4"/>
  <c r="M338" i="4"/>
  <c r="M336" i="4"/>
  <c r="M333" i="4"/>
  <c r="M328" i="4"/>
  <c r="M325" i="4"/>
  <c r="M324" i="4"/>
  <c r="M323" i="4"/>
  <c r="M320" i="4"/>
  <c r="M317" i="4"/>
  <c r="M312" i="4"/>
  <c r="M311" i="4"/>
  <c r="M308" i="4"/>
  <c r="M305" i="4"/>
  <c r="M302" i="4"/>
  <c r="M299" i="4"/>
  <c r="M296" i="4"/>
  <c r="M293" i="4"/>
  <c r="M290" i="4"/>
  <c r="M289" i="4"/>
  <c r="M283" i="4"/>
  <c r="M280" i="4"/>
  <c r="M279" i="4"/>
  <c r="M276" i="4"/>
  <c r="M273" i="4"/>
  <c r="M266" i="4"/>
  <c r="M263" i="4"/>
  <c r="M260" i="4"/>
  <c r="M257" i="4"/>
  <c r="M254" i="4"/>
  <c r="M251" i="4"/>
  <c r="M248" i="4"/>
  <c r="M245" i="4"/>
  <c r="M242" i="4"/>
  <c r="M240" i="4"/>
  <c r="M239" i="4"/>
  <c r="M234" i="4"/>
  <c r="M233" i="4"/>
  <c r="M230" i="4"/>
  <c r="M228" i="4"/>
  <c r="M716" i="4"/>
  <c r="M715" i="4"/>
  <c r="M711" i="4"/>
  <c r="M707" i="4"/>
  <c r="M705" i="4"/>
  <c r="M703" i="4"/>
  <c r="M702" i="4"/>
  <c r="M699" i="4"/>
  <c r="M694" i="4"/>
  <c r="M692" i="4"/>
  <c r="M690" i="4"/>
  <c r="M689" i="4"/>
  <c r="M684" i="4"/>
  <c r="M681" i="4"/>
  <c r="M678" i="4"/>
  <c r="M676" i="4"/>
  <c r="M674" i="4"/>
  <c r="M672" i="4"/>
  <c r="M670" i="4"/>
  <c r="M668" i="4"/>
  <c r="M666" i="4"/>
  <c r="M664" i="4"/>
  <c r="M660" i="4"/>
  <c r="M657" i="4"/>
  <c r="M655" i="4"/>
  <c r="M653" i="4"/>
  <c r="M651" i="4"/>
  <c r="M649" i="4"/>
  <c r="M647" i="4"/>
  <c r="M645" i="4"/>
  <c r="M643" i="4"/>
  <c r="M641" i="4"/>
  <c r="M639" i="4"/>
  <c r="M637" i="4"/>
  <c r="M635" i="4"/>
  <c r="M633" i="4"/>
  <c r="M631" i="4"/>
  <c r="M627" i="4"/>
  <c r="M625" i="4"/>
  <c r="M623" i="4"/>
  <c r="M621" i="4"/>
  <c r="M619" i="4"/>
  <c r="M614" i="4"/>
  <c r="M612" i="4"/>
  <c r="M611" i="4"/>
  <c r="M609" i="4"/>
  <c r="M608" i="4"/>
  <c r="M606" i="4"/>
  <c r="M603" i="4"/>
  <c r="M598" i="4"/>
  <c r="M597" i="4"/>
  <c r="M594" i="4"/>
  <c r="M593" i="4"/>
  <c r="M590" i="4"/>
  <c r="M587" i="4"/>
  <c r="M585" i="4"/>
  <c r="M580" i="4"/>
  <c r="M532" i="4"/>
  <c r="M531" i="4"/>
  <c r="M527" i="4"/>
  <c r="M522" i="4"/>
  <c r="M521" i="4"/>
  <c r="M515" i="4"/>
  <c r="M510" i="4"/>
  <c r="M507" i="4"/>
  <c r="M504" i="4"/>
  <c r="M501" i="4"/>
  <c r="M498" i="4"/>
  <c r="M495" i="4"/>
  <c r="M492" i="4"/>
  <c r="M489" i="4"/>
  <c r="M486" i="4"/>
  <c r="M483" i="4"/>
  <c r="M480" i="4"/>
  <c r="M742" i="4"/>
  <c r="M718" i="4"/>
  <c r="M717" i="4"/>
  <c r="M714" i="4"/>
  <c r="M712" i="4"/>
  <c r="M710" i="4"/>
  <c r="M708" i="4"/>
  <c r="M706" i="4"/>
  <c r="M704" i="4"/>
  <c r="M700" i="4"/>
  <c r="M698" i="4"/>
  <c r="M696" i="4"/>
  <c r="M693" i="4"/>
  <c r="M691" i="4"/>
  <c r="M688" i="4"/>
  <c r="M685" i="4"/>
  <c r="M682" i="4"/>
  <c r="M679" i="4"/>
  <c r="M677" i="4"/>
  <c r="M675" i="4"/>
  <c r="M673" i="4"/>
  <c r="M671" i="4"/>
  <c r="M669" i="4"/>
  <c r="M667" i="4"/>
  <c r="M665" i="4"/>
  <c r="M661" i="4"/>
  <c r="M659" i="4"/>
  <c r="M658" i="4"/>
  <c r="M656" i="4"/>
  <c r="M654" i="4"/>
  <c r="M652" i="4"/>
  <c r="M650" i="4"/>
  <c r="M648" i="4"/>
  <c r="M646" i="4"/>
  <c r="M644" i="4"/>
  <c r="M642" i="4"/>
  <c r="M640" i="4"/>
  <c r="M638" i="4"/>
  <c r="M636" i="4"/>
  <c r="M634" i="4"/>
  <c r="M632" i="4"/>
  <c r="M630" i="4"/>
  <c r="M628" i="4"/>
  <c r="M626" i="4"/>
  <c r="M624" i="4"/>
  <c r="M622" i="4"/>
  <c r="M620" i="4"/>
  <c r="M618" i="4"/>
  <c r="M615" i="4"/>
  <c r="M613" i="4"/>
  <c r="M610" i="4"/>
  <c r="M607" i="4"/>
  <c r="M604" i="4"/>
  <c r="M601" i="4"/>
  <c r="M600" i="4"/>
  <c r="M595" i="4"/>
  <c r="M592" i="4"/>
  <c r="M591" i="4"/>
  <c r="M586" i="4"/>
  <c r="M583" i="4"/>
  <c r="M582" i="4"/>
  <c r="M579" i="4"/>
  <c r="M577" i="4"/>
  <c r="M575" i="4"/>
  <c r="M573" i="4"/>
  <c r="M571" i="4"/>
  <c r="M569" i="4"/>
  <c r="M567" i="4"/>
  <c r="M565" i="4"/>
  <c r="M563" i="4"/>
  <c r="M561" i="4"/>
  <c r="M559" i="4"/>
  <c r="M557" i="4"/>
  <c r="M555" i="4"/>
  <c r="M553" i="4"/>
  <c r="M551" i="4"/>
  <c r="M549" i="4"/>
  <c r="M547" i="4"/>
  <c r="M545" i="4"/>
  <c r="M542" i="4"/>
  <c r="M540" i="4"/>
  <c r="M538" i="4"/>
  <c r="M537" i="4"/>
  <c r="M535" i="4"/>
  <c r="M533" i="4"/>
  <c r="M530" i="4"/>
  <c r="M525" i="4"/>
  <c r="M519" i="4"/>
  <c r="M516" i="4"/>
  <c r="M513" i="4"/>
  <c r="M512" i="4"/>
  <c r="M511" i="4"/>
  <c r="M509" i="4"/>
  <c r="M508" i="4"/>
  <c r="M503" i="4"/>
  <c r="M502" i="4"/>
  <c r="M500" i="4"/>
  <c r="M497" i="4"/>
  <c r="M494" i="4"/>
  <c r="M491" i="4"/>
  <c r="M488" i="4"/>
  <c r="M485" i="4"/>
  <c r="M482" i="4"/>
  <c r="M479" i="4"/>
  <c r="M713" i="4"/>
  <c r="M695" i="4"/>
  <c r="M687" i="4"/>
  <c r="M686" i="4"/>
  <c r="M683" i="4"/>
  <c r="M680" i="4"/>
  <c r="M617" i="4"/>
  <c r="M616" i="4"/>
  <c r="M605" i="4"/>
  <c r="M602" i="4"/>
  <c r="M599" i="4"/>
  <c r="M596" i="4"/>
  <c r="M589" i="4"/>
  <c r="M588" i="4"/>
  <c r="M584" i="4"/>
  <c r="M581" i="4"/>
  <c r="M578" i="4"/>
  <c r="M576" i="4"/>
  <c r="M574" i="4"/>
  <c r="M572" i="4"/>
  <c r="M570" i="4"/>
  <c r="M568" i="4"/>
  <c r="M566" i="4"/>
  <c r="M564" i="4"/>
  <c r="M562" i="4"/>
  <c r="M560" i="4"/>
  <c r="M558" i="4"/>
  <c r="M556" i="4"/>
  <c r="M554" i="4"/>
  <c r="M552" i="4"/>
  <c r="M550" i="4"/>
  <c r="M548" i="4"/>
  <c r="M546" i="4"/>
  <c r="M543" i="4"/>
  <c r="M541" i="4"/>
  <c r="M539" i="4"/>
  <c r="M536" i="4"/>
  <c r="M534" i="4"/>
  <c r="M528" i="4"/>
  <c r="M526" i="4"/>
  <c r="M524" i="4"/>
  <c r="M523" i="4"/>
  <c r="M520" i="4"/>
  <c r="M518" i="4"/>
  <c r="M517" i="4"/>
  <c r="M514" i="4"/>
  <c r="M506" i="4"/>
  <c r="M505" i="4"/>
  <c r="M499" i="4"/>
  <c r="M496" i="4"/>
  <c r="M493" i="4"/>
  <c r="M490" i="4"/>
  <c r="M487" i="4"/>
  <c r="M484" i="4"/>
  <c r="M481" i="4"/>
  <c r="M478" i="4"/>
  <c r="M220" i="4"/>
  <c r="M225" i="4"/>
  <c r="M222" i="4"/>
  <c r="M224" i="4"/>
  <c r="M223" i="4"/>
  <c r="M221" i="4"/>
  <c r="M204" i="4"/>
  <c r="M200" i="4"/>
  <c r="M197" i="4"/>
  <c r="M194" i="4"/>
  <c r="M192" i="4"/>
  <c r="M191" i="4"/>
  <c r="M188" i="4"/>
  <c r="M185" i="4"/>
  <c r="M182" i="4"/>
  <c r="M179" i="4"/>
  <c r="M177" i="4"/>
  <c r="M176" i="4"/>
  <c r="M174" i="4"/>
  <c r="M173" i="4"/>
  <c r="M170" i="4"/>
  <c r="M167" i="4"/>
  <c r="M164" i="4"/>
  <c r="M162" i="4"/>
  <c r="M160" i="4"/>
  <c r="M158" i="4"/>
  <c r="M156" i="4"/>
  <c r="M153" i="4"/>
  <c r="M151" i="4"/>
  <c r="M149" i="4"/>
  <c r="M147" i="4"/>
  <c r="M144" i="4"/>
  <c r="M141" i="4"/>
  <c r="M138" i="4"/>
  <c r="M136" i="4"/>
  <c r="M135" i="4"/>
  <c r="M132" i="4"/>
  <c r="M129" i="4"/>
  <c r="M126" i="4"/>
  <c r="M123" i="4"/>
  <c r="M120" i="4"/>
  <c r="M115" i="4"/>
  <c r="M112" i="4"/>
  <c r="M111" i="4"/>
  <c r="M106" i="4"/>
  <c r="M105" i="4"/>
  <c r="M102" i="4"/>
  <c r="M99" i="4"/>
  <c r="M96" i="4"/>
  <c r="M91" i="4"/>
  <c r="M88" i="4"/>
  <c r="M85" i="4"/>
  <c r="M82" i="4"/>
  <c r="M79" i="4"/>
  <c r="M76" i="4"/>
  <c r="M70" i="4"/>
  <c r="M67" i="4"/>
  <c r="M64" i="4"/>
  <c r="M58" i="4"/>
  <c r="M57" i="4"/>
  <c r="M52" i="4"/>
  <c r="M49" i="4"/>
  <c r="M43" i="4"/>
  <c r="M40" i="4"/>
  <c r="M37" i="4"/>
  <c r="M34" i="4"/>
  <c r="M31" i="4"/>
  <c r="M28" i="4"/>
  <c r="M25" i="4"/>
  <c r="M16" i="4"/>
  <c r="M15" i="4"/>
  <c r="M14" i="4"/>
  <c r="M12" i="4"/>
  <c r="M10" i="4"/>
  <c r="M8" i="4"/>
  <c r="M6" i="4"/>
  <c r="M3" i="4"/>
  <c r="M739" i="4"/>
  <c r="M219" i="4"/>
  <c r="M218" i="4"/>
  <c r="M215" i="4"/>
  <c r="M213" i="4"/>
  <c r="M211" i="4"/>
  <c r="M209" i="4"/>
  <c r="M207" i="4"/>
  <c r="M206" i="4"/>
  <c r="M201" i="4"/>
  <c r="M193" i="4"/>
  <c r="M190" i="4"/>
  <c r="M187" i="4"/>
  <c r="M186" i="4"/>
  <c r="M184" i="4"/>
  <c r="M183" i="4"/>
  <c r="M180" i="4"/>
  <c r="M171" i="4"/>
  <c r="M168" i="4"/>
  <c r="M163" i="4"/>
  <c r="M142" i="4"/>
  <c r="M139" i="4"/>
  <c r="M133" i="4"/>
  <c r="M130" i="4"/>
  <c r="M125" i="4"/>
  <c r="M122" i="4"/>
  <c r="M119" i="4"/>
  <c r="M116" i="4"/>
  <c r="M113" i="4"/>
  <c r="M110" i="4"/>
  <c r="M107" i="4"/>
  <c r="M104" i="4"/>
  <c r="M101" i="4"/>
  <c r="M98" i="4"/>
  <c r="M95" i="4"/>
  <c r="M92" i="4"/>
  <c r="M87" i="4"/>
  <c r="M86" i="4"/>
  <c r="M81" i="4"/>
  <c r="M78" i="4"/>
  <c r="M75" i="4"/>
  <c r="M73" i="4"/>
  <c r="M72" i="4"/>
  <c r="M69" i="4"/>
  <c r="M66" i="4"/>
  <c r="M63" i="4"/>
  <c r="M61" i="4"/>
  <c r="M60" i="4"/>
  <c r="M55" i="4"/>
  <c r="M54" i="4"/>
  <c r="M51" i="4"/>
  <c r="M48" i="4"/>
  <c r="M46" i="4"/>
  <c r="M45" i="4"/>
  <c r="M42" i="4"/>
  <c r="M41" i="4"/>
  <c r="M36" i="4"/>
  <c r="M33" i="4"/>
  <c r="M32" i="4"/>
  <c r="M30" i="4"/>
  <c r="M29" i="4"/>
  <c r="M26" i="4"/>
  <c r="M22" i="4"/>
  <c r="M21" i="4"/>
  <c r="M19" i="4"/>
  <c r="M18" i="4"/>
  <c r="M17" i="4"/>
  <c r="M13" i="4"/>
  <c r="M11" i="4"/>
  <c r="M9" i="4"/>
  <c r="M7" i="4"/>
  <c r="M5" i="4"/>
  <c r="M4" i="4"/>
  <c r="M217" i="4"/>
  <c r="M216" i="4"/>
  <c r="M214" i="4"/>
  <c r="M212" i="4"/>
  <c r="M208" i="4"/>
  <c r="M205" i="4"/>
  <c r="M203" i="4"/>
  <c r="M202" i="4"/>
  <c r="M199" i="4"/>
  <c r="M198" i="4"/>
  <c r="M196" i="4"/>
  <c r="M195" i="4"/>
  <c r="M189" i="4"/>
  <c r="M181" i="4"/>
  <c r="M178" i="4"/>
  <c r="M175" i="4"/>
  <c r="M172" i="4"/>
  <c r="M169" i="4"/>
  <c r="M166" i="4"/>
  <c r="M165" i="4"/>
  <c r="M161" i="4"/>
  <c r="M159" i="4"/>
  <c r="M157" i="4"/>
  <c r="M155" i="4"/>
  <c r="M152" i="4"/>
  <c r="M150" i="4"/>
  <c r="M148" i="4"/>
  <c r="M146" i="4"/>
  <c r="M145" i="4"/>
  <c r="M143" i="4"/>
  <c r="M140" i="4"/>
  <c r="M137" i="4"/>
  <c r="M134" i="4"/>
  <c r="M131" i="4"/>
  <c r="M128" i="4"/>
  <c r="M127" i="4"/>
  <c r="M124" i="4"/>
  <c r="M121" i="4"/>
  <c r="M118" i="4"/>
  <c r="M117" i="4"/>
  <c r="M114" i="4"/>
  <c r="M109" i="4"/>
  <c r="M108" i="4"/>
  <c r="M103" i="4"/>
  <c r="M100" i="4"/>
  <c r="M97" i="4"/>
  <c r="M94" i="4"/>
  <c r="M93" i="4"/>
  <c r="M90" i="4"/>
  <c r="M89" i="4"/>
  <c r="M84" i="4"/>
  <c r="M83" i="4"/>
  <c r="M80" i="4"/>
  <c r="M77" i="4"/>
  <c r="M74" i="4"/>
  <c r="M71" i="4"/>
  <c r="M68" i="4"/>
  <c r="M65" i="4"/>
  <c r="M62" i="4"/>
  <c r="M59" i="4"/>
  <c r="M56" i="4"/>
  <c r="M53" i="4"/>
  <c r="M50" i="4"/>
  <c r="M47" i="4"/>
  <c r="M44" i="4"/>
  <c r="M39" i="4"/>
  <c r="M38" i="4"/>
  <c r="M35" i="4"/>
  <c r="M27" i="4"/>
  <c r="M24" i="4"/>
  <c r="M23" i="4"/>
  <c r="G22" i="1" s="1"/>
  <c r="M20" i="4"/>
  <c r="O1001" i="4"/>
  <c r="P1001" i="4"/>
  <c r="O1000" i="4"/>
  <c r="P1000" i="4"/>
  <c r="P999" i="4"/>
  <c r="O999" i="4"/>
  <c r="O998" i="4"/>
  <c r="P998" i="4"/>
  <c r="P997" i="4"/>
  <c r="O997" i="4"/>
  <c r="O996" i="4"/>
  <c r="P996" i="4"/>
  <c r="O995" i="4"/>
  <c r="P995" i="4"/>
  <c r="O994" i="4"/>
  <c r="P994" i="4"/>
  <c r="P993" i="4"/>
  <c r="O993" i="4"/>
  <c r="P992" i="4"/>
  <c r="O992" i="4"/>
  <c r="O991" i="4"/>
  <c r="P991" i="4"/>
  <c r="O990" i="4"/>
  <c r="P990" i="4"/>
  <c r="O989" i="4"/>
  <c r="P989" i="4"/>
  <c r="P988" i="4"/>
  <c r="O988" i="4"/>
  <c r="P987" i="4"/>
  <c r="O987" i="4"/>
  <c r="P986" i="4"/>
  <c r="O986" i="4"/>
  <c r="O985" i="4"/>
  <c r="P985" i="4"/>
  <c r="P984" i="4"/>
  <c r="O984" i="4"/>
  <c r="O983" i="4"/>
  <c r="P983" i="4"/>
  <c r="P982" i="4"/>
  <c r="O982" i="4"/>
  <c r="P981" i="4"/>
  <c r="O981" i="4"/>
  <c r="O980" i="4"/>
  <c r="P980" i="4"/>
  <c r="O979" i="4"/>
  <c r="P979" i="4"/>
  <c r="O978" i="4"/>
  <c r="P978" i="4"/>
  <c r="P977" i="4"/>
  <c r="O977" i="4"/>
  <c r="O976" i="4"/>
  <c r="P976" i="4"/>
  <c r="P975" i="4"/>
  <c r="O975" i="4"/>
  <c r="P974" i="4"/>
  <c r="O974" i="4"/>
  <c r="P973" i="4"/>
  <c r="O973" i="4"/>
  <c r="P972" i="4"/>
  <c r="O972" i="4"/>
  <c r="P971" i="4"/>
  <c r="O971" i="4"/>
  <c r="O970" i="4"/>
  <c r="P970" i="4"/>
  <c r="O969" i="4"/>
  <c r="P969" i="4"/>
  <c r="P968" i="4"/>
  <c r="O968" i="4"/>
  <c r="P967" i="4"/>
  <c r="O967" i="4"/>
  <c r="O966" i="4"/>
  <c r="P966" i="4"/>
  <c r="P965" i="4"/>
  <c r="O965" i="4"/>
  <c r="P964" i="4"/>
  <c r="O964" i="4"/>
  <c r="O963" i="4"/>
  <c r="P963" i="4"/>
  <c r="O962" i="4"/>
  <c r="P962" i="4"/>
  <c r="O961" i="4"/>
  <c r="P961" i="4"/>
  <c r="O960" i="4"/>
  <c r="P960" i="4"/>
  <c r="P959" i="4"/>
  <c r="O959" i="4"/>
  <c r="O958" i="4"/>
  <c r="P958" i="4"/>
  <c r="O957" i="4"/>
  <c r="P957" i="4"/>
  <c r="O956" i="4"/>
  <c r="P956" i="4"/>
  <c r="O955" i="4"/>
  <c r="P955" i="4"/>
  <c r="O954" i="4"/>
  <c r="P954" i="4"/>
  <c r="O953" i="4"/>
  <c r="P953" i="4"/>
  <c r="O952" i="4"/>
  <c r="P952" i="4"/>
  <c r="P951" i="4"/>
  <c r="O951" i="4"/>
  <c r="O950" i="4"/>
  <c r="P950" i="4"/>
  <c r="O949" i="4"/>
  <c r="P949" i="4"/>
  <c r="P948" i="4"/>
  <c r="O948" i="4"/>
  <c r="O947" i="4"/>
  <c r="P947" i="4"/>
  <c r="O946" i="4"/>
  <c r="P946" i="4"/>
  <c r="P945" i="4"/>
  <c r="O945" i="4"/>
  <c r="O944" i="4"/>
  <c r="P944" i="4"/>
  <c r="P943" i="4"/>
  <c r="O943" i="4"/>
  <c r="P942" i="4"/>
  <c r="O942" i="4"/>
  <c r="P941" i="4"/>
  <c r="O941" i="4"/>
  <c r="P940" i="4"/>
  <c r="O940" i="4"/>
  <c r="O939" i="4"/>
  <c r="P939" i="4"/>
  <c r="O938" i="4"/>
  <c r="P938" i="4"/>
  <c r="O937" i="4"/>
  <c r="P937" i="4"/>
  <c r="O936" i="4"/>
  <c r="P936" i="4"/>
  <c r="P935" i="4"/>
  <c r="O935" i="4"/>
  <c r="P934" i="4"/>
  <c r="O934" i="4"/>
  <c r="P933" i="4"/>
  <c r="O933" i="4"/>
  <c r="P932" i="4"/>
  <c r="O932" i="4"/>
  <c r="P931" i="4"/>
  <c r="O931" i="4"/>
  <c r="P930" i="4"/>
  <c r="O930" i="4"/>
  <c r="O929" i="4"/>
  <c r="P929" i="4"/>
  <c r="O928" i="4"/>
  <c r="P928" i="4"/>
  <c r="P927" i="4"/>
  <c r="O927" i="4"/>
  <c r="O926" i="4"/>
  <c r="P926" i="4"/>
  <c r="O925" i="4"/>
  <c r="P925" i="4"/>
  <c r="P924" i="4"/>
  <c r="O924" i="4"/>
  <c r="P923" i="4"/>
  <c r="O923" i="4"/>
  <c r="P922" i="4"/>
  <c r="O922" i="4"/>
  <c r="P921" i="4"/>
  <c r="O921" i="4"/>
  <c r="P920" i="4"/>
  <c r="O920" i="4"/>
  <c r="O919" i="4"/>
  <c r="P919" i="4"/>
  <c r="P918" i="4"/>
  <c r="O918" i="4"/>
  <c r="P917" i="4"/>
  <c r="O917" i="4"/>
  <c r="O916" i="4"/>
  <c r="P916" i="4"/>
  <c r="O915" i="4"/>
  <c r="P915" i="4"/>
  <c r="P914" i="4"/>
  <c r="O914" i="4"/>
  <c r="O913" i="4"/>
  <c r="P913" i="4"/>
  <c r="O912" i="4"/>
  <c r="P912" i="4"/>
  <c r="O911" i="4"/>
  <c r="P911" i="4"/>
  <c r="O910" i="4"/>
  <c r="P910" i="4"/>
  <c r="P909" i="4"/>
  <c r="O909" i="4"/>
  <c r="P908" i="4"/>
  <c r="O908" i="4"/>
  <c r="P907" i="4"/>
  <c r="O907" i="4"/>
  <c r="O906" i="4"/>
  <c r="P906" i="4"/>
  <c r="P905" i="4"/>
  <c r="O905" i="4"/>
  <c r="P904" i="4"/>
  <c r="O904" i="4"/>
  <c r="O903" i="4"/>
  <c r="P903" i="4"/>
  <c r="P902" i="4"/>
  <c r="O902" i="4"/>
  <c r="O901" i="4"/>
  <c r="P901" i="4"/>
  <c r="O900" i="4"/>
  <c r="P900" i="4"/>
  <c r="P899" i="4"/>
  <c r="O899" i="4"/>
  <c r="O898" i="4"/>
  <c r="P898" i="4"/>
  <c r="P897" i="4"/>
  <c r="O897" i="4"/>
  <c r="O896" i="4"/>
  <c r="P896" i="4"/>
  <c r="P895" i="4"/>
  <c r="O895" i="4"/>
  <c r="O894" i="4"/>
  <c r="P894" i="4"/>
  <c r="O893" i="4"/>
  <c r="P893" i="4"/>
  <c r="O892" i="4"/>
  <c r="P892" i="4"/>
  <c r="O891" i="4"/>
  <c r="P891" i="4"/>
  <c r="O890" i="4"/>
  <c r="P890" i="4"/>
  <c r="P889" i="4"/>
  <c r="O889" i="4"/>
  <c r="P888" i="4"/>
  <c r="O888" i="4"/>
  <c r="O887" i="4"/>
  <c r="P887" i="4"/>
  <c r="P886" i="4"/>
  <c r="O886" i="4"/>
  <c r="P885" i="4"/>
  <c r="O885" i="4"/>
  <c r="O884" i="4"/>
  <c r="P884" i="4"/>
  <c r="P883" i="4"/>
  <c r="O883" i="4"/>
  <c r="O882" i="4"/>
  <c r="P882" i="4"/>
  <c r="P881" i="4"/>
  <c r="O881" i="4"/>
  <c r="O880" i="4"/>
  <c r="P880" i="4"/>
  <c r="O879" i="4"/>
  <c r="P879" i="4"/>
  <c r="P878" i="4"/>
  <c r="O878" i="4"/>
  <c r="O877" i="4"/>
  <c r="P877" i="4"/>
  <c r="P876" i="4"/>
  <c r="O876" i="4"/>
  <c r="P875" i="4"/>
  <c r="O875" i="4"/>
  <c r="O874" i="4"/>
  <c r="P874" i="4"/>
  <c r="O873" i="4"/>
  <c r="P873" i="4"/>
  <c r="P872" i="4"/>
  <c r="O872" i="4"/>
  <c r="P871" i="4"/>
  <c r="O871" i="4"/>
  <c r="P870" i="4"/>
  <c r="O870" i="4"/>
  <c r="O869" i="4"/>
  <c r="P869" i="4"/>
  <c r="P868" i="4"/>
  <c r="O868" i="4"/>
  <c r="O867" i="4"/>
  <c r="P867" i="4"/>
  <c r="P866" i="4"/>
  <c r="O866" i="4"/>
  <c r="O865" i="4"/>
  <c r="P865" i="4"/>
  <c r="O864" i="4"/>
  <c r="P864" i="4"/>
  <c r="P863" i="4"/>
  <c r="O863" i="4"/>
  <c r="P862" i="4"/>
  <c r="O862" i="4"/>
  <c r="O861" i="4"/>
  <c r="P861" i="4"/>
  <c r="P860" i="4"/>
  <c r="O860" i="4"/>
  <c r="O859" i="4"/>
  <c r="P859" i="4"/>
  <c r="P858" i="4"/>
  <c r="O858" i="4"/>
  <c r="O857" i="4"/>
  <c r="P857" i="4"/>
  <c r="O856" i="4"/>
  <c r="P856" i="4"/>
  <c r="O855" i="4"/>
  <c r="P855" i="4"/>
  <c r="P854" i="4"/>
  <c r="O854" i="4"/>
  <c r="P853" i="4"/>
  <c r="O853" i="4"/>
  <c r="O852" i="4"/>
  <c r="P852" i="4"/>
  <c r="O851" i="4"/>
  <c r="P851" i="4"/>
  <c r="O850" i="4"/>
  <c r="P850" i="4"/>
  <c r="O849" i="4"/>
  <c r="P849" i="4"/>
  <c r="O848" i="4"/>
  <c r="P848" i="4"/>
  <c r="O847" i="4"/>
  <c r="P847" i="4"/>
  <c r="P846" i="4"/>
  <c r="O846" i="4"/>
  <c r="O845" i="4"/>
  <c r="P845" i="4"/>
  <c r="O844" i="4"/>
  <c r="P844" i="4"/>
  <c r="O843" i="4"/>
  <c r="P843" i="4"/>
  <c r="P842" i="4"/>
  <c r="O842" i="4"/>
  <c r="P841" i="4"/>
  <c r="O841" i="4"/>
  <c r="O840" i="4"/>
  <c r="P840" i="4"/>
  <c r="P839" i="4"/>
  <c r="O839" i="4"/>
  <c r="P838" i="4"/>
  <c r="O838" i="4"/>
  <c r="O837" i="4"/>
  <c r="P837" i="4"/>
  <c r="P836" i="4"/>
  <c r="O836" i="4"/>
  <c r="O835" i="4"/>
  <c r="P835" i="4"/>
  <c r="P834" i="4"/>
  <c r="O834" i="4"/>
  <c r="O833" i="4"/>
  <c r="P833" i="4"/>
  <c r="P832" i="4"/>
  <c r="O832" i="4"/>
  <c r="P831" i="4"/>
  <c r="O831" i="4"/>
  <c r="P830" i="4"/>
  <c r="O830" i="4"/>
  <c r="P829" i="4"/>
  <c r="O829" i="4"/>
  <c r="O828" i="4"/>
  <c r="P828" i="4"/>
  <c r="P827" i="4"/>
  <c r="O827" i="4"/>
  <c r="O826" i="4"/>
  <c r="P826" i="4"/>
  <c r="O825" i="4"/>
  <c r="P825" i="4"/>
  <c r="P824" i="4"/>
  <c r="O824" i="4"/>
  <c r="O823" i="4"/>
  <c r="P823" i="4"/>
  <c r="O822" i="4"/>
  <c r="P822" i="4"/>
  <c r="O821" i="4"/>
  <c r="P821" i="4"/>
  <c r="O820" i="4"/>
  <c r="P820" i="4"/>
  <c r="O819" i="4"/>
  <c r="P819" i="4"/>
  <c r="O818" i="4"/>
  <c r="P818" i="4"/>
  <c r="P817" i="4"/>
  <c r="O817" i="4"/>
  <c r="O816" i="4"/>
  <c r="P816" i="4"/>
  <c r="P815" i="4"/>
  <c r="O815" i="4"/>
  <c r="O814" i="4"/>
  <c r="P814" i="4"/>
  <c r="O813" i="4"/>
  <c r="P813" i="4"/>
  <c r="O812" i="4"/>
  <c r="P812" i="4"/>
  <c r="P811" i="4"/>
  <c r="O811" i="4"/>
  <c r="P810" i="4"/>
  <c r="O810" i="4"/>
  <c r="P809" i="4"/>
  <c r="O809" i="4"/>
  <c r="O808" i="4"/>
  <c r="P808" i="4"/>
  <c r="O807" i="4"/>
  <c r="P807" i="4"/>
  <c r="O806" i="4"/>
  <c r="P806" i="4"/>
  <c r="O805" i="4"/>
  <c r="P805" i="4"/>
  <c r="O804" i="4"/>
  <c r="P804" i="4"/>
  <c r="P803" i="4"/>
  <c r="O803" i="4"/>
  <c r="O802" i="4"/>
  <c r="P802" i="4"/>
  <c r="O801" i="4"/>
  <c r="P801" i="4"/>
  <c r="P800" i="4"/>
  <c r="O800" i="4"/>
  <c r="P799" i="4"/>
  <c r="O799" i="4"/>
  <c r="P798" i="4"/>
  <c r="O798" i="4"/>
  <c r="O797" i="4"/>
  <c r="P797" i="4"/>
  <c r="O796" i="4"/>
  <c r="P796" i="4"/>
  <c r="P795" i="4"/>
  <c r="O795" i="4"/>
  <c r="P794" i="4"/>
  <c r="O794" i="4"/>
  <c r="P793" i="4"/>
  <c r="O793" i="4"/>
  <c r="O792" i="4"/>
  <c r="P792" i="4"/>
  <c r="P791" i="4"/>
  <c r="O791" i="4"/>
  <c r="P790" i="4"/>
  <c r="O790" i="4"/>
  <c r="P789" i="4"/>
  <c r="O789" i="4"/>
  <c r="P788" i="4"/>
  <c r="O788" i="4"/>
  <c r="O787" i="4"/>
  <c r="P787" i="4"/>
  <c r="P786" i="4"/>
  <c r="O786" i="4"/>
  <c r="P785" i="4"/>
  <c r="O785" i="4"/>
  <c r="O784" i="4"/>
  <c r="P784" i="4"/>
  <c r="O783" i="4"/>
  <c r="P783" i="4"/>
  <c r="O782" i="4"/>
  <c r="P782" i="4"/>
  <c r="P781" i="4"/>
  <c r="O781" i="4"/>
  <c r="O780" i="4"/>
  <c r="P780" i="4"/>
  <c r="P779" i="4"/>
  <c r="O779" i="4"/>
  <c r="O778" i="4"/>
  <c r="P778" i="4"/>
  <c r="P777" i="4"/>
  <c r="O777" i="4"/>
  <c r="O776" i="4"/>
  <c r="P776" i="4"/>
  <c r="P775" i="4"/>
  <c r="O775" i="4"/>
  <c r="P774" i="4"/>
  <c r="O774" i="4"/>
  <c r="O773" i="4"/>
  <c r="P773" i="4"/>
  <c r="O772" i="4"/>
  <c r="P772" i="4"/>
  <c r="P771" i="4"/>
  <c r="O771" i="4"/>
  <c r="O770" i="4"/>
  <c r="P770" i="4"/>
  <c r="P769" i="4"/>
  <c r="O769" i="4"/>
  <c r="O768" i="4"/>
  <c r="P768" i="4"/>
  <c r="O767" i="4"/>
  <c r="P767" i="4"/>
  <c r="O766" i="4"/>
  <c r="P766" i="4"/>
  <c r="P765" i="4"/>
  <c r="O765" i="4"/>
  <c r="O764" i="4"/>
  <c r="P764" i="4"/>
  <c r="P763" i="4"/>
  <c r="O763" i="4"/>
  <c r="O762" i="4"/>
  <c r="P762" i="4"/>
  <c r="O761" i="4"/>
  <c r="P761" i="4"/>
  <c r="O760" i="4"/>
  <c r="P760" i="4"/>
  <c r="P759" i="4"/>
  <c r="O759" i="4"/>
  <c r="P758" i="4"/>
  <c r="O758" i="4"/>
  <c r="P757" i="4"/>
  <c r="O757" i="4"/>
  <c r="P756" i="4"/>
  <c r="O756" i="4"/>
  <c r="P755" i="4"/>
  <c r="O755" i="4"/>
  <c r="P754" i="4"/>
  <c r="O754" i="4"/>
  <c r="O753" i="4"/>
  <c r="P753" i="4"/>
  <c r="P752" i="4"/>
  <c r="O752" i="4"/>
  <c r="P751" i="4"/>
  <c r="O751" i="4"/>
  <c r="O750" i="4"/>
  <c r="P750" i="4"/>
  <c r="P749" i="4"/>
  <c r="O749" i="4"/>
  <c r="G8" i="1"/>
  <c r="P748" i="4"/>
  <c r="L8" i="1"/>
  <c r="O748" i="4"/>
  <c r="C38" i="5"/>
  <c r="C40" i="5"/>
  <c r="C41" i="5"/>
  <c r="C35" i="5"/>
  <c r="C36" i="5"/>
  <c r="C37" i="5"/>
  <c r="C42" i="5"/>
  <c r="C39" i="5"/>
  <c r="M748" i="4"/>
  <c r="C4" i="8"/>
  <c r="C6" i="5"/>
  <c r="C9" i="5"/>
  <c r="C10" i="5"/>
  <c r="C11" i="5"/>
  <c r="C5" i="5"/>
  <c r="C7" i="5"/>
  <c r="C12" i="5"/>
  <c r="C8" i="5"/>
  <c r="C5" i="6"/>
  <c r="D21" i="1"/>
  <c r="N748" i="4"/>
  <c r="C22" i="1"/>
  <c r="B4" i="6"/>
  <c r="C4" i="6"/>
  <c r="F4" i="6"/>
  <c r="B5" i="6"/>
  <c r="D5" i="6" s="1"/>
  <c r="F5" i="6"/>
  <c r="H5" i="6"/>
  <c r="B6" i="6"/>
  <c r="C6" i="6"/>
  <c r="E6" i="6" s="1"/>
  <c r="F6" i="6"/>
  <c r="H6" i="6"/>
  <c r="D20" i="1"/>
  <c r="E20" i="1" s="1"/>
  <c r="C20" i="1"/>
  <c r="C21" i="1"/>
  <c r="D22" i="1"/>
  <c r="E22" i="1" s="1"/>
  <c r="C5" i="8"/>
  <c r="C21" i="5"/>
  <c r="C18" i="5"/>
  <c r="C16" i="5"/>
  <c r="C15" i="5"/>
  <c r="L13" i="1"/>
  <c r="C22" i="5"/>
  <c r="H4" i="6"/>
  <c r="O747" i="4"/>
  <c r="C19" i="5"/>
  <c r="C20" i="5"/>
  <c r="C17" i="5"/>
  <c r="M747" i="4"/>
  <c r="O746" i="4"/>
  <c r="P746" i="4"/>
  <c r="O745" i="4"/>
  <c r="P745" i="4"/>
  <c r="P744" i="4"/>
  <c r="O744" i="4"/>
  <c r="P743" i="4"/>
  <c r="O743" i="4"/>
  <c r="P742" i="4"/>
  <c r="O742" i="4"/>
  <c r="P741" i="4"/>
  <c r="O741" i="4"/>
  <c r="P740" i="4"/>
  <c r="O740" i="4"/>
  <c r="O739" i="4"/>
  <c r="P739" i="4"/>
  <c r="P738" i="4"/>
  <c r="O738" i="4"/>
  <c r="P737" i="4"/>
  <c r="O737" i="4"/>
  <c r="P736" i="4"/>
  <c r="O736" i="4"/>
  <c r="P735" i="4"/>
  <c r="O735" i="4"/>
  <c r="O734" i="4"/>
  <c r="P734" i="4"/>
  <c r="O733" i="4"/>
  <c r="P733" i="4"/>
  <c r="O732" i="4"/>
  <c r="P732" i="4"/>
  <c r="O731" i="4"/>
  <c r="P731" i="4"/>
  <c r="O730" i="4"/>
  <c r="P730" i="4"/>
  <c r="P729" i="4"/>
  <c r="O729" i="4"/>
  <c r="P728" i="4"/>
  <c r="O728" i="4"/>
  <c r="O727" i="4"/>
  <c r="P727" i="4"/>
  <c r="P726" i="4"/>
  <c r="O726" i="4"/>
  <c r="P725" i="4"/>
  <c r="O725" i="4"/>
  <c r="P724" i="4"/>
  <c r="O724" i="4"/>
  <c r="P723" i="4"/>
  <c r="O723" i="4"/>
  <c r="P722" i="4"/>
  <c r="O722" i="4"/>
  <c r="P721" i="4"/>
  <c r="O721" i="4"/>
  <c r="P720" i="4"/>
  <c r="O720" i="4"/>
  <c r="P719" i="4"/>
  <c r="O719" i="4"/>
  <c r="P718" i="4"/>
  <c r="O718" i="4"/>
  <c r="P717" i="4"/>
  <c r="O717" i="4"/>
  <c r="P716" i="4"/>
  <c r="O716" i="4"/>
  <c r="O715" i="4"/>
  <c r="P715" i="4"/>
  <c r="P714" i="4"/>
  <c r="O714" i="4"/>
  <c r="P713" i="4"/>
  <c r="O713" i="4"/>
  <c r="P712" i="4"/>
  <c r="O712" i="4"/>
  <c r="P711" i="4"/>
  <c r="O711" i="4"/>
  <c r="P710" i="4"/>
  <c r="O710" i="4"/>
  <c r="P709" i="4"/>
  <c r="O709" i="4"/>
  <c r="P708" i="4"/>
  <c r="O708" i="4"/>
  <c r="P707" i="4"/>
  <c r="O707" i="4"/>
  <c r="P706" i="4"/>
  <c r="O706" i="4"/>
  <c r="P705" i="4"/>
  <c r="O705" i="4"/>
  <c r="P704" i="4"/>
  <c r="O704" i="4"/>
  <c r="P703" i="4"/>
  <c r="O703" i="4"/>
  <c r="P702" i="4"/>
  <c r="O702" i="4"/>
  <c r="O701" i="4"/>
  <c r="P701" i="4"/>
  <c r="P700" i="4"/>
  <c r="O700" i="4"/>
  <c r="P699" i="4"/>
  <c r="O699" i="4"/>
  <c r="P698" i="4"/>
  <c r="O698" i="4"/>
  <c r="P697" i="4"/>
  <c r="O697" i="4"/>
  <c r="O696" i="4"/>
  <c r="P696" i="4"/>
  <c r="P695" i="4"/>
  <c r="O695" i="4"/>
  <c r="O694" i="4"/>
  <c r="P694" i="4"/>
  <c r="P693" i="4"/>
  <c r="O693" i="4"/>
  <c r="P692" i="4"/>
  <c r="O692" i="4"/>
  <c r="P691" i="4"/>
  <c r="O691" i="4"/>
  <c r="O690" i="4"/>
  <c r="P690" i="4"/>
  <c r="P689" i="4"/>
  <c r="O689" i="4"/>
  <c r="O688" i="4"/>
  <c r="P688" i="4"/>
  <c r="P687" i="4"/>
  <c r="O687" i="4"/>
  <c r="P686" i="4"/>
  <c r="O686" i="4"/>
  <c r="P685" i="4"/>
  <c r="O685" i="4"/>
  <c r="P684" i="4"/>
  <c r="O684" i="4"/>
  <c r="P683" i="4"/>
  <c r="O683" i="4"/>
  <c r="O682" i="4"/>
  <c r="P682" i="4"/>
  <c r="P681" i="4"/>
  <c r="O681" i="4"/>
  <c r="P680" i="4"/>
  <c r="O680" i="4"/>
  <c r="P679" i="4"/>
  <c r="O679" i="4"/>
  <c r="P678" i="4"/>
  <c r="O678" i="4"/>
  <c r="P677" i="4"/>
  <c r="O677" i="4"/>
  <c r="P676" i="4"/>
  <c r="O676" i="4"/>
  <c r="P675" i="4"/>
  <c r="O675" i="4"/>
  <c r="O674" i="4"/>
  <c r="P674" i="4"/>
  <c r="P673" i="4"/>
  <c r="O673" i="4"/>
  <c r="P672" i="4"/>
  <c r="O672" i="4"/>
  <c r="O671" i="4"/>
  <c r="P671" i="4"/>
  <c r="O670" i="4"/>
  <c r="P670" i="4"/>
  <c r="O669" i="4"/>
  <c r="P669" i="4"/>
  <c r="P668" i="4"/>
  <c r="O668" i="4"/>
  <c r="P667" i="4"/>
  <c r="O667" i="4"/>
  <c r="O666" i="4"/>
  <c r="P666" i="4"/>
  <c r="O665" i="4"/>
  <c r="P665" i="4"/>
  <c r="P664" i="4"/>
  <c r="O664" i="4"/>
  <c r="O663" i="4"/>
  <c r="P663" i="4"/>
  <c r="P662" i="4"/>
  <c r="O662" i="4"/>
  <c r="P661" i="4"/>
  <c r="O661" i="4"/>
  <c r="P660" i="4"/>
  <c r="O660" i="4"/>
  <c r="O659" i="4"/>
  <c r="P659" i="4"/>
  <c r="P658" i="4"/>
  <c r="O658" i="4"/>
  <c r="P657" i="4"/>
  <c r="O657" i="4"/>
  <c r="O656" i="4"/>
  <c r="P656" i="4"/>
  <c r="O655" i="4"/>
  <c r="P655" i="4"/>
  <c r="P654" i="4"/>
  <c r="O654" i="4"/>
  <c r="P653" i="4"/>
  <c r="O653" i="4"/>
  <c r="P652" i="4"/>
  <c r="O652" i="4"/>
  <c r="O651" i="4"/>
  <c r="P651" i="4"/>
  <c r="O650" i="4"/>
  <c r="P650" i="4"/>
  <c r="P649" i="4"/>
  <c r="O649" i="4"/>
  <c r="P648" i="4"/>
  <c r="O648" i="4"/>
  <c r="P647" i="4"/>
  <c r="O647" i="4"/>
  <c r="P646" i="4"/>
  <c r="O646" i="4"/>
  <c r="O645" i="4"/>
  <c r="P645" i="4"/>
  <c r="O644" i="4"/>
  <c r="P644" i="4"/>
  <c r="P643" i="4"/>
  <c r="O643" i="4"/>
  <c r="P642" i="4"/>
  <c r="O642" i="4"/>
  <c r="P641" i="4"/>
  <c r="O641" i="4"/>
  <c r="P640" i="4"/>
  <c r="O640" i="4"/>
  <c r="P639" i="4"/>
  <c r="O639" i="4"/>
  <c r="O638" i="4"/>
  <c r="P638" i="4"/>
  <c r="O637" i="4"/>
  <c r="P637" i="4"/>
  <c r="P636" i="4"/>
  <c r="O636" i="4"/>
  <c r="O635" i="4"/>
  <c r="P635" i="4"/>
  <c r="P634" i="4"/>
  <c r="O634" i="4"/>
  <c r="P633" i="4"/>
  <c r="O633" i="4"/>
  <c r="P632" i="4"/>
  <c r="O632" i="4"/>
  <c r="P631" i="4"/>
  <c r="O631" i="4"/>
  <c r="P630" i="4"/>
  <c r="O630" i="4"/>
  <c r="O629" i="4"/>
  <c r="P629" i="4"/>
  <c r="O628" i="4"/>
  <c r="P628" i="4"/>
  <c r="P627" i="4"/>
  <c r="O627" i="4"/>
  <c r="P626" i="4"/>
  <c r="O626" i="4"/>
  <c r="O625" i="4"/>
  <c r="P625" i="4"/>
  <c r="P624" i="4"/>
  <c r="O624" i="4"/>
  <c r="P623" i="4"/>
  <c r="O623" i="4"/>
  <c r="P622" i="4"/>
  <c r="O622" i="4"/>
  <c r="O621" i="4"/>
  <c r="P621" i="4"/>
  <c r="O620" i="4"/>
  <c r="P620" i="4"/>
  <c r="P619" i="4"/>
  <c r="O619" i="4"/>
  <c r="O618" i="4"/>
  <c r="P618" i="4"/>
  <c r="O617" i="4"/>
  <c r="P617" i="4"/>
  <c r="O616" i="4"/>
  <c r="P616" i="4"/>
  <c r="P615" i="4"/>
  <c r="O615" i="4"/>
  <c r="O614" i="4"/>
  <c r="P614" i="4"/>
  <c r="O613" i="4"/>
  <c r="P613" i="4"/>
  <c r="O612" i="4"/>
  <c r="P612" i="4"/>
  <c r="O611" i="4"/>
  <c r="P611" i="4"/>
  <c r="O610" i="4"/>
  <c r="P610" i="4"/>
  <c r="O609" i="4"/>
  <c r="P609" i="4"/>
  <c r="O608" i="4"/>
  <c r="P608" i="4"/>
  <c r="O607" i="4"/>
  <c r="P607" i="4"/>
  <c r="P606" i="4"/>
  <c r="O606" i="4"/>
  <c r="P605" i="4"/>
  <c r="O605" i="4"/>
  <c r="O604" i="4"/>
  <c r="P604" i="4"/>
  <c r="P603" i="4"/>
  <c r="O603" i="4"/>
  <c r="O602" i="4"/>
  <c r="P602" i="4"/>
  <c r="O601" i="4"/>
  <c r="P601" i="4"/>
  <c r="O600" i="4"/>
  <c r="P600" i="4"/>
  <c r="P599" i="4"/>
  <c r="O599" i="4"/>
  <c r="O598" i="4"/>
  <c r="P598" i="4"/>
  <c r="P597" i="4"/>
  <c r="O597" i="4"/>
  <c r="P596" i="4"/>
  <c r="O596" i="4"/>
  <c r="P595" i="4"/>
  <c r="O595" i="4"/>
  <c r="P594" i="4"/>
  <c r="O594" i="4"/>
  <c r="O593" i="4"/>
  <c r="P593" i="4"/>
  <c r="P592" i="4"/>
  <c r="O592" i="4"/>
  <c r="P591" i="4"/>
  <c r="O591" i="4"/>
  <c r="P590" i="4"/>
  <c r="O590" i="4"/>
  <c r="O589" i="4"/>
  <c r="P589" i="4"/>
  <c r="O588" i="4"/>
  <c r="P588" i="4"/>
  <c r="O587" i="4"/>
  <c r="P587" i="4"/>
  <c r="O586" i="4"/>
  <c r="P586" i="4"/>
  <c r="P585" i="4"/>
  <c r="O585" i="4"/>
  <c r="O584" i="4"/>
  <c r="P584" i="4"/>
  <c r="O583" i="4"/>
  <c r="P583" i="4"/>
  <c r="O582" i="4"/>
  <c r="P582" i="4"/>
  <c r="P581" i="4"/>
  <c r="O581" i="4"/>
  <c r="P580" i="4"/>
  <c r="O580" i="4"/>
  <c r="O579" i="4"/>
  <c r="P579" i="4"/>
  <c r="O578" i="4"/>
  <c r="P578" i="4"/>
  <c r="P577" i="4"/>
  <c r="O577" i="4"/>
  <c r="P576" i="4"/>
  <c r="O576" i="4"/>
  <c r="O575" i="4"/>
  <c r="P575" i="4"/>
  <c r="O574" i="4"/>
  <c r="P574" i="4"/>
  <c r="P573" i="4"/>
  <c r="O573" i="4"/>
  <c r="O572" i="4"/>
  <c r="P572" i="4"/>
  <c r="O571" i="4"/>
  <c r="P571" i="4"/>
  <c r="O570" i="4"/>
  <c r="P570" i="4"/>
  <c r="O569" i="4"/>
  <c r="P569" i="4"/>
  <c r="P568" i="4"/>
  <c r="O568" i="4"/>
  <c r="P567" i="4"/>
  <c r="O567" i="4"/>
  <c r="P566" i="4"/>
  <c r="O566" i="4"/>
  <c r="P565" i="4"/>
  <c r="O565" i="4"/>
  <c r="P564" i="4"/>
  <c r="O564" i="4"/>
  <c r="P563" i="4"/>
  <c r="O563" i="4"/>
  <c r="P562" i="4"/>
  <c r="O562" i="4"/>
  <c r="P561" i="4"/>
  <c r="O561" i="4"/>
  <c r="P560" i="4"/>
  <c r="O560" i="4"/>
  <c r="P559" i="4"/>
  <c r="O559" i="4"/>
  <c r="P558" i="4"/>
  <c r="O558" i="4"/>
  <c r="P557" i="4"/>
  <c r="O557" i="4"/>
  <c r="P556" i="4"/>
  <c r="O556" i="4"/>
  <c r="P555" i="4"/>
  <c r="O555" i="4"/>
  <c r="P554" i="4"/>
  <c r="O554" i="4"/>
  <c r="P553" i="4"/>
  <c r="O553" i="4"/>
  <c r="O552" i="4"/>
  <c r="P552" i="4"/>
  <c r="O551" i="4"/>
  <c r="P551" i="4"/>
  <c r="P550" i="4"/>
  <c r="O550" i="4"/>
  <c r="P549" i="4"/>
  <c r="O549" i="4"/>
  <c r="P548" i="4"/>
  <c r="O548" i="4"/>
  <c r="P547" i="4"/>
  <c r="O547" i="4"/>
  <c r="O546" i="4"/>
  <c r="P546" i="4"/>
  <c r="P545" i="4"/>
  <c r="O545" i="4"/>
  <c r="O544" i="4"/>
  <c r="P544" i="4"/>
  <c r="O543" i="4"/>
  <c r="P543" i="4"/>
  <c r="O542" i="4"/>
  <c r="P542" i="4"/>
  <c r="O541" i="4"/>
  <c r="P541" i="4"/>
  <c r="O540" i="4"/>
  <c r="P540" i="4"/>
  <c r="P539" i="4"/>
  <c r="O539" i="4"/>
  <c r="P538" i="4"/>
  <c r="O538" i="4"/>
  <c r="O537" i="4"/>
  <c r="P537" i="4"/>
  <c r="O536" i="4"/>
  <c r="P536" i="4"/>
  <c r="O535" i="4"/>
  <c r="P535" i="4"/>
  <c r="P534" i="4"/>
  <c r="O534" i="4"/>
  <c r="P533" i="4"/>
  <c r="O533" i="4"/>
  <c r="P532" i="4"/>
  <c r="O532" i="4"/>
  <c r="O531" i="4"/>
  <c r="P531" i="4"/>
  <c r="P530" i="4"/>
  <c r="O530" i="4"/>
  <c r="P529" i="4"/>
  <c r="O529" i="4"/>
  <c r="O528" i="4"/>
  <c r="P528" i="4"/>
  <c r="P527" i="4"/>
  <c r="O527" i="4"/>
  <c r="O526" i="4"/>
  <c r="P526" i="4"/>
  <c r="O525" i="4"/>
  <c r="P525" i="4"/>
  <c r="O524" i="4"/>
  <c r="P524" i="4"/>
  <c r="P523" i="4"/>
  <c r="O523" i="4"/>
  <c r="O522" i="4"/>
  <c r="P522" i="4"/>
  <c r="P521" i="4"/>
  <c r="O521" i="4"/>
  <c r="O520" i="4"/>
  <c r="P520" i="4"/>
  <c r="P519" i="4"/>
  <c r="O519" i="4"/>
  <c r="O518" i="4"/>
  <c r="P518" i="4"/>
  <c r="O517" i="4"/>
  <c r="P517" i="4"/>
  <c r="O516" i="4"/>
  <c r="P516" i="4"/>
  <c r="O515" i="4"/>
  <c r="P515" i="4"/>
  <c r="P514" i="4"/>
  <c r="O514" i="4"/>
  <c r="O513" i="4"/>
  <c r="P513" i="4"/>
  <c r="P512" i="4"/>
  <c r="O512" i="4"/>
  <c r="P511" i="4"/>
  <c r="O511" i="4"/>
  <c r="P510" i="4"/>
  <c r="O510" i="4"/>
  <c r="O509" i="4"/>
  <c r="P509" i="4"/>
  <c r="P508" i="4"/>
  <c r="O508" i="4"/>
  <c r="O507" i="4"/>
  <c r="P507" i="4"/>
  <c r="P506" i="4"/>
  <c r="O506" i="4"/>
  <c r="P505" i="4"/>
  <c r="O505" i="4"/>
  <c r="O504" i="4"/>
  <c r="P504" i="4"/>
  <c r="O503" i="4"/>
  <c r="P503" i="4"/>
  <c r="P502" i="4"/>
  <c r="O502" i="4"/>
  <c r="P501" i="4"/>
  <c r="O501" i="4"/>
  <c r="P500" i="4"/>
  <c r="O500" i="4"/>
  <c r="O499" i="4"/>
  <c r="P499" i="4"/>
  <c r="P498" i="4"/>
  <c r="O498" i="4"/>
  <c r="P497" i="4"/>
  <c r="O497" i="4"/>
  <c r="P496" i="4"/>
  <c r="O496" i="4"/>
  <c r="P495" i="4"/>
  <c r="O495" i="4"/>
  <c r="P494" i="4"/>
  <c r="O494" i="4"/>
  <c r="O493" i="4"/>
  <c r="P493" i="4"/>
  <c r="P492" i="4"/>
  <c r="O492" i="4"/>
  <c r="P491" i="4"/>
  <c r="O491" i="4"/>
  <c r="O490" i="4"/>
  <c r="P490" i="4"/>
  <c r="O489" i="4"/>
  <c r="P489" i="4"/>
  <c r="P488" i="4"/>
  <c r="O488" i="4"/>
  <c r="P487" i="4"/>
  <c r="O487" i="4"/>
  <c r="P486" i="4"/>
  <c r="O486" i="4"/>
  <c r="P485" i="4"/>
  <c r="O485" i="4"/>
  <c r="O484" i="4"/>
  <c r="P484" i="4"/>
  <c r="O483" i="4"/>
  <c r="P483" i="4"/>
  <c r="O482" i="4"/>
  <c r="P482" i="4"/>
  <c r="P481" i="4"/>
  <c r="O481" i="4"/>
  <c r="O480" i="4"/>
  <c r="P480" i="4"/>
  <c r="O479" i="4"/>
  <c r="P479" i="4"/>
  <c r="O478" i="4"/>
  <c r="P478" i="4"/>
  <c r="P477" i="4"/>
  <c r="O477" i="4"/>
  <c r="P476" i="4"/>
  <c r="O476" i="4"/>
  <c r="P475" i="4"/>
  <c r="O475" i="4"/>
  <c r="P474" i="4"/>
  <c r="O474" i="4"/>
  <c r="O473" i="4"/>
  <c r="P473" i="4"/>
  <c r="O472" i="4"/>
  <c r="P472" i="4"/>
  <c r="P471" i="4"/>
  <c r="O471" i="4"/>
  <c r="P470" i="4"/>
  <c r="O470" i="4"/>
  <c r="P469" i="4"/>
  <c r="O469" i="4"/>
  <c r="O468" i="4"/>
  <c r="P468" i="4"/>
  <c r="O467" i="4"/>
  <c r="P467" i="4"/>
  <c r="P466" i="4"/>
  <c r="O466" i="4"/>
  <c r="P465" i="4"/>
  <c r="O465" i="4"/>
  <c r="P464" i="4"/>
  <c r="O464" i="4"/>
  <c r="P463" i="4"/>
  <c r="O463" i="4"/>
  <c r="O462" i="4"/>
  <c r="P462" i="4"/>
  <c r="O461" i="4"/>
  <c r="P461" i="4"/>
  <c r="P460" i="4"/>
  <c r="O460" i="4"/>
  <c r="O459" i="4"/>
  <c r="P459" i="4"/>
  <c r="O458" i="4"/>
  <c r="P458" i="4"/>
  <c r="O457" i="4"/>
  <c r="P457" i="4"/>
  <c r="P456" i="4"/>
  <c r="O456" i="4"/>
  <c r="P455" i="4"/>
  <c r="O455" i="4"/>
  <c r="O454" i="4"/>
  <c r="P454" i="4"/>
  <c r="P453" i="4"/>
  <c r="O453" i="4"/>
  <c r="P452" i="4"/>
  <c r="O452" i="4"/>
  <c r="P451" i="4"/>
  <c r="O451" i="4"/>
  <c r="P450" i="4"/>
  <c r="O450" i="4"/>
  <c r="O449" i="4"/>
  <c r="P449" i="4"/>
  <c r="P448" i="4"/>
  <c r="O448" i="4"/>
  <c r="O447" i="4"/>
  <c r="P447" i="4"/>
  <c r="O446" i="4"/>
  <c r="P446" i="4"/>
  <c r="O445" i="4"/>
  <c r="P445" i="4"/>
  <c r="P444" i="4"/>
  <c r="O444" i="4"/>
  <c r="P443" i="4"/>
  <c r="O443" i="4"/>
  <c r="P442" i="4"/>
  <c r="O442" i="4"/>
  <c r="P441" i="4"/>
  <c r="O441" i="4"/>
  <c r="P440" i="4"/>
  <c r="O440" i="4"/>
  <c r="P439" i="4"/>
  <c r="O439" i="4"/>
  <c r="P438" i="4"/>
  <c r="O438" i="4"/>
  <c r="P437" i="4"/>
  <c r="O437" i="4"/>
  <c r="P436" i="4"/>
  <c r="O436" i="4"/>
  <c r="P435" i="4"/>
  <c r="O435" i="4"/>
  <c r="P434" i="4"/>
  <c r="O434" i="4"/>
  <c r="P433" i="4"/>
  <c r="O433" i="4"/>
  <c r="P432" i="4"/>
  <c r="O432" i="4"/>
  <c r="P431" i="4"/>
  <c r="O431" i="4"/>
  <c r="O430" i="4"/>
  <c r="P430" i="4"/>
  <c r="O429" i="4"/>
  <c r="P429" i="4"/>
  <c r="O428" i="4"/>
  <c r="P428" i="4"/>
  <c r="O427" i="4"/>
  <c r="P427" i="4"/>
  <c r="P426" i="4"/>
  <c r="O426" i="4"/>
  <c r="O425" i="4"/>
  <c r="P425" i="4"/>
  <c r="O424" i="4"/>
  <c r="P424" i="4"/>
  <c r="P423" i="4"/>
  <c r="O423" i="4"/>
  <c r="P422" i="4"/>
  <c r="O422" i="4"/>
  <c r="O421" i="4"/>
  <c r="P421" i="4"/>
  <c r="P420" i="4"/>
  <c r="O420" i="4"/>
  <c r="P419" i="4"/>
  <c r="O419" i="4"/>
  <c r="P418" i="4"/>
  <c r="O418" i="4"/>
  <c r="O417" i="4"/>
  <c r="P417" i="4"/>
  <c r="O416" i="4"/>
  <c r="P416" i="4"/>
  <c r="O415" i="4"/>
  <c r="P415" i="4"/>
  <c r="O414" i="4"/>
  <c r="P414" i="4"/>
  <c r="O413" i="4"/>
  <c r="P413" i="4"/>
  <c r="P412" i="4"/>
  <c r="O412" i="4"/>
  <c r="P411" i="4"/>
  <c r="O411" i="4"/>
  <c r="O410" i="4"/>
  <c r="P410" i="4"/>
  <c r="O409" i="4"/>
  <c r="P409" i="4"/>
  <c r="O408" i="4"/>
  <c r="P408" i="4"/>
  <c r="O407" i="4"/>
  <c r="P407" i="4"/>
  <c r="O406" i="4"/>
  <c r="P406" i="4"/>
  <c r="P405" i="4"/>
  <c r="O405" i="4"/>
  <c r="P404" i="4"/>
  <c r="O404" i="4"/>
  <c r="P403" i="4"/>
  <c r="O403" i="4"/>
  <c r="P402" i="4"/>
  <c r="O402" i="4"/>
  <c r="O401" i="4"/>
  <c r="P401" i="4"/>
  <c r="P400" i="4"/>
  <c r="O400" i="4"/>
  <c r="O399" i="4"/>
  <c r="P399" i="4"/>
  <c r="P398" i="4"/>
  <c r="O398" i="4"/>
  <c r="P397" i="4"/>
  <c r="O397" i="4"/>
  <c r="O396" i="4"/>
  <c r="P396" i="4"/>
  <c r="P395" i="4"/>
  <c r="O395" i="4"/>
  <c r="P394" i="4"/>
  <c r="O394" i="4"/>
  <c r="O393" i="4"/>
  <c r="P393" i="4"/>
  <c r="O392" i="4"/>
  <c r="P392" i="4"/>
  <c r="O391" i="4"/>
  <c r="P391" i="4"/>
  <c r="O390" i="4"/>
  <c r="P390" i="4"/>
  <c r="O389" i="4"/>
  <c r="P389" i="4"/>
  <c r="O388" i="4"/>
  <c r="P388" i="4"/>
  <c r="P387" i="4"/>
  <c r="O387" i="4"/>
  <c r="O386" i="4"/>
  <c r="P386" i="4"/>
  <c r="P385" i="4"/>
  <c r="O385" i="4"/>
  <c r="O384" i="4"/>
  <c r="P384" i="4"/>
  <c r="P383" i="4"/>
  <c r="O383" i="4"/>
  <c r="P382" i="4"/>
  <c r="O382" i="4"/>
  <c r="O381" i="4"/>
  <c r="P381" i="4"/>
  <c r="O380" i="4"/>
  <c r="P380" i="4"/>
  <c r="P379" i="4"/>
  <c r="O379" i="4"/>
  <c r="O378" i="4"/>
  <c r="P378" i="4"/>
  <c r="O377" i="4"/>
  <c r="P377" i="4"/>
  <c r="P376" i="4"/>
  <c r="O376" i="4"/>
  <c r="P375" i="4"/>
  <c r="O375" i="4"/>
  <c r="P374" i="4"/>
  <c r="O374" i="4"/>
  <c r="P373" i="4"/>
  <c r="O373" i="4"/>
  <c r="O372" i="4"/>
  <c r="P372" i="4"/>
  <c r="O371" i="4"/>
  <c r="P371" i="4"/>
  <c r="P370" i="4"/>
  <c r="O370" i="4"/>
  <c r="P369" i="4"/>
  <c r="O369" i="4"/>
  <c r="O368" i="4"/>
  <c r="P368" i="4"/>
  <c r="P367" i="4"/>
  <c r="O367" i="4"/>
  <c r="O366" i="4"/>
  <c r="P366" i="4"/>
  <c r="O365" i="4"/>
  <c r="P365" i="4"/>
  <c r="P364" i="4"/>
  <c r="O364" i="4"/>
  <c r="O363" i="4"/>
  <c r="P363" i="4"/>
  <c r="O362" i="4"/>
  <c r="P362" i="4"/>
  <c r="P361" i="4"/>
  <c r="O361" i="4"/>
  <c r="O360" i="4"/>
  <c r="P360" i="4"/>
  <c r="O359" i="4"/>
  <c r="P359" i="4"/>
  <c r="O358" i="4"/>
  <c r="P358" i="4"/>
  <c r="P357" i="4"/>
  <c r="O357" i="4"/>
  <c r="P356" i="4"/>
  <c r="O356" i="4"/>
  <c r="P355" i="4"/>
  <c r="O355" i="4"/>
  <c r="P354" i="4"/>
  <c r="O354" i="4"/>
  <c r="P353" i="4"/>
  <c r="O353" i="4"/>
  <c r="O352" i="4"/>
  <c r="P352" i="4"/>
  <c r="O351" i="4"/>
  <c r="P351" i="4"/>
  <c r="P350" i="4"/>
  <c r="O350" i="4"/>
  <c r="P349" i="4"/>
  <c r="O349" i="4"/>
  <c r="O348" i="4"/>
  <c r="P348" i="4"/>
  <c r="O347" i="4"/>
  <c r="P347" i="4"/>
  <c r="O346" i="4"/>
  <c r="P346" i="4"/>
  <c r="P345" i="4"/>
  <c r="O345" i="4"/>
  <c r="P344" i="4"/>
  <c r="O344" i="4"/>
  <c r="O343" i="4"/>
  <c r="P343" i="4"/>
  <c r="O342" i="4"/>
  <c r="P342" i="4"/>
  <c r="P341" i="4"/>
  <c r="O341" i="4"/>
  <c r="O340" i="4"/>
  <c r="P340" i="4"/>
  <c r="O339" i="4"/>
  <c r="P339" i="4"/>
  <c r="O338" i="4"/>
  <c r="P338" i="4"/>
  <c r="O337" i="4"/>
  <c r="P337" i="4"/>
  <c r="O336" i="4"/>
  <c r="P336" i="4"/>
  <c r="O335" i="4"/>
  <c r="P335" i="4"/>
  <c r="P334" i="4"/>
  <c r="O334" i="4"/>
  <c r="P333" i="4"/>
  <c r="O333" i="4"/>
  <c r="O332" i="4"/>
  <c r="P332" i="4"/>
  <c r="O331" i="4"/>
  <c r="P331" i="4"/>
  <c r="O330" i="4"/>
  <c r="P330" i="4"/>
  <c r="P329" i="4"/>
  <c r="O329" i="4"/>
  <c r="P328" i="4"/>
  <c r="O328" i="4"/>
  <c r="P327" i="4"/>
  <c r="O327" i="4"/>
  <c r="P326" i="4"/>
  <c r="O326" i="4"/>
  <c r="O325" i="4"/>
  <c r="P325" i="4"/>
  <c r="O324" i="4"/>
  <c r="P324" i="4"/>
  <c r="P323" i="4"/>
  <c r="O323" i="4"/>
  <c r="O322" i="4"/>
  <c r="P322" i="4"/>
  <c r="P321" i="4"/>
  <c r="O321" i="4"/>
  <c r="P320" i="4"/>
  <c r="O320" i="4"/>
  <c r="O319" i="4"/>
  <c r="P319" i="4"/>
  <c r="P318" i="4"/>
  <c r="O318" i="4"/>
  <c r="P317" i="4"/>
  <c r="O317" i="4"/>
  <c r="O316" i="4"/>
  <c r="P316" i="4"/>
  <c r="O315" i="4"/>
  <c r="P315" i="4"/>
  <c r="P314" i="4"/>
  <c r="O314" i="4"/>
  <c r="O313" i="4"/>
  <c r="P313" i="4"/>
  <c r="O312" i="4"/>
  <c r="P312" i="4"/>
  <c r="P311" i="4"/>
  <c r="O311" i="4"/>
  <c r="O310" i="4"/>
  <c r="P310" i="4"/>
  <c r="O309" i="4"/>
  <c r="P309" i="4"/>
  <c r="P308" i="4"/>
  <c r="O308" i="4"/>
  <c r="O307" i="4"/>
  <c r="P307" i="4"/>
  <c r="O306" i="4"/>
  <c r="P306" i="4"/>
  <c r="O305" i="4"/>
  <c r="P305" i="4"/>
  <c r="O304" i="4"/>
  <c r="P304" i="4"/>
  <c r="P303" i="4"/>
  <c r="O303" i="4"/>
  <c r="P302" i="4"/>
  <c r="O302" i="4"/>
  <c r="P301" i="4"/>
  <c r="O301" i="4"/>
  <c r="P300" i="4"/>
  <c r="O300" i="4"/>
  <c r="P299" i="4"/>
  <c r="O299" i="4"/>
  <c r="O298" i="4"/>
  <c r="P298" i="4"/>
  <c r="O297" i="4"/>
  <c r="P297" i="4"/>
  <c r="O296" i="4"/>
  <c r="P296" i="4"/>
  <c r="O295" i="4"/>
  <c r="P295" i="4"/>
  <c r="O294" i="4"/>
  <c r="P294" i="4"/>
  <c r="O293" i="4"/>
  <c r="P293" i="4"/>
  <c r="P292" i="4"/>
  <c r="O292" i="4"/>
  <c r="P291" i="4"/>
  <c r="O291" i="4"/>
  <c r="O290" i="4"/>
  <c r="P290" i="4"/>
  <c r="O289" i="4"/>
  <c r="P289" i="4"/>
  <c r="O288" i="4"/>
  <c r="P288" i="4"/>
  <c r="O287" i="4"/>
  <c r="P287" i="4"/>
  <c r="O286" i="4"/>
  <c r="P286" i="4"/>
  <c r="P285" i="4"/>
  <c r="O285" i="4"/>
  <c r="O284" i="4"/>
  <c r="P284" i="4"/>
  <c r="O283" i="4"/>
  <c r="P283" i="4"/>
  <c r="P282" i="4"/>
  <c r="O282" i="4"/>
  <c r="P281" i="4"/>
  <c r="O281" i="4"/>
  <c r="P280" i="4"/>
  <c r="O280" i="4"/>
  <c r="P279" i="4"/>
  <c r="O279" i="4"/>
  <c r="P278" i="4"/>
  <c r="O278" i="4"/>
  <c r="P277" i="4"/>
  <c r="O277" i="4"/>
  <c r="P276" i="4"/>
  <c r="O276" i="4"/>
  <c r="O275" i="4"/>
  <c r="P275" i="4"/>
  <c r="P274" i="4"/>
  <c r="O274" i="4"/>
  <c r="P273" i="4"/>
  <c r="O273" i="4"/>
  <c r="O272" i="4"/>
  <c r="P272" i="4"/>
  <c r="P271" i="4"/>
  <c r="O271" i="4"/>
  <c r="P270" i="4"/>
  <c r="O270" i="4"/>
  <c r="P269" i="4"/>
  <c r="O269" i="4"/>
  <c r="O268" i="4"/>
  <c r="P268" i="4"/>
  <c r="P267" i="4"/>
  <c r="O267" i="4"/>
  <c r="O266" i="4"/>
  <c r="P266" i="4"/>
  <c r="P265" i="4"/>
  <c r="O265" i="4"/>
  <c r="P264" i="4"/>
  <c r="O264" i="4"/>
  <c r="P263" i="4"/>
  <c r="O263" i="4"/>
  <c r="O262" i="4"/>
  <c r="P262" i="4"/>
  <c r="P261" i="4"/>
  <c r="O261" i="4"/>
  <c r="O260" i="4"/>
  <c r="P260" i="4"/>
  <c r="O259" i="4"/>
  <c r="P259" i="4"/>
  <c r="O258" i="4"/>
  <c r="P258" i="4"/>
  <c r="O257" i="4"/>
  <c r="P257" i="4"/>
  <c r="O256" i="4"/>
  <c r="P256" i="4"/>
  <c r="O255" i="4"/>
  <c r="P255" i="4"/>
  <c r="O254" i="4"/>
  <c r="P254" i="4"/>
  <c r="O253" i="4"/>
  <c r="P253" i="4"/>
  <c r="O252" i="4"/>
  <c r="P252" i="4"/>
  <c r="O251" i="4"/>
  <c r="P251" i="4"/>
  <c r="P250" i="4"/>
  <c r="O250" i="4"/>
  <c r="P249" i="4"/>
  <c r="O249" i="4"/>
  <c r="O248" i="4"/>
  <c r="P248" i="4"/>
  <c r="O247" i="4"/>
  <c r="P247" i="4"/>
  <c r="P246" i="4"/>
  <c r="O246" i="4"/>
  <c r="O245" i="4"/>
  <c r="P245" i="4"/>
  <c r="O244" i="4"/>
  <c r="P244" i="4"/>
  <c r="O243" i="4"/>
  <c r="P243" i="4"/>
  <c r="O242" i="4"/>
  <c r="P242" i="4"/>
  <c r="O241" i="4"/>
  <c r="P241" i="4"/>
  <c r="O240" i="4"/>
  <c r="P240" i="4"/>
  <c r="P239" i="4"/>
  <c r="O239" i="4"/>
  <c r="O238" i="4"/>
  <c r="P238" i="4"/>
  <c r="P237" i="4"/>
  <c r="O237" i="4"/>
  <c r="P236" i="4"/>
  <c r="O236" i="4"/>
  <c r="O235" i="4"/>
  <c r="P235" i="4"/>
  <c r="O234" i="4"/>
  <c r="P234" i="4"/>
  <c r="O233" i="4"/>
  <c r="P233" i="4"/>
  <c r="P232" i="4"/>
  <c r="O232" i="4"/>
  <c r="O231" i="4"/>
  <c r="P231" i="4"/>
  <c r="P230" i="4"/>
  <c r="O230" i="4"/>
  <c r="O229" i="4"/>
  <c r="P229" i="4"/>
  <c r="P228" i="4"/>
  <c r="O228" i="4"/>
  <c r="O227" i="4"/>
  <c r="P227" i="4"/>
  <c r="P226" i="4"/>
  <c r="O226" i="4"/>
  <c r="P225" i="4"/>
  <c r="O225" i="4"/>
  <c r="P224" i="4"/>
  <c r="O224" i="4"/>
  <c r="P223" i="4"/>
  <c r="O223" i="4"/>
  <c r="P222" i="4"/>
  <c r="O222" i="4"/>
  <c r="P221" i="4"/>
  <c r="O221" i="4"/>
  <c r="P220" i="4"/>
  <c r="O220" i="4"/>
  <c r="P219" i="4"/>
  <c r="O219" i="4"/>
  <c r="P218" i="4"/>
  <c r="O218" i="4"/>
  <c r="P217" i="4"/>
  <c r="O217" i="4"/>
  <c r="P216" i="4"/>
  <c r="O216" i="4"/>
  <c r="P215" i="4"/>
  <c r="O215" i="4"/>
  <c r="P214" i="4"/>
  <c r="O214" i="4"/>
  <c r="P213" i="4"/>
  <c r="O213" i="4"/>
  <c r="P212" i="4"/>
  <c r="O212" i="4"/>
  <c r="O211" i="4"/>
  <c r="P211" i="4"/>
  <c r="E8" i="8"/>
  <c r="I55" i="1" s="1"/>
  <c r="G55" i="1"/>
  <c r="O210" i="4"/>
  <c r="M210" i="4"/>
  <c r="P209" i="4"/>
  <c r="O209" i="4"/>
  <c r="P208" i="4"/>
  <c r="O208" i="4"/>
  <c r="P207" i="4"/>
  <c r="O207" i="4"/>
  <c r="P206" i="4"/>
  <c r="O206" i="4"/>
  <c r="P205" i="4"/>
  <c r="O205" i="4"/>
  <c r="P204" i="4"/>
  <c r="O204" i="4"/>
  <c r="O203" i="4"/>
  <c r="P203" i="4"/>
  <c r="P202" i="4"/>
  <c r="O202" i="4"/>
  <c r="P201" i="4"/>
  <c r="O201" i="4"/>
  <c r="O200" i="4"/>
  <c r="P200" i="4"/>
  <c r="P199" i="4"/>
  <c r="O199" i="4"/>
  <c r="P198" i="4"/>
  <c r="O198" i="4"/>
  <c r="P197" i="4"/>
  <c r="O197" i="4"/>
  <c r="O196" i="4"/>
  <c r="P196" i="4"/>
  <c r="P195" i="4"/>
  <c r="O195" i="4"/>
  <c r="P194" i="4"/>
  <c r="O194" i="4"/>
  <c r="P193" i="4"/>
  <c r="O193" i="4"/>
  <c r="P192" i="4"/>
  <c r="O192" i="4"/>
  <c r="O191" i="4"/>
  <c r="P191" i="4"/>
  <c r="P190" i="4"/>
  <c r="O190" i="4"/>
  <c r="P189" i="4"/>
  <c r="O189" i="4"/>
  <c r="P188" i="4"/>
  <c r="O188" i="4"/>
  <c r="P187" i="4"/>
  <c r="O187" i="4"/>
  <c r="P186" i="4"/>
  <c r="O186" i="4"/>
  <c r="P185" i="4"/>
  <c r="O185" i="4"/>
  <c r="P184" i="4"/>
  <c r="O184" i="4"/>
  <c r="P183" i="4"/>
  <c r="O183" i="4"/>
  <c r="O182" i="4"/>
  <c r="P182" i="4"/>
  <c r="P181" i="4"/>
  <c r="O181" i="4"/>
  <c r="P180" i="4"/>
  <c r="O180" i="4"/>
  <c r="P179" i="4"/>
  <c r="O179" i="4"/>
  <c r="O178" i="4"/>
  <c r="P178" i="4"/>
  <c r="O177" i="4"/>
  <c r="P177" i="4"/>
  <c r="O176" i="4"/>
  <c r="P176" i="4"/>
  <c r="P175" i="4"/>
  <c r="O175" i="4"/>
  <c r="P174" i="4"/>
  <c r="O174" i="4"/>
  <c r="O173" i="4"/>
  <c r="P173" i="4"/>
  <c r="O172" i="4"/>
  <c r="P172" i="4"/>
  <c r="P171" i="4"/>
  <c r="O171" i="4"/>
  <c r="P170" i="4"/>
  <c r="O170" i="4"/>
  <c r="P169" i="4"/>
  <c r="O169" i="4"/>
  <c r="O168" i="4"/>
  <c r="P168" i="4"/>
  <c r="P167" i="4"/>
  <c r="O167" i="4"/>
  <c r="P166" i="4"/>
  <c r="O166" i="4"/>
  <c r="P165" i="4"/>
  <c r="O165" i="4"/>
  <c r="O164" i="4"/>
  <c r="P164" i="4"/>
  <c r="O163" i="4"/>
  <c r="P163" i="4"/>
  <c r="O162" i="4"/>
  <c r="P162" i="4"/>
  <c r="O161" i="4"/>
  <c r="P161" i="4"/>
  <c r="O160" i="4"/>
  <c r="P160" i="4"/>
  <c r="P159" i="4"/>
  <c r="O159" i="4"/>
  <c r="P158" i="4"/>
  <c r="O158" i="4"/>
  <c r="P157" i="4"/>
  <c r="O157" i="4"/>
  <c r="O156" i="4"/>
  <c r="P156" i="4"/>
  <c r="O155" i="4"/>
  <c r="P155" i="4"/>
  <c r="P154" i="4"/>
  <c r="O154" i="4"/>
  <c r="P153" i="4"/>
  <c r="O153" i="4"/>
  <c r="P152" i="4"/>
  <c r="O152" i="4"/>
  <c r="P151" i="4"/>
  <c r="O151" i="4"/>
  <c r="P150" i="4"/>
  <c r="O150" i="4"/>
  <c r="O149" i="4"/>
  <c r="P149" i="4"/>
  <c r="O148" i="4"/>
  <c r="P148" i="4"/>
  <c r="O147" i="4"/>
  <c r="P147" i="4"/>
  <c r="O146" i="4"/>
  <c r="P146" i="4"/>
  <c r="O145" i="4"/>
  <c r="P145" i="4"/>
  <c r="P144" i="4"/>
  <c r="O144" i="4"/>
  <c r="P143" i="4"/>
  <c r="O143" i="4"/>
  <c r="P142" i="4"/>
  <c r="O142" i="4"/>
  <c r="O141" i="4"/>
  <c r="P141" i="4"/>
  <c r="O140" i="4"/>
  <c r="P140" i="4"/>
  <c r="O139" i="4"/>
  <c r="P139" i="4"/>
  <c r="O138" i="4"/>
  <c r="P138" i="4"/>
  <c r="O137" i="4"/>
  <c r="P137" i="4"/>
  <c r="O136" i="4"/>
  <c r="P136" i="4"/>
  <c r="P135" i="4"/>
  <c r="O135" i="4"/>
  <c r="O134" i="4"/>
  <c r="P134" i="4"/>
  <c r="P133" i="4"/>
  <c r="O133" i="4"/>
  <c r="P132" i="4"/>
  <c r="O132" i="4"/>
  <c r="P131" i="4"/>
  <c r="O131" i="4"/>
  <c r="P130" i="4"/>
  <c r="O130" i="4"/>
  <c r="P129" i="4"/>
  <c r="O129" i="4"/>
  <c r="O128" i="4"/>
  <c r="P128" i="4"/>
  <c r="P127" i="4"/>
  <c r="O127" i="4"/>
  <c r="O126" i="4"/>
  <c r="P126" i="4"/>
  <c r="P125" i="4"/>
  <c r="O125" i="4"/>
  <c r="P124" i="4"/>
  <c r="O124" i="4"/>
  <c r="O123" i="4"/>
  <c r="P123" i="4"/>
  <c r="P122" i="4"/>
  <c r="O122" i="4"/>
  <c r="P121" i="4"/>
  <c r="O121" i="4"/>
  <c r="P120" i="4"/>
  <c r="O120" i="4"/>
  <c r="O119" i="4"/>
  <c r="P119" i="4"/>
  <c r="O118" i="4"/>
  <c r="P118" i="4"/>
  <c r="O117" i="4"/>
  <c r="P117" i="4"/>
  <c r="O116" i="4"/>
  <c r="P116" i="4"/>
  <c r="O115" i="4"/>
  <c r="P115" i="4"/>
  <c r="P114" i="4"/>
  <c r="O114" i="4"/>
  <c r="P113" i="4"/>
  <c r="O113" i="4"/>
  <c r="P112" i="4"/>
  <c r="O112" i="4"/>
  <c r="P111" i="4"/>
  <c r="O111" i="4"/>
  <c r="P110" i="4"/>
  <c r="O110" i="4"/>
  <c r="O109" i="4"/>
  <c r="P109" i="4"/>
  <c r="O108" i="4"/>
  <c r="P108" i="4"/>
  <c r="P107" i="4"/>
  <c r="O107" i="4"/>
  <c r="O106" i="4"/>
  <c r="P106" i="4"/>
  <c r="P105" i="4"/>
  <c r="O105" i="4"/>
  <c r="P104" i="4"/>
  <c r="O104" i="4"/>
  <c r="P103" i="4"/>
  <c r="O103" i="4"/>
  <c r="P102" i="4"/>
  <c r="O102" i="4"/>
  <c r="P101" i="4"/>
  <c r="O101" i="4"/>
  <c r="O100" i="4"/>
  <c r="P100" i="4"/>
  <c r="O99" i="4"/>
  <c r="P99" i="4"/>
  <c r="O98" i="4"/>
  <c r="P98" i="4"/>
  <c r="O97" i="4"/>
  <c r="P97" i="4"/>
  <c r="O96" i="4"/>
  <c r="P96" i="4"/>
  <c r="P95" i="4"/>
  <c r="O95" i="4"/>
  <c r="P94" i="4"/>
  <c r="O94" i="4"/>
  <c r="P93" i="4"/>
  <c r="O93" i="4"/>
  <c r="O92" i="4"/>
  <c r="P92" i="4"/>
  <c r="P91" i="4"/>
  <c r="O91" i="4"/>
  <c r="P90" i="4"/>
  <c r="O90" i="4"/>
  <c r="O89" i="4"/>
  <c r="P89" i="4"/>
  <c r="O88" i="4"/>
  <c r="P88" i="4"/>
  <c r="O87" i="4"/>
  <c r="P87" i="4"/>
  <c r="P86" i="4"/>
  <c r="O86" i="4"/>
  <c r="O85" i="4"/>
  <c r="P85" i="4"/>
  <c r="P84" i="4"/>
  <c r="O84" i="4"/>
  <c r="O83" i="4"/>
  <c r="P83" i="4"/>
  <c r="O82" i="4"/>
  <c r="P82" i="4"/>
  <c r="O81" i="4"/>
  <c r="P81" i="4"/>
  <c r="P80" i="4"/>
  <c r="O80" i="4"/>
  <c r="O79" i="4"/>
  <c r="P79" i="4"/>
  <c r="O78" i="4"/>
  <c r="P78" i="4"/>
  <c r="P77" i="4"/>
  <c r="O77" i="4"/>
  <c r="O76" i="4"/>
  <c r="P76" i="4"/>
  <c r="O75" i="4"/>
  <c r="P75" i="4"/>
  <c r="P74" i="4"/>
  <c r="O74" i="4"/>
  <c r="P73" i="4"/>
  <c r="O73" i="4"/>
  <c r="P72" i="4"/>
  <c r="O72" i="4"/>
  <c r="P71" i="4"/>
  <c r="O71" i="4"/>
  <c r="P70" i="4"/>
  <c r="O70" i="4"/>
  <c r="P69" i="4"/>
  <c r="O69" i="4"/>
  <c r="P68" i="4"/>
  <c r="O68" i="4"/>
  <c r="P67" i="4"/>
  <c r="O67" i="4"/>
  <c r="P66" i="4"/>
  <c r="O66" i="4"/>
  <c r="P65" i="4"/>
  <c r="O65" i="4"/>
  <c r="P64" i="4"/>
  <c r="O64" i="4"/>
  <c r="P63" i="4"/>
  <c r="O63" i="4"/>
  <c r="O62" i="4"/>
  <c r="P62" i="4"/>
  <c r="P61" i="4"/>
  <c r="O61" i="4"/>
  <c r="P60" i="4"/>
  <c r="O60" i="4"/>
  <c r="P59" i="4"/>
  <c r="O59" i="4"/>
  <c r="O58" i="4"/>
  <c r="P58" i="4"/>
  <c r="O57" i="4"/>
  <c r="P57" i="4"/>
  <c r="O56" i="4"/>
  <c r="P56" i="4"/>
  <c r="O55" i="4"/>
  <c r="P55" i="4"/>
  <c r="P54" i="4"/>
  <c r="O54" i="4"/>
  <c r="O53" i="4"/>
  <c r="P53" i="4"/>
  <c r="O52" i="4"/>
  <c r="P52" i="4"/>
  <c r="P51" i="4"/>
  <c r="O51" i="4"/>
  <c r="P50" i="4"/>
  <c r="O50" i="4"/>
  <c r="P49" i="4"/>
  <c r="O49" i="4"/>
  <c r="P48" i="4"/>
  <c r="O48" i="4"/>
  <c r="O47" i="4"/>
  <c r="P47" i="4"/>
  <c r="O46" i="4"/>
  <c r="P46" i="4"/>
  <c r="O45" i="4"/>
  <c r="P45" i="4"/>
  <c r="O44" i="4"/>
  <c r="P44" i="4"/>
  <c r="O43" i="4"/>
  <c r="P43" i="4"/>
  <c r="P42" i="4"/>
  <c r="O42" i="4"/>
  <c r="O41" i="4"/>
  <c r="P41" i="4"/>
  <c r="P40" i="4"/>
  <c r="O40" i="4"/>
  <c r="P39" i="4"/>
  <c r="O39" i="4"/>
  <c r="P38" i="4"/>
  <c r="O38" i="4"/>
  <c r="O37" i="4"/>
  <c r="P37" i="4"/>
  <c r="O36" i="4"/>
  <c r="P36" i="4"/>
  <c r="O35" i="4"/>
  <c r="P35" i="4"/>
  <c r="O34" i="4"/>
  <c r="P34" i="4"/>
  <c r="P33" i="4"/>
  <c r="O33" i="4"/>
  <c r="O32" i="4"/>
  <c r="P32" i="4"/>
  <c r="O31" i="4"/>
  <c r="P31" i="4"/>
  <c r="O30" i="4"/>
  <c r="P30" i="4"/>
  <c r="P29" i="4"/>
  <c r="O29" i="4"/>
  <c r="P28" i="4"/>
  <c r="O28" i="4"/>
  <c r="P27" i="4"/>
  <c r="O27" i="4"/>
  <c r="O26" i="4"/>
  <c r="P26" i="4"/>
  <c r="P25" i="4"/>
  <c r="O25" i="4"/>
  <c r="O24" i="4"/>
  <c r="P24" i="4"/>
  <c r="O23" i="4"/>
  <c r="P23" i="4"/>
  <c r="O22" i="4"/>
  <c r="P22" i="4"/>
  <c r="O21" i="4"/>
  <c r="P21" i="4"/>
  <c r="O20" i="4"/>
  <c r="P20" i="4"/>
  <c r="O19" i="4"/>
  <c r="P19" i="4"/>
  <c r="P18" i="4"/>
  <c r="O18" i="4"/>
  <c r="P17" i="4"/>
  <c r="O17" i="4"/>
  <c r="P16" i="4"/>
  <c r="O16" i="4"/>
  <c r="P15" i="4"/>
  <c r="O15" i="4"/>
  <c r="P14" i="4"/>
  <c r="O14" i="4"/>
  <c r="P13" i="4"/>
  <c r="O13" i="4"/>
  <c r="P12" i="4"/>
  <c r="O12" i="4"/>
  <c r="O11" i="4"/>
  <c r="P11" i="4"/>
  <c r="O10" i="4"/>
  <c r="P10" i="4"/>
  <c r="O9" i="4"/>
  <c r="P9" i="4"/>
  <c r="O8" i="4"/>
  <c r="P8" i="4"/>
  <c r="P7" i="4"/>
  <c r="O7" i="4"/>
  <c r="P6" i="4"/>
  <c r="O6" i="4"/>
  <c r="P5" i="4"/>
  <c r="O5" i="4"/>
  <c r="G5" i="6"/>
  <c r="O4" i="4"/>
  <c r="P4" i="4"/>
  <c r="O3" i="4"/>
  <c r="P3" i="4"/>
  <c r="P2" i="4"/>
  <c r="B8" i="9"/>
  <c r="O2" i="4"/>
  <c r="D4" i="7"/>
  <c r="F4" i="7" s="1"/>
  <c r="B6" i="7"/>
  <c r="G6" i="7" s="1"/>
  <c r="B8" i="7"/>
  <c r="G8" i="7" s="1"/>
  <c r="D9" i="7"/>
  <c r="F9" i="7" s="1"/>
  <c r="D11" i="7"/>
  <c r="F11" i="7" s="1"/>
  <c r="D13" i="7"/>
  <c r="F13" i="7" s="1"/>
  <c r="D15" i="7"/>
  <c r="F15" i="7" s="1"/>
  <c r="D17" i="7"/>
  <c r="F17" i="7" s="1"/>
  <c r="D19" i="7"/>
  <c r="F19" i="7" s="1"/>
  <c r="B21" i="7"/>
  <c r="G21" i="7" s="1"/>
  <c r="C31" i="1"/>
  <c r="D31" i="1" s="1"/>
  <c r="C32" i="1"/>
  <c r="D32" i="1" s="1"/>
  <c r="C33" i="1"/>
  <c r="D33" i="1" s="1"/>
  <c r="C36" i="1"/>
  <c r="D36" i="1" s="1"/>
  <c r="C37" i="1"/>
  <c r="D37" i="1" s="1"/>
  <c r="C39" i="1"/>
  <c r="D39" i="1" s="1"/>
  <c r="C40" i="1"/>
  <c r="D40" i="1" s="1"/>
  <c r="C42" i="1"/>
  <c r="D42" i="1" s="1"/>
  <c r="C44" i="1"/>
  <c r="D44" i="1" s="1"/>
  <c r="B5" i="7"/>
  <c r="G5" i="7" s="1"/>
  <c r="D6" i="7"/>
  <c r="F6" i="7" s="1"/>
  <c r="D8" i="7"/>
  <c r="F8" i="7" s="1"/>
  <c r="D10" i="7"/>
  <c r="F10" i="7" s="1"/>
  <c r="B12" i="7"/>
  <c r="G12" i="7" s="1"/>
  <c r="B14" i="7"/>
  <c r="G14" i="7" s="1"/>
  <c r="B17" i="7"/>
  <c r="G17" i="7" s="1"/>
  <c r="D18" i="7"/>
  <c r="F18" i="7" s="1"/>
  <c r="D21" i="7"/>
  <c r="F21" i="7" s="1"/>
  <c r="C45" i="1"/>
  <c r="D45" i="1" s="1"/>
  <c r="D5" i="7"/>
  <c r="F5" i="7" s="1"/>
  <c r="B7" i="7"/>
  <c r="G7" i="7" s="1"/>
  <c r="B9" i="7"/>
  <c r="G9" i="7" s="1"/>
  <c r="B11" i="7"/>
  <c r="G11" i="7" s="1"/>
  <c r="D12" i="7"/>
  <c r="F12" i="7" s="1"/>
  <c r="B15" i="7"/>
  <c r="G15" i="7" s="1"/>
  <c r="B16" i="7"/>
  <c r="G16" i="7" s="1"/>
  <c r="B18" i="7"/>
  <c r="G18" i="7" s="1"/>
  <c r="B20" i="7"/>
  <c r="G20" i="7" s="1"/>
  <c r="B4" i="7"/>
  <c r="G4" i="7" s="1"/>
  <c r="D7" i="7"/>
  <c r="F7" i="7" s="1"/>
  <c r="B10" i="7"/>
  <c r="G10" i="7" s="1"/>
  <c r="B13" i="7"/>
  <c r="G13" i="7" s="1"/>
  <c r="D14" i="7"/>
  <c r="F14" i="7" s="1"/>
  <c r="D16" i="7"/>
  <c r="F16" i="7" s="1"/>
  <c r="B19" i="7"/>
  <c r="G19" i="7" s="1"/>
  <c r="D20" i="7"/>
  <c r="F20" i="7" s="1"/>
  <c r="C29" i="1"/>
  <c r="D29" i="1" s="1"/>
  <c r="C30" i="1"/>
  <c r="D30" i="1" s="1"/>
  <c r="C34" i="1"/>
  <c r="D34" i="1" s="1"/>
  <c r="C35" i="1"/>
  <c r="D35" i="1" s="1"/>
  <c r="C38" i="1"/>
  <c r="D38" i="1" s="1"/>
  <c r="C41" i="1"/>
  <c r="D41" i="1" s="1"/>
  <c r="C43" i="1"/>
  <c r="D43" i="1" s="1"/>
  <c r="C46" i="1"/>
  <c r="D46" i="1" s="1"/>
  <c r="B7" i="9"/>
  <c r="M2" i="4"/>
  <c r="C7" i="8"/>
  <c r="G6" i="6" l="1"/>
  <c r="G21" i="1"/>
  <c r="E4" i="8"/>
  <c r="I54" i="1" s="1"/>
  <c r="G54" i="1"/>
  <c r="D4" i="6"/>
  <c r="B7" i="6"/>
  <c r="E4" i="6"/>
  <c r="C7" i="6"/>
  <c r="E7" i="6" s="1"/>
  <c r="E5" i="8"/>
  <c r="I51" i="1" s="1"/>
  <c r="G51" i="1"/>
  <c r="F22" i="1"/>
  <c r="I6" i="6"/>
  <c r="I5" i="6"/>
  <c r="F21" i="1"/>
  <c r="Q8" i="1"/>
  <c r="B9" i="9"/>
  <c r="I4" i="6"/>
  <c r="I7" i="6" s="1"/>
  <c r="F20" i="1"/>
  <c r="B12" i="9"/>
  <c r="C23" i="9"/>
  <c r="D23" i="9" s="1"/>
  <c r="E23" i="9" s="1"/>
  <c r="F23" i="9" s="1"/>
  <c r="C24" i="9"/>
  <c r="D24" i="9" s="1"/>
  <c r="E24" i="9" s="1"/>
  <c r="F24" i="9" s="1"/>
  <c r="C25" i="9"/>
  <c r="D25" i="9" s="1"/>
  <c r="E25" i="9" s="1"/>
  <c r="F25" i="9" s="1"/>
  <c r="M61" i="1"/>
  <c r="O61" i="1" s="1"/>
  <c r="M62" i="1"/>
  <c r="O62" i="1" s="1"/>
  <c r="M63" i="1"/>
  <c r="O63" i="1" s="1"/>
  <c r="M64" i="1"/>
  <c r="O64" i="1" s="1"/>
  <c r="M65" i="1"/>
  <c r="O65" i="1" s="1"/>
  <c r="C25" i="5"/>
  <c r="C26" i="5"/>
  <c r="C27" i="5"/>
  <c r="C28" i="5"/>
  <c r="C29" i="5"/>
  <c r="C30" i="5"/>
  <c r="C31" i="5"/>
  <c r="C6" i="8"/>
  <c r="C32" i="5"/>
  <c r="G4" i="6"/>
  <c r="G7" i="6" s="1"/>
  <c r="Q13" i="1"/>
  <c r="G20" i="1"/>
  <c r="G53" i="1"/>
  <c r="E7" i="8"/>
  <c r="I53" i="1" s="1"/>
  <c r="E5" i="6"/>
  <c r="E21" i="1"/>
  <c r="F7" i="6"/>
  <c r="H7" i="6"/>
  <c r="B13" i="1"/>
  <c r="D6" i="6"/>
  <c r="B13" i="9" l="1"/>
  <c r="B14" i="9" s="1"/>
  <c r="B15" i="9"/>
  <c r="B18" i="9" s="1"/>
  <c r="G13" i="1" s="1"/>
  <c r="E6" i="8"/>
  <c r="I52" i="1" s="1"/>
  <c r="G52" i="1"/>
  <c r="D7" i="6"/>
  <c r="B16" i="9" l="1"/>
  <c r="B17" i="9"/>
</calcChain>
</file>

<file path=xl/sharedStrings.xml><?xml version="1.0" encoding="utf-8"?>
<sst xmlns="http://schemas.openxmlformats.org/spreadsheetml/2006/main" count="5390" uniqueCount="1645">
  <si>
    <t>◆  CUSTOMER CHURN ANALYSIS &amp; RETENTION ROI DASHBOARD  ◆</t>
  </si>
  <si>
    <t>SaaS Subscription Analytics  |  Formula-Driven  |  Auto-Recalculating</t>
  </si>
  <si>
    <t>TOTAL CUSTOMERS</t>
  </si>
  <si>
    <t>TOTAL CHURNED</t>
  </si>
  <si>
    <t>OVERALL CHURN RATE</t>
  </si>
  <si>
    <t>TOTAL MRR LOST</t>
  </si>
  <si>
    <t>AT-RISK CUSTOMERS</t>
  </si>
  <si>
    <t>RETENTION ROI (10% LIFT)</t>
  </si>
  <si>
    <t>AVG TENURE (MONTHS)</t>
  </si>
  <si>
    <t>AVG LIFETIME VALUE</t>
  </si>
  <si>
    <t>▐────────────────────────────────────────────────────────────────────────────────▌</t>
  </si>
  <si>
    <t>■  PLAN SEGMENT BREAKDOWN</t>
  </si>
  <si>
    <t>Plan</t>
  </si>
  <si>
    <t>Customers</t>
  </si>
  <si>
    <t>Churned</t>
  </si>
  <si>
    <t>Churn %</t>
  </si>
  <si>
    <t>MRR Lost</t>
  </si>
  <si>
    <t>Avg LTV</t>
  </si>
  <si>
    <t>Basic</t>
  </si>
  <si>
    <t>Pro</t>
  </si>
  <si>
    <t>Enterprise</t>
  </si>
  <si>
    <t>■  MONTHLY CHURN TREND  (REPT Bar Chart)</t>
  </si>
  <si>
    <t>Month</t>
  </si>
  <si>
    <t>Churns</t>
  </si>
  <si>
    <t>Bar (scale: 1 █ = 1 churn)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</si>
  <si>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</si>
  <si>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</si>
  <si>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</si>
  <si>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</si>
  <si>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</si>
  <si>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</si>
  <si>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</si>
  <si>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</si>
  <si>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</si>
  <si>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</si>
  <si>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</si>
  <si>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</si>
  <si>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</si>
  <si>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</si>
  <si>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</si>
  <si>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</si>
  <si>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</si>
  <si>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</si>
  <si>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■  TOP 5 CHURN DRIVERS  (Correlation-Based)</t>
  </si>
  <si>
    <t>Rank</t>
  </si>
  <si>
    <t>Driver</t>
  </si>
  <si>
    <t>Correlation</t>
  </si>
  <si>
    <t>Strength</t>
  </si>
  <si>
    <t>Recommended Action</t>
  </si>
  <si>
    <t>1</t>
  </si>
  <si>
    <t>Tenure Months</t>
  </si>
  <si>
    <t>Trigger early-engagement emails in months 1-3</t>
  </si>
  <si>
    <t>2</t>
  </si>
  <si>
    <t>Lifetime Value</t>
  </si>
  <si>
    <t>Offer LTV-boost bundles; upsell at 3-month mark</t>
  </si>
  <si>
    <t>3</t>
  </si>
  <si>
    <t>Plan Type (Numeric)</t>
  </si>
  <si>
    <t>Improve Basic-plan onboarding; offer upgrade incentives</t>
  </si>
  <si>
    <t>4</t>
  </si>
  <si>
    <t>Monthly Fee</t>
  </si>
  <si>
    <t>Introduce flexible billing; discount annual plans</t>
  </si>
  <si>
    <t>5</t>
  </si>
  <si>
    <t>Acquisition Cost</t>
  </si>
  <si>
    <t>Align sales promises with product capabilities</t>
  </si>
  <si>
    <t>■  RETENTION INTERVENTION TRACKER</t>
  </si>
  <si>
    <t>#</t>
  </si>
  <si>
    <t>Intervention</t>
  </si>
  <si>
    <t>Target Segment</t>
  </si>
  <si>
    <t>Expected Lift</t>
  </si>
  <si>
    <t>Cost/Customer</t>
  </si>
  <si>
    <t>Est. Customers Saved</t>
  </si>
  <si>
    <t>Est. MRR Recovery</t>
  </si>
  <si>
    <t>Status</t>
  </si>
  <si>
    <t>Early Onboarding Sequence</t>
  </si>
  <si>
    <t>All New</t>
  </si>
  <si>
    <t>⬜ Planned</t>
  </si>
  <si>
    <t>Proactive Success Check-in</t>
  </si>
  <si>
    <t>Basic Plan</t>
  </si>
  <si>
    <t>Win-Back Email Campaign</t>
  </si>
  <si>
    <t>Recently Churned</t>
  </si>
  <si>
    <t>Annual Plan Discount 20%</t>
  </si>
  <si>
    <t>Pro Customers</t>
  </si>
  <si>
    <t>Dedicated CSM Assignment</t>
  </si>
  <si>
    <t>★ All KPIs recalculate automatically when source data changes  ★  Neon Dashboard v1.0  ★  Customer Churn &amp; Retention ROI  ★</t>
  </si>
  <si>
    <t>customer_id</t>
  </si>
  <si>
    <t>signup_date</t>
  </si>
  <si>
    <t>plan_type</t>
  </si>
  <si>
    <t>monthly_fee</t>
  </si>
  <si>
    <t>acquisition_cost</t>
  </si>
  <si>
    <t>churn_date</t>
  </si>
  <si>
    <t>2024-11-07</t>
  </si>
  <si>
    <t>2024-06-06</t>
  </si>
  <si>
    <t>2024-12-31</t>
  </si>
  <si>
    <t>2024-11-21</t>
  </si>
  <si>
    <t>2024-08-16</t>
  </si>
  <si>
    <t>2024-11-10</t>
  </si>
  <si>
    <t>2024-03-12</t>
  </si>
  <si>
    <t>2024-11-09</t>
  </si>
  <si>
    <t>2025-04-07</t>
  </si>
  <si>
    <t>2025-03-31</t>
  </si>
  <si>
    <t>2025-02-24</t>
  </si>
  <si>
    <t>2025-04-03</t>
  </si>
  <si>
    <t>2025-03-22</t>
  </si>
  <si>
    <t>2025-04-02</t>
  </si>
  <si>
    <t>2024-08-02</t>
  </si>
  <si>
    <t>2024-05-06</t>
  </si>
  <si>
    <t>2024-03-31</t>
  </si>
  <si>
    <t>2024-06-29</t>
  </si>
  <si>
    <t>2024-10-13</t>
  </si>
  <si>
    <t>2025-05-08</t>
  </si>
  <si>
    <t>2024-04-29</t>
  </si>
  <si>
    <t>2024-06-21</t>
  </si>
  <si>
    <t>2024-03-22</t>
  </si>
  <si>
    <t>2024-12-15</t>
  </si>
  <si>
    <t>2025-06-23</t>
  </si>
  <si>
    <t>2024-10-22</t>
  </si>
  <si>
    <t>2024-03-13</t>
  </si>
  <si>
    <t>2025-03-27</t>
  </si>
  <si>
    <t>2025-06-10</t>
  </si>
  <si>
    <t>2024-06-12</t>
  </si>
  <si>
    <t>2025-01-13</t>
  </si>
  <si>
    <t>2025-06-25</t>
  </si>
  <si>
    <t>2024-11-18</t>
  </si>
  <si>
    <t>2024-04-08</t>
  </si>
  <si>
    <t>2024-12-14</t>
  </si>
  <si>
    <t>2025-02-04</t>
  </si>
  <si>
    <t>2025-03-07</t>
  </si>
  <si>
    <t>2024-04-06</t>
  </si>
  <si>
    <t>2025-04-06</t>
  </si>
  <si>
    <t>2024-07-31</t>
  </si>
  <si>
    <t>2025-05-02</t>
  </si>
  <si>
    <t>2024-05-07</t>
  </si>
  <si>
    <t>2024-11-30</t>
  </si>
  <si>
    <t>2024-01-28</t>
  </si>
  <si>
    <t>2025-04-22</t>
  </si>
  <si>
    <t>2024-05-16</t>
  </si>
  <si>
    <t>2024-04-18</t>
  </si>
  <si>
    <t>2025-03-19</t>
  </si>
  <si>
    <t>2025-01-27</t>
  </si>
  <si>
    <t>2025-03-11</t>
  </si>
  <si>
    <t>2025-02-28</t>
  </si>
  <si>
    <t>2025-06-30</t>
  </si>
  <si>
    <t>2024-09-18</t>
  </si>
  <si>
    <t>2025-01-05</t>
  </si>
  <si>
    <t>2025-04-20</t>
  </si>
  <si>
    <t>2024-08-25</t>
  </si>
  <si>
    <t>2024-05-15</t>
  </si>
  <si>
    <t>2024-06-30</t>
  </si>
  <si>
    <t>2025-01-10</t>
  </si>
  <si>
    <t>2024-05-03</t>
  </si>
  <si>
    <t>2024-03-09</t>
  </si>
  <si>
    <t>2024-03-30</t>
  </si>
  <si>
    <t>2024-10-12</t>
  </si>
  <si>
    <t>2024-04-05</t>
  </si>
  <si>
    <t>2025-06-03</t>
  </si>
  <si>
    <t>2024-02-05</t>
  </si>
  <si>
    <t>2025-02-08</t>
  </si>
  <si>
    <t>2025-05-13</t>
  </si>
  <si>
    <t>2025-06-12</t>
  </si>
  <si>
    <t>2024-07-28</t>
  </si>
  <si>
    <t>2024-07-25</t>
  </si>
  <si>
    <t>2024-12-10</t>
  </si>
  <si>
    <t>2025-02-23</t>
  </si>
  <si>
    <t>2024-03-05</t>
  </si>
  <si>
    <t>2024-02-16</t>
  </si>
  <si>
    <t>2024-01-10</t>
  </si>
  <si>
    <t>2024-11-15</t>
  </si>
  <si>
    <t>2024-01-08</t>
  </si>
  <si>
    <t>2024-08-09</t>
  </si>
  <si>
    <t>2024-10-14</t>
  </si>
  <si>
    <t>2024-12-26</t>
  </si>
  <si>
    <t>2024-06-04</t>
  </si>
  <si>
    <t>2024-09-21</t>
  </si>
  <si>
    <t>2024-03-17</t>
  </si>
  <si>
    <t>2024-02-22</t>
  </si>
  <si>
    <t>2024-07-01</t>
  </si>
  <si>
    <t>2025-03-20</t>
  </si>
  <si>
    <t>2024-10-02</t>
  </si>
  <si>
    <t>2024-01-02</t>
  </si>
  <si>
    <t>2024-10-24</t>
  </si>
  <si>
    <t>2025-05-21</t>
  </si>
  <si>
    <t>2024-01-29</t>
  </si>
  <si>
    <t>2024-07-19</t>
  </si>
  <si>
    <t>2024-11-19</t>
  </si>
  <si>
    <t>2024-05-22</t>
  </si>
  <si>
    <t>2024-07-29</t>
  </si>
  <si>
    <t>2024-05-09</t>
  </si>
  <si>
    <t>2024-08-11</t>
  </si>
  <si>
    <t>2024-05-26</t>
  </si>
  <si>
    <t>2025-01-02</t>
  </si>
  <si>
    <t>2025-01-21</t>
  </si>
  <si>
    <t>2024-05-20</t>
  </si>
  <si>
    <t>2024-09-06</t>
  </si>
  <si>
    <t>2024-03-04</t>
  </si>
  <si>
    <t>2024-03-07</t>
  </si>
  <si>
    <t>2025-01-29</t>
  </si>
  <si>
    <t>2024-02-19</t>
  </si>
  <si>
    <t>2024-11-28</t>
  </si>
  <si>
    <t>2025-04-18</t>
  </si>
  <si>
    <t>2024-10-19</t>
  </si>
  <si>
    <t>2025-05-19</t>
  </si>
  <si>
    <t>2024-11-03</t>
  </si>
  <si>
    <t>2024-07-26</t>
  </si>
  <si>
    <t>2024-08-19</t>
  </si>
  <si>
    <t>2025-03-15</t>
  </si>
  <si>
    <t>2025-05-17</t>
  </si>
  <si>
    <t>2024-12-08</t>
  </si>
  <si>
    <t>2024-01-22</t>
  </si>
  <si>
    <t>2024-09-07</t>
  </si>
  <si>
    <t>2025-04-08</t>
  </si>
  <si>
    <t>2025-02-20</t>
  </si>
  <si>
    <t>2024-02-15</t>
  </si>
  <si>
    <t>2025-03-04</t>
  </si>
  <si>
    <t>2024-02-07</t>
  </si>
  <si>
    <t>2024-10-16</t>
  </si>
  <si>
    <t>2025-01-09</t>
  </si>
  <si>
    <t>2024-02-06</t>
  </si>
  <si>
    <t>2024-12-06</t>
  </si>
  <si>
    <t>2024-04-13</t>
  </si>
  <si>
    <t>2025-06-06</t>
  </si>
  <si>
    <t>2024-11-08</t>
  </si>
  <si>
    <t>2024-06-19</t>
  </si>
  <si>
    <t>2025-03-29</t>
  </si>
  <si>
    <t>2025-05-11</t>
  </si>
  <si>
    <t>2025-06-15</t>
  </si>
  <si>
    <t>2025-03-14</t>
  </si>
  <si>
    <t>2024-07-07</t>
  </si>
  <si>
    <t>2025-04-24</t>
  </si>
  <si>
    <t>2024-11-24</t>
  </si>
  <si>
    <t>2024-09-17</t>
  </si>
  <si>
    <t>2025-06-26</t>
  </si>
  <si>
    <t>2024-04-12</t>
  </si>
  <si>
    <t>2024-12-18</t>
  </si>
  <si>
    <t>2025-04-27</t>
  </si>
  <si>
    <t>2024-05-30</t>
  </si>
  <si>
    <t>2025-05-16</t>
  </si>
  <si>
    <t>2024-09-23</t>
  </si>
  <si>
    <t>2025-04-14</t>
  </si>
  <si>
    <t>2024-01-11</t>
  </si>
  <si>
    <t>2024-01-01</t>
  </si>
  <si>
    <t>2024-02-18</t>
  </si>
  <si>
    <t>2024-08-01</t>
  </si>
  <si>
    <t>2024-03-26</t>
  </si>
  <si>
    <t>2025-04-13</t>
  </si>
  <si>
    <t>2024-07-16</t>
  </si>
  <si>
    <t>2024-09-13</t>
  </si>
  <si>
    <t>2024-02-11</t>
  </si>
  <si>
    <t>2024-02-03</t>
  </si>
  <si>
    <t>2025-01-30</t>
  </si>
  <si>
    <t>2025-03-26</t>
  </si>
  <si>
    <t>2025-03-16</t>
  </si>
  <si>
    <t>2024-04-21</t>
  </si>
  <si>
    <t>2024-01-09</t>
  </si>
  <si>
    <t>2024-06-03</t>
  </si>
  <si>
    <t>2025-06-16</t>
  </si>
  <si>
    <t>2024-12-11</t>
  </si>
  <si>
    <t>2025-06-27</t>
  </si>
  <si>
    <t>2025-05-18</t>
  </si>
  <si>
    <t>2024-07-04</t>
  </si>
  <si>
    <t>2024-09-04</t>
  </si>
  <si>
    <t>2024-10-04</t>
  </si>
  <si>
    <t>2025-04-05</t>
  </si>
  <si>
    <t>2024-01-24</t>
  </si>
  <si>
    <t>2025-03-28</t>
  </si>
  <si>
    <t>2025-03-23</t>
  </si>
  <si>
    <t>2024-08-23</t>
  </si>
  <si>
    <t>2024-03-01</t>
  </si>
  <si>
    <t>2025-03-08</t>
  </si>
  <si>
    <t>2024-11-16</t>
  </si>
  <si>
    <t>2024-03-25</t>
  </si>
  <si>
    <t>2025-06-17</t>
  </si>
  <si>
    <t>2025-02-15</t>
  </si>
  <si>
    <t>2024-03-28</t>
  </si>
  <si>
    <t>2024-06-26</t>
  </si>
  <si>
    <t>2024-01-05</t>
  </si>
  <si>
    <t>2025-06-07</t>
  </si>
  <si>
    <t>2025-02-07</t>
  </si>
  <si>
    <t>2024-01-07</t>
  </si>
  <si>
    <t>2024-09-05</t>
  </si>
  <si>
    <t>2024-03-08</t>
  </si>
  <si>
    <t>2024-10-28</t>
  </si>
  <si>
    <t>2024-03-29</t>
  </si>
  <si>
    <t>2024-11-05</t>
  </si>
  <si>
    <t>2025-05-05</t>
  </si>
  <si>
    <t>2024-02-09</t>
  </si>
  <si>
    <t>2025-04-01</t>
  </si>
  <si>
    <t>2025-05-23</t>
  </si>
  <si>
    <t>2025-06-04</t>
  </si>
  <si>
    <t>2024-10-06</t>
  </si>
  <si>
    <t>2025-03-18</t>
  </si>
  <si>
    <t>2025-03-06</t>
  </si>
  <si>
    <t>2024-07-03</t>
  </si>
  <si>
    <t>2025-01-07</t>
  </si>
  <si>
    <t>2025-04-19</t>
  </si>
  <si>
    <t>2024-11-23</t>
  </si>
  <si>
    <t>2024-10-21</t>
  </si>
  <si>
    <t>2025-02-26</t>
  </si>
  <si>
    <t>2024-11-22</t>
  </si>
  <si>
    <t>2024-05-21</t>
  </si>
  <si>
    <t>2025-05-28</t>
  </si>
  <si>
    <t>2025-03-09</t>
  </si>
  <si>
    <t>2025-06-19</t>
  </si>
  <si>
    <t>2024-04-22</t>
  </si>
  <si>
    <t>2025-05-30</t>
  </si>
  <si>
    <t>2024-05-28</t>
  </si>
  <si>
    <t>2024-08-21</t>
  </si>
  <si>
    <t>2025-05-29</t>
  </si>
  <si>
    <t>2025-03-02</t>
  </si>
  <si>
    <t>2024-02-21</t>
  </si>
  <si>
    <t>2024-12-09</t>
  </si>
  <si>
    <t>2024-04-15</t>
  </si>
  <si>
    <t>2025-02-14</t>
  </si>
  <si>
    <t>2024-06-20</t>
  </si>
  <si>
    <t>2024-02-26</t>
  </si>
  <si>
    <t>2024-05-10</t>
  </si>
  <si>
    <t>2025-05-06</t>
  </si>
  <si>
    <t>2025-05-07</t>
  </si>
  <si>
    <t>2025-01-12</t>
  </si>
  <si>
    <t>2025-06-20</t>
  </si>
  <si>
    <t>2024-12-13</t>
  </si>
  <si>
    <t>2024-03-18</t>
  </si>
  <si>
    <t>2024-06-23</t>
  </si>
  <si>
    <t>2024-04-01</t>
  </si>
  <si>
    <t>2024-05-27</t>
  </si>
  <si>
    <t>2025-06-05</t>
  </si>
  <si>
    <t>2025-01-28</t>
  </si>
  <si>
    <t>2025-05-03</t>
  </si>
  <si>
    <t>2025-04-09</t>
  </si>
  <si>
    <t>2025-02-13</t>
  </si>
  <si>
    <t>2025-04-23</t>
  </si>
  <si>
    <t>2024-09-09</t>
  </si>
  <si>
    <t>2025-04-28</t>
  </si>
  <si>
    <t>2024-06-22</t>
  </si>
  <si>
    <t>2024-03-24</t>
  </si>
  <si>
    <t>2025-06-24</t>
  </si>
  <si>
    <t>2025-03-10</t>
  </si>
  <si>
    <t>2025-05-15</t>
  </si>
  <si>
    <t>2025-04-26</t>
  </si>
  <si>
    <t>2024-09-22</t>
  </si>
  <si>
    <t>2024-07-13</t>
  </si>
  <si>
    <t>2024-08-31</t>
  </si>
  <si>
    <t>2024-04-02</t>
  </si>
  <si>
    <t>2025-05-26</t>
  </si>
  <si>
    <t>2024-12-24</t>
  </si>
  <si>
    <t>2024-02-14</t>
  </si>
  <si>
    <t>2025-01-01</t>
  </si>
  <si>
    <t>2024-12-07</t>
  </si>
  <si>
    <t>2025-05-20</t>
  </si>
  <si>
    <t>2024-05-18</t>
  </si>
  <si>
    <t>2024-08-28</t>
  </si>
  <si>
    <t>2024-11-02</t>
  </si>
  <si>
    <t>2024-08-05</t>
  </si>
  <si>
    <t>2024-02-01</t>
  </si>
  <si>
    <t>2024-04-10</t>
  </si>
  <si>
    <t>2024-03-19</t>
  </si>
  <si>
    <t>2024-09-28</t>
  </si>
  <si>
    <t>2024-07-10</t>
  </si>
  <si>
    <t>2024-08-10</t>
  </si>
  <si>
    <t>2024-07-11</t>
  </si>
  <si>
    <t>2024-10-08</t>
  </si>
  <si>
    <t>2025-02-19</t>
  </si>
  <si>
    <t>2024-10-30</t>
  </si>
  <si>
    <t>2024-08-13</t>
  </si>
  <si>
    <t>2024-08-20</t>
  </si>
  <si>
    <t>2024-12-12</t>
  </si>
  <si>
    <t>2025-01-18</t>
  </si>
  <si>
    <t>2024-02-27</t>
  </si>
  <si>
    <t>2024-09-30</t>
  </si>
  <si>
    <t>2024-04-28</t>
  </si>
  <si>
    <t>2025-01-17</t>
  </si>
  <si>
    <t>2024-08-15</t>
  </si>
  <si>
    <t>2024-07-02</t>
  </si>
  <si>
    <t>2024-11-13</t>
  </si>
  <si>
    <t>2024-05-01</t>
  </si>
  <si>
    <t>2024-09-01</t>
  </si>
  <si>
    <t>2024-10-26</t>
  </si>
  <si>
    <t>2024-07-05</t>
  </si>
  <si>
    <t>2024-12-04</t>
  </si>
  <si>
    <t>2024-12-28</t>
  </si>
  <si>
    <t>2024-06-16</t>
  </si>
  <si>
    <t>2024-01-23</t>
  </si>
  <si>
    <t>2025-06-28</t>
  </si>
  <si>
    <t>2024-02-29</t>
  </si>
  <si>
    <t>2025-01-14</t>
  </si>
  <si>
    <t>2024-08-22</t>
  </si>
  <si>
    <t>2024-11-14</t>
  </si>
  <si>
    <t>2024-06-01</t>
  </si>
  <si>
    <t>2024-02-08</t>
  </si>
  <si>
    <t>2024-12-01</t>
  </si>
  <si>
    <t>2025-02-11</t>
  </si>
  <si>
    <t>2025-05-14</t>
  </si>
  <si>
    <t>2024-12-29</t>
  </si>
  <si>
    <t>2024-04-07</t>
  </si>
  <si>
    <t>2024-10-15</t>
  </si>
  <si>
    <t>2024-04-19</t>
  </si>
  <si>
    <t>2024-06-02</t>
  </si>
  <si>
    <t>2025-01-22</t>
  </si>
  <si>
    <t>2024-12-20</t>
  </si>
  <si>
    <t>2024-03-21</t>
  </si>
  <si>
    <t>2024-07-08</t>
  </si>
  <si>
    <t>2024-03-10</t>
  </si>
  <si>
    <t>2025-03-05</t>
  </si>
  <si>
    <t>2025-04-29</t>
  </si>
  <si>
    <t>2025-06-01</t>
  </si>
  <si>
    <t>2025-02-06</t>
  </si>
  <si>
    <t>2024-02-13</t>
  </si>
  <si>
    <t>2025-03-30</t>
  </si>
  <si>
    <t>2024-10-29</t>
  </si>
  <si>
    <t>2024-02-28</t>
  </si>
  <si>
    <t>2025-06-21</t>
  </si>
  <si>
    <t>2025-02-27</t>
  </si>
  <si>
    <t>2024-02-02</t>
  </si>
  <si>
    <t>2024-11-04</t>
  </si>
  <si>
    <t>2025-05-01</t>
  </si>
  <si>
    <t>2025-01-31</t>
  </si>
  <si>
    <t>2024-10-07</t>
  </si>
  <si>
    <t>2024-06-13</t>
  </si>
  <si>
    <t>2024-10-03</t>
  </si>
  <si>
    <t>2024-09-26</t>
  </si>
  <si>
    <t>2025-05-25</t>
  </si>
  <si>
    <t>2024-10-27</t>
  </si>
  <si>
    <t>2024-12-25</t>
  </si>
  <si>
    <t>2024-03-27</t>
  </si>
  <si>
    <t>2025-05-24</t>
  </si>
  <si>
    <t>2024-01-31</t>
  </si>
  <si>
    <t>2024-01-30</t>
  </si>
  <si>
    <t>2025-06-11</t>
  </si>
  <si>
    <t>2025-04-16</t>
  </si>
  <si>
    <t>2025-01-06</t>
  </si>
  <si>
    <t>2024-06-25</t>
  </si>
  <si>
    <t>2024-08-18</t>
  </si>
  <si>
    <t>2024-09-08</t>
  </si>
  <si>
    <t>2024-10-31</t>
  </si>
  <si>
    <t>2024-10-25</t>
  </si>
  <si>
    <t>2024-12-23</t>
  </si>
  <si>
    <t>2024-01-19</t>
  </si>
  <si>
    <t>2024-07-06</t>
  </si>
  <si>
    <t>2024-04-04</t>
  </si>
  <si>
    <t>2024-09-03</t>
  </si>
  <si>
    <t>2024-06-15</t>
  </si>
  <si>
    <t>2024-05-24</t>
  </si>
  <si>
    <t>2025-05-12</t>
  </si>
  <si>
    <t>2024-12-19</t>
  </si>
  <si>
    <t>2024-04-24</t>
  </si>
  <si>
    <t>2025-02-09</t>
  </si>
  <si>
    <t>2024-01-26</t>
  </si>
  <si>
    <t>2025-03-13</t>
  </si>
  <si>
    <t>2024-10-09</t>
  </si>
  <si>
    <t>2024-11-20</t>
  </si>
  <si>
    <t>2024-05-05</t>
  </si>
  <si>
    <t>2024-03-03</t>
  </si>
  <si>
    <t>2024-12-02</t>
  </si>
  <si>
    <t>2025-02-25</t>
  </si>
  <si>
    <t>2025-02-12</t>
  </si>
  <si>
    <t>2024-04-25</t>
  </si>
  <si>
    <t>2025-02-22</t>
  </si>
  <si>
    <t>2025-05-27</t>
  </si>
  <si>
    <t>2025-06-13</t>
  </si>
  <si>
    <t>2024-09-24</t>
  </si>
  <si>
    <t>2024-10-10</t>
  </si>
  <si>
    <t>2024-08-26</t>
  </si>
  <si>
    <t>2024-11-25</t>
  </si>
  <si>
    <t>2024-02-12</t>
  </si>
  <si>
    <t>2024-07-15</t>
  </si>
  <si>
    <t>2024-02-24</t>
  </si>
  <si>
    <t>2025-03-12</t>
  </si>
  <si>
    <t>2024-01-17</t>
  </si>
  <si>
    <t>2025-04-11</t>
  </si>
  <si>
    <t>2024-02-23</t>
  </si>
  <si>
    <t>2024-04-14</t>
  </si>
  <si>
    <t>2024-06-09</t>
  </si>
  <si>
    <t>2025-05-09</t>
  </si>
  <si>
    <t>2024-10-18</t>
  </si>
  <si>
    <t>2025-02-01</t>
  </si>
  <si>
    <t>2025-03-17</t>
  </si>
  <si>
    <t>2025-01-04</t>
  </si>
  <si>
    <t>2024-10-17</t>
  </si>
  <si>
    <t>2025-02-10</t>
  </si>
  <si>
    <t>2025-02-03</t>
  </si>
  <si>
    <t>2024-05-13</t>
  </si>
  <si>
    <t>2024-04-23</t>
  </si>
  <si>
    <t>2025-02-21</t>
  </si>
  <si>
    <t>2025-05-31</t>
  </si>
  <si>
    <t>2024-12-22</t>
  </si>
  <si>
    <t>2024-01-18</t>
  </si>
  <si>
    <t>2024-04-03</t>
  </si>
  <si>
    <t>2025-03-01</t>
  </si>
  <si>
    <t>2024-01-06</t>
  </si>
  <si>
    <t>2025-01-11</t>
  </si>
  <si>
    <t>2024-01-25</t>
  </si>
  <si>
    <t>2024-12-21</t>
  </si>
  <si>
    <t>2024-07-27</t>
  </si>
  <si>
    <t>2024-09-19</t>
  </si>
  <si>
    <t>2025-04-21</t>
  </si>
  <si>
    <t>2024-06-24</t>
  </si>
  <si>
    <t>2025-06-14</t>
  </si>
  <si>
    <t>2025-06-02</t>
  </si>
  <si>
    <t>2025-01-20</t>
  </si>
  <si>
    <t>2024-10-01</t>
  </si>
  <si>
    <t>2025-01-15</t>
  </si>
  <si>
    <t>2024-03-11</t>
  </si>
  <si>
    <t>2024-07-20</t>
  </si>
  <si>
    <t>2025-01-03</t>
  </si>
  <si>
    <t>2024-04-17</t>
  </si>
  <si>
    <t>2024-09-25</t>
  </si>
  <si>
    <t>2024-07-18</t>
  </si>
  <si>
    <t>2024-03-06</t>
  </si>
  <si>
    <t>2024-09-29</t>
  </si>
  <si>
    <t>2024-08-06</t>
  </si>
  <si>
    <t>2024-09-12</t>
  </si>
  <si>
    <t>2024-07-17</t>
  </si>
  <si>
    <t>2024-04-16</t>
  </si>
  <si>
    <t>2024-10-05</t>
  </si>
  <si>
    <t>2024-07-24</t>
  </si>
  <si>
    <t>2024-06-07</t>
  </si>
  <si>
    <t>2025-02-16</t>
  </si>
  <si>
    <t>2024-01-03</t>
  </si>
  <si>
    <t>2025-06-29</t>
  </si>
  <si>
    <t>2025-04-30</t>
  </si>
  <si>
    <t>2025-06-22</t>
  </si>
  <si>
    <t>2024-06-05</t>
  </si>
  <si>
    <t>2024-08-12</t>
  </si>
  <si>
    <t>2024-07-21</t>
  </si>
  <si>
    <t>2024-02-04</t>
  </si>
  <si>
    <t>2025-05-10</t>
  </si>
  <si>
    <t>2024-11-27</t>
  </si>
  <si>
    <t>2024-05-25</t>
  </si>
  <si>
    <t>2024-07-12</t>
  </si>
  <si>
    <t>2025-02-02</t>
  </si>
  <si>
    <t>2024-08-24</t>
  </si>
  <si>
    <t>2024-04-20</t>
  </si>
  <si>
    <t>2024-09-10</t>
  </si>
  <si>
    <t>2024-02-25</t>
  </si>
  <si>
    <t>2024-12-16</t>
  </si>
  <si>
    <t>2024-12-17</t>
  </si>
  <si>
    <t>2024-10-20</t>
  </si>
  <si>
    <t>2024-09-16</t>
  </si>
  <si>
    <t>2024-02-20</t>
  </si>
  <si>
    <t>2025-02-05</t>
  </si>
  <si>
    <t>2025-03-24</t>
  </si>
  <si>
    <t>2025-06-18</t>
  </si>
  <si>
    <t>2024-11-01</t>
  </si>
  <si>
    <t>2024-01-13</t>
  </si>
  <si>
    <t>2024-06-17</t>
  </si>
  <si>
    <t>2024-02-10</t>
  </si>
  <si>
    <t>2024-05-14</t>
  </si>
  <si>
    <t>2024-12-30</t>
  </si>
  <si>
    <t>2024-08-04</t>
  </si>
  <si>
    <t>2024-07-30</t>
  </si>
  <si>
    <t>2024-05-04</t>
  </si>
  <si>
    <t>2024-07-23</t>
  </si>
  <si>
    <t>2024-12-05</t>
  </si>
  <si>
    <t>2024-11-26</t>
  </si>
  <si>
    <t>2024-01-15</t>
  </si>
  <si>
    <t>2024-08-14</t>
  </si>
  <si>
    <t>2025-01-24</t>
  </si>
  <si>
    <t>2024-07-22</t>
  </si>
  <si>
    <t>2024-11-06</t>
  </si>
  <si>
    <t>2024-03-16</t>
  </si>
  <si>
    <t>2024-09-20</t>
  </si>
  <si>
    <t>2024-04-11</t>
  </si>
  <si>
    <t>2024-08-17</t>
  </si>
  <si>
    <t>2024-04-27</t>
  </si>
  <si>
    <t>2024-06-14</t>
  </si>
  <si>
    <t>2024-07-14</t>
  </si>
  <si>
    <t>2025-05-22</t>
  </si>
  <si>
    <t>2024-11-29</t>
  </si>
  <si>
    <t>2025-04-25</t>
  </si>
  <si>
    <t>2024-05-23</t>
  </si>
  <si>
    <t>2024-01-04</t>
  </si>
  <si>
    <t>2025-02-18</t>
  </si>
  <si>
    <t>subscription_id</t>
  </si>
  <si>
    <t>month</t>
  </si>
  <si>
    <t>revenue_type</t>
  </si>
  <si>
    <t>amount</t>
  </si>
  <si>
    <t>S-1020-202410</t>
  </si>
  <si>
    <t>MRR</t>
  </si>
  <si>
    <t>S-1020-202411</t>
  </si>
  <si>
    <t>S-1020-202412</t>
  </si>
  <si>
    <t>S-1020-202501</t>
  </si>
  <si>
    <t>S-1020-202502</t>
  </si>
  <si>
    <t>S-1020-202503</t>
  </si>
  <si>
    <t>S-1020-202504</t>
  </si>
  <si>
    <t>S-1021-202404</t>
  </si>
  <si>
    <t>S-1021-202405</t>
  </si>
  <si>
    <t>S-1023-202412</t>
  </si>
  <si>
    <t>S-1023-202501</t>
  </si>
  <si>
    <t>S-1023-202502</t>
  </si>
  <si>
    <t>S-1023-202503</t>
  </si>
  <si>
    <t>S-1023-202504</t>
  </si>
  <si>
    <t>S-1023-202505</t>
  </si>
  <si>
    <t>S-1023-202506</t>
  </si>
  <si>
    <t>S-1026-202503</t>
  </si>
  <si>
    <t>S-1026-202504</t>
  </si>
  <si>
    <t>S-1026-202505</t>
  </si>
  <si>
    <t>S-1031-202404</t>
  </si>
  <si>
    <t>S-1031-202405</t>
  </si>
  <si>
    <t>S-1031-202406</t>
  </si>
  <si>
    <t>S-1031-202407</t>
  </si>
  <si>
    <t>S-1031-202408</t>
  </si>
  <si>
    <t>S-1031-202409</t>
  </si>
  <si>
    <t>S-1031-202410</t>
  </si>
  <si>
    <t>S-1031-202411</t>
  </si>
  <si>
    <t>S-1031-202412</t>
  </si>
  <si>
    <t>S-1034-202404</t>
  </si>
  <si>
    <t>S-1034-202405</t>
  </si>
  <si>
    <t>S-1034-202406</t>
  </si>
  <si>
    <t>S-1034-202407</t>
  </si>
  <si>
    <t>S-1034-202408</t>
  </si>
  <si>
    <t>S-1034-202409</t>
  </si>
  <si>
    <t>S-1034-202410</t>
  </si>
  <si>
    <t>S-1034-202411</t>
  </si>
  <si>
    <t>S-1034-202412</t>
  </si>
  <si>
    <t>S-1034-202501</t>
  </si>
  <si>
    <t>S-1034-202502</t>
  </si>
  <si>
    <t>S-1034-202503</t>
  </si>
  <si>
    <t>S-1034-202504</t>
  </si>
  <si>
    <t>S-1035-202407</t>
  </si>
  <si>
    <t>S-1035-202408</t>
  </si>
  <si>
    <t>S-1035-202409</t>
  </si>
  <si>
    <t>S-1035-202410</t>
  </si>
  <si>
    <t>S-1035-202411</t>
  </si>
  <si>
    <t>S-1035-202412</t>
  </si>
  <si>
    <t>S-1035-202501</t>
  </si>
  <si>
    <t>S-1035-202502</t>
  </si>
  <si>
    <t>S-1035-202503</t>
  </si>
  <si>
    <t>S-1035-202504</t>
  </si>
  <si>
    <t>S-1042-202404</t>
  </si>
  <si>
    <t>S-1042-202405</t>
  </si>
  <si>
    <t>S-1042-202406</t>
  </si>
  <si>
    <t>S-1042-202407</t>
  </si>
  <si>
    <t>S-1042-202408</t>
  </si>
  <si>
    <t>S-1042-202409</t>
  </si>
  <si>
    <t>S-1042-202410</t>
  </si>
  <si>
    <t>S-1042-202411</t>
  </si>
  <si>
    <t>S-1042-202412</t>
  </si>
  <si>
    <t>S-1042-202501</t>
  </si>
  <si>
    <t>S-1042-202502</t>
  </si>
  <si>
    <t>S-1042-202503</t>
  </si>
  <si>
    <t>S-1043-202501</t>
  </si>
  <si>
    <t>S-1043-202502</t>
  </si>
  <si>
    <t>S-1047-202501</t>
  </si>
  <si>
    <t>S-1047-202502</t>
  </si>
  <si>
    <t>S-1047-202503</t>
  </si>
  <si>
    <t>S-1047-202504</t>
  </si>
  <si>
    <t>S-1056-202410</t>
  </si>
  <si>
    <t>S-1056-202411</t>
  </si>
  <si>
    <t>S-1056-202412</t>
  </si>
  <si>
    <t>S-1060-202503</t>
  </si>
  <si>
    <t>S-1060-202504</t>
  </si>
  <si>
    <t>S-1060-202505</t>
  </si>
  <si>
    <t>S-1062-202505</t>
  </si>
  <si>
    <t>S-1074-202408</t>
  </si>
  <si>
    <t>S-1074-202409</t>
  </si>
  <si>
    <t>S-1074-202410</t>
  </si>
  <si>
    <t>S-1074-202411</t>
  </si>
  <si>
    <t>S-1074-202412</t>
  </si>
  <si>
    <t>S-1074-202501</t>
  </si>
  <si>
    <t>S-1074-202502</t>
  </si>
  <si>
    <t>S-1074-202503</t>
  </si>
  <si>
    <t>S-1074-202504</t>
  </si>
  <si>
    <t>S-1074-202505</t>
  </si>
  <si>
    <t>S-1075-202410</t>
  </si>
  <si>
    <t>S-1075-202411</t>
  </si>
  <si>
    <t>S-1075-202412</t>
  </si>
  <si>
    <t>S-1075-202501</t>
  </si>
  <si>
    <t>S-1075-202502</t>
  </si>
  <si>
    <t>S-1075-202503</t>
  </si>
  <si>
    <t>S-1075-202504</t>
  </si>
  <si>
    <t>S-1075-202505</t>
  </si>
  <si>
    <t>S-1075-202506</t>
  </si>
  <si>
    <t>S-1085-202410</t>
  </si>
  <si>
    <t>S-1085-202411</t>
  </si>
  <si>
    <t>S-1085-202412</t>
  </si>
  <si>
    <t>S-1085-202501</t>
  </si>
  <si>
    <t>S-1085-202502</t>
  </si>
  <si>
    <t>S-1085-202503</t>
  </si>
  <si>
    <t>S-1085-202504</t>
  </si>
  <si>
    <t>S-1095-202405</t>
  </si>
  <si>
    <t>S-1095-202406</t>
  </si>
  <si>
    <t>S-1095-202407</t>
  </si>
  <si>
    <t>S-1095-202408</t>
  </si>
  <si>
    <t>S-1119-202407</t>
  </si>
  <si>
    <t>S-1119-202408</t>
  </si>
  <si>
    <t>S-1119-202409</t>
  </si>
  <si>
    <t>S-1119-202410</t>
  </si>
  <si>
    <t>S-1119-202411</t>
  </si>
  <si>
    <t>S-1119-202412</t>
  </si>
  <si>
    <t>S-1119-202501</t>
  </si>
  <si>
    <t>S-1119-202502</t>
  </si>
  <si>
    <t>S-1119-202503</t>
  </si>
  <si>
    <t>S-1120-202408</t>
  </si>
  <si>
    <t>S-1120-202409</t>
  </si>
  <si>
    <t>S-1120-202410</t>
  </si>
  <si>
    <t>S-1120-202411</t>
  </si>
  <si>
    <t>S-1120-202412</t>
  </si>
  <si>
    <t>S-1120-202501</t>
  </si>
  <si>
    <t>S-1120-202502</t>
  </si>
  <si>
    <t>S-1125-202408</t>
  </si>
  <si>
    <t>S-1125-202409</t>
  </si>
  <si>
    <t>S-1125-202410</t>
  </si>
  <si>
    <t>S-1125-202411</t>
  </si>
  <si>
    <t>S-1125-202412</t>
  </si>
  <si>
    <t>S-1132-202411</t>
  </si>
  <si>
    <t>S-1132-202412</t>
  </si>
  <si>
    <t>S-1132-202501</t>
  </si>
  <si>
    <t>S-1132-202502</t>
  </si>
  <si>
    <t>S-1132-202503</t>
  </si>
  <si>
    <t>S-1132-202504</t>
  </si>
  <si>
    <t>S-1137-202401</t>
  </si>
  <si>
    <t>S-1143-202404</t>
  </si>
  <si>
    <t>S-1143-202405</t>
  </si>
  <si>
    <t>S-1143-202406</t>
  </si>
  <si>
    <t>S-1143-202407</t>
  </si>
  <si>
    <t>S-1143-202408</t>
  </si>
  <si>
    <t>S-1143-202409</t>
  </si>
  <si>
    <t>S-1143-202410</t>
  </si>
  <si>
    <t>S-1143-202411</t>
  </si>
  <si>
    <t>S-1143-202412</t>
  </si>
  <si>
    <t>S-1143-202501</t>
  </si>
  <si>
    <t>S-1151-202407</t>
  </si>
  <si>
    <t>S-1151-202408</t>
  </si>
  <si>
    <t>S-1151-202409</t>
  </si>
  <si>
    <t>S-1151-202410</t>
  </si>
  <si>
    <t>S-1151-202411</t>
  </si>
  <si>
    <t>S-1151-202412</t>
  </si>
  <si>
    <t>S-1151-202501</t>
  </si>
  <si>
    <t>S-1151-202502</t>
  </si>
  <si>
    <t>S-1151-202503</t>
  </si>
  <si>
    <t>S-1151-202504</t>
  </si>
  <si>
    <t>S-1154-202506</t>
  </si>
  <si>
    <t>S-1167-202401</t>
  </si>
  <si>
    <t>S-1167-202402</t>
  </si>
  <si>
    <t>S-1167-202403</t>
  </si>
  <si>
    <t>S-1167-202404</t>
  </si>
  <si>
    <t>S-1167-202405</t>
  </si>
  <si>
    <t>S-1167-202406</t>
  </si>
  <si>
    <t>S-1167-202407</t>
  </si>
  <si>
    <t>S-1167-202408</t>
  </si>
  <si>
    <t>S-1167-202409</t>
  </si>
  <si>
    <t>S-1167-202410</t>
  </si>
  <si>
    <t>S-1167-202411</t>
  </si>
  <si>
    <t>S-1167-202412</t>
  </si>
  <si>
    <t>S-1167-202501</t>
  </si>
  <si>
    <t>S-1175-202407</t>
  </si>
  <si>
    <t>S-1175-202408</t>
  </si>
  <si>
    <t>S-1178-202501</t>
  </si>
  <si>
    <t>S-1178-202502</t>
  </si>
  <si>
    <t>S-1181-202401</t>
  </si>
  <si>
    <t>S-1181-202402</t>
  </si>
  <si>
    <t>S-1181-202403</t>
  </si>
  <si>
    <t>S-1181-202404</t>
  </si>
  <si>
    <t>S-1181-202405</t>
  </si>
  <si>
    <t>S-1185-202412</t>
  </si>
  <si>
    <t>S-1185-202501</t>
  </si>
  <si>
    <t>S-1185-202502</t>
  </si>
  <si>
    <t>S-1185-202503</t>
  </si>
  <si>
    <t>S-1185-202504</t>
  </si>
  <si>
    <t>S-1185-202505</t>
  </si>
  <si>
    <t>S-1185-202506</t>
  </si>
  <si>
    <t>S-1188-202407</t>
  </si>
  <si>
    <t>S-1188-202408</t>
  </si>
  <si>
    <t>S-1188-202409</t>
  </si>
  <si>
    <t>S-1193-202401</t>
  </si>
  <si>
    <t>S-1193-202402</t>
  </si>
  <si>
    <t>S-1193-202403</t>
  </si>
  <si>
    <t>S-1193-202404</t>
  </si>
  <si>
    <t>S-1193-202405</t>
  </si>
  <si>
    <t>S-1193-202406</t>
  </si>
  <si>
    <t>S-1193-202407</t>
  </si>
  <si>
    <t>S-1193-202408</t>
  </si>
  <si>
    <t>S-1193-202409</t>
  </si>
  <si>
    <t>S-1193-202410</t>
  </si>
  <si>
    <t>S-1193-202411</t>
  </si>
  <si>
    <t>S-1193-202412</t>
  </si>
  <si>
    <t>S-1193-202501</t>
  </si>
  <si>
    <t>S-1193-202502</t>
  </si>
  <si>
    <t>S-1193-202503</t>
  </si>
  <si>
    <t>S-1197-202503</t>
  </si>
  <si>
    <t>S-1197-202504</t>
  </si>
  <si>
    <t>S-1197-202505</t>
  </si>
  <si>
    <t>S-1197-202506</t>
  </si>
  <si>
    <t>S-1200-202403</t>
  </si>
  <si>
    <t>S-1200-202404</t>
  </si>
  <si>
    <t>S-1200-202405</t>
  </si>
  <si>
    <t>S-1200-202406</t>
  </si>
  <si>
    <t>S-1200-202407</t>
  </si>
  <si>
    <t>S-1200-202408</t>
  </si>
  <si>
    <t>S-1200-202409</t>
  </si>
  <si>
    <t>S-1200-202410</t>
  </si>
  <si>
    <t>S-1200-202411</t>
  </si>
  <si>
    <t>S-1200-202412</t>
  </si>
  <si>
    <t>S-1200-202501</t>
  </si>
  <si>
    <t>S-1200-202502</t>
  </si>
  <si>
    <t>S-1200-202503</t>
  </si>
  <si>
    <t>S-1200-202504</t>
  </si>
  <si>
    <t>S-1200-202505</t>
  </si>
  <si>
    <t>S-1210-202408</t>
  </si>
  <si>
    <t>S-1210-202409</t>
  </si>
  <si>
    <t>S-1210-202410</t>
  </si>
  <si>
    <t>S-1210-202411</t>
  </si>
  <si>
    <t>S-1210-202412</t>
  </si>
  <si>
    <t>S-1210-202501</t>
  </si>
  <si>
    <t>S-1210-202502</t>
  </si>
  <si>
    <t>S-1214-202403</t>
  </si>
  <si>
    <t>S-1214-202404</t>
  </si>
  <si>
    <t>S-1214-202405</t>
  </si>
  <si>
    <t>S-1214-202406</t>
  </si>
  <si>
    <t>S-1214-202407</t>
  </si>
  <si>
    <t>S-1214-202408</t>
  </si>
  <si>
    <t>S-1214-202409</t>
  </si>
  <si>
    <t>S-1214-202410</t>
  </si>
  <si>
    <t>S-1214-202411</t>
  </si>
  <si>
    <t>S-1220-202403</t>
  </si>
  <si>
    <t>S-1220-202404</t>
  </si>
  <si>
    <t>S-1220-202405</t>
  </si>
  <si>
    <t>S-1220-202406</t>
  </si>
  <si>
    <t>S-1220-202407</t>
  </si>
  <si>
    <t>S-1220-202408</t>
  </si>
  <si>
    <t>S-1220-202409</t>
  </si>
  <si>
    <t>S-1220-202410</t>
  </si>
  <si>
    <t>S-1222-202402</t>
  </si>
  <si>
    <t>S-1222-202403</t>
  </si>
  <si>
    <t>S-1222-202404</t>
  </si>
  <si>
    <t>S-1222-202405</t>
  </si>
  <si>
    <t>S-1222-202406</t>
  </si>
  <si>
    <t>S-1222-202407</t>
  </si>
  <si>
    <t>S-1222-202408</t>
  </si>
  <si>
    <t>S-1222-202409</t>
  </si>
  <si>
    <t>S-1222-202410</t>
  </si>
  <si>
    <t>S-1222-202411</t>
  </si>
  <si>
    <t>S-1222-202412</t>
  </si>
  <si>
    <t>S-1222-202501</t>
  </si>
  <si>
    <t>S-1222-202502</t>
  </si>
  <si>
    <t>S-1222-202503</t>
  </si>
  <si>
    <t>S-1223-202502</t>
  </si>
  <si>
    <t>S-1223-202503</t>
  </si>
  <si>
    <t>S-1223-202504</t>
  </si>
  <si>
    <t>S-1225-202506</t>
  </si>
  <si>
    <t>S-1226-202410</t>
  </si>
  <si>
    <t>S-1226-202411</t>
  </si>
  <si>
    <t>S-1226-202412</t>
  </si>
  <si>
    <t>S-1226-202501</t>
  </si>
  <si>
    <t>S-1226-202502</t>
  </si>
  <si>
    <t>S-1226-202503</t>
  </si>
  <si>
    <t>S-1229-202501</t>
  </si>
  <si>
    <t>S-1229-202502</t>
  </si>
  <si>
    <t>S-1229-202503</t>
  </si>
  <si>
    <t>S-1229-202504</t>
  </si>
  <si>
    <t>S-1234-202410</t>
  </si>
  <si>
    <t>S-1234-202411</t>
  </si>
  <si>
    <t>S-1234-202412</t>
  </si>
  <si>
    <t>S-1234-202501</t>
  </si>
  <si>
    <t>S-1234-202502</t>
  </si>
  <si>
    <t>S-1235-202502</t>
  </si>
  <si>
    <t>S-1235-202503</t>
  </si>
  <si>
    <t>S-1239-202405</t>
  </si>
  <si>
    <t>S-1239-202406</t>
  </si>
  <si>
    <t>S-1239-202407</t>
  </si>
  <si>
    <t>S-1239-202408</t>
  </si>
  <si>
    <t>S-1239-202409</t>
  </si>
  <si>
    <t>S-1239-202410</t>
  </si>
  <si>
    <t>S-1239-202411</t>
  </si>
  <si>
    <t>S-1239-202412</t>
  </si>
  <si>
    <t>S-1239-202501</t>
  </si>
  <si>
    <t>S-1239-202502</t>
  </si>
  <si>
    <t>S-1239-202503</t>
  </si>
  <si>
    <t>S-1239-202504</t>
  </si>
  <si>
    <t>S-1239-202505</t>
  </si>
  <si>
    <t>S-1241-202409</t>
  </si>
  <si>
    <t>S-1241-202410</t>
  </si>
  <si>
    <t>S-1241-202411</t>
  </si>
  <si>
    <t>S-1241-202412</t>
  </si>
  <si>
    <t>S-1241-202501</t>
  </si>
  <si>
    <t>S-1241-202502</t>
  </si>
  <si>
    <t>S-1241-202503</t>
  </si>
  <si>
    <t>S-1242-202503</t>
  </si>
  <si>
    <t>S-1242-202504</t>
  </si>
  <si>
    <t>S-1242-202505</t>
  </si>
  <si>
    <t>S-1242-202506</t>
  </si>
  <si>
    <t>S-1247-202405</t>
  </si>
  <si>
    <t>S-1247-202406</t>
  </si>
  <si>
    <t>S-1247-202407</t>
  </si>
  <si>
    <t>S-1257-202403</t>
  </si>
  <si>
    <t>S-1257-202404</t>
  </si>
  <si>
    <t>S-1257-202405</t>
  </si>
  <si>
    <t>S-1263-202501</t>
  </si>
  <si>
    <t>S-1263-202502</t>
  </si>
  <si>
    <t>S-1263-202503</t>
  </si>
  <si>
    <t>S-1263-202504</t>
  </si>
  <si>
    <t>S-1263-202505</t>
  </si>
  <si>
    <t>S-1263-202506</t>
  </si>
  <si>
    <t>S-1265-202403</t>
  </si>
  <si>
    <t>S-1265-202404</t>
  </si>
  <si>
    <t>S-1265-202405</t>
  </si>
  <si>
    <t>S-1265-202406</t>
  </si>
  <si>
    <t>S-1268-202405</t>
  </si>
  <si>
    <t>S-1268-202406</t>
  </si>
  <si>
    <t>S-1268-202407</t>
  </si>
  <si>
    <t>S-1268-202408</t>
  </si>
  <si>
    <t>S-1268-202409</t>
  </si>
  <si>
    <t>S-1268-202410</t>
  </si>
  <si>
    <t>S-1268-202411</t>
  </si>
  <si>
    <t>S-1268-202412</t>
  </si>
  <si>
    <t>S-1268-202501</t>
  </si>
  <si>
    <t>S-1268-202502</t>
  </si>
  <si>
    <t>S-1268-202503</t>
  </si>
  <si>
    <t>S-1268-202504</t>
  </si>
  <si>
    <t>S-1268-202505</t>
  </si>
  <si>
    <t>S-1273-202410</t>
  </si>
  <si>
    <t>S-1273-202411</t>
  </si>
  <si>
    <t>S-1273-202412</t>
  </si>
  <si>
    <t>S-1273-202501</t>
  </si>
  <si>
    <t>S-1273-202502</t>
  </si>
  <si>
    <t>S-1273-202503</t>
  </si>
  <si>
    <t>S-1273-202504</t>
  </si>
  <si>
    <t>S-1276-202502</t>
  </si>
  <si>
    <t>S-1276-202503</t>
  </si>
  <si>
    <t>S-1277-202506</t>
  </si>
  <si>
    <t>S-1278-202504</t>
  </si>
  <si>
    <t>S-1278-202505</t>
  </si>
  <si>
    <t>S-1282-202403</t>
  </si>
  <si>
    <t>S-1282-202404</t>
  </si>
  <si>
    <t>S-1282-202405</t>
  </si>
  <si>
    <t>S-1282-202406</t>
  </si>
  <si>
    <t>S-1282-202407</t>
  </si>
  <si>
    <t>S-1282-202408</t>
  </si>
  <si>
    <t>S-1282-202409</t>
  </si>
  <si>
    <t>S-1282-202410</t>
  </si>
  <si>
    <t>S-1282-202411</t>
  </si>
  <si>
    <t>S-1282-202412</t>
  </si>
  <si>
    <t>S-1282-202501</t>
  </si>
  <si>
    <t>S-1282-202502</t>
  </si>
  <si>
    <t>S-1282-202503</t>
  </si>
  <si>
    <t>S-1282-202504</t>
  </si>
  <si>
    <t>S-1282-202505</t>
  </si>
  <si>
    <t>S-1282-202506</t>
  </si>
  <si>
    <t>S-1287-202502</t>
  </si>
  <si>
    <t>S-1287-202503</t>
  </si>
  <si>
    <t>S-1287-202504</t>
  </si>
  <si>
    <t>S-1291-202407</t>
  </si>
  <si>
    <t>S-1291-202408</t>
  </si>
  <si>
    <t>S-1292-202404</t>
  </si>
  <si>
    <t>S-1292-202405</t>
  </si>
  <si>
    <t>S-1292-202406</t>
  </si>
  <si>
    <t>S-1292-202407</t>
  </si>
  <si>
    <t>S-1294-202403</t>
  </si>
  <si>
    <t>S-1294-202404</t>
  </si>
  <si>
    <t>S-1294-202405</t>
  </si>
  <si>
    <t>S-1294-202406</t>
  </si>
  <si>
    <t>S-1294-202407</t>
  </si>
  <si>
    <t>S-1294-202408</t>
  </si>
  <si>
    <t>S-1294-202409</t>
  </si>
  <si>
    <t>S-1294-202410</t>
  </si>
  <si>
    <t>S-1294-202411</t>
  </si>
  <si>
    <t>S-1294-202412</t>
  </si>
  <si>
    <t>S-1294-202501</t>
  </si>
  <si>
    <t>S-1294-202502</t>
  </si>
  <si>
    <t>S-1294-202503</t>
  </si>
  <si>
    <t>S-1294-202504</t>
  </si>
  <si>
    <t>S-1294-202505</t>
  </si>
  <si>
    <t>S-1308-202405</t>
  </si>
  <si>
    <t>S-1308-202406</t>
  </si>
  <si>
    <t>S-1308-202407</t>
  </si>
  <si>
    <t>S-1308-202408</t>
  </si>
  <si>
    <t>S-1308-202409</t>
  </si>
  <si>
    <t>S-1308-202410</t>
  </si>
  <si>
    <t>S-1308-202411</t>
  </si>
  <si>
    <t>S-1308-202412</t>
  </si>
  <si>
    <t>S-1308-202501</t>
  </si>
  <si>
    <t>S-1308-202502</t>
  </si>
  <si>
    <t>S-1308-202503</t>
  </si>
  <si>
    <t>S-1309-202408</t>
  </si>
  <si>
    <t>S-1309-202409</t>
  </si>
  <si>
    <t>S-1309-202410</t>
  </si>
  <si>
    <t>S-1312-202411</t>
  </si>
  <si>
    <t>S-1312-202412</t>
  </si>
  <si>
    <t>S-1312-202501</t>
  </si>
  <si>
    <t>S-1312-202502</t>
  </si>
  <si>
    <t>S-1313-202402</t>
  </si>
  <si>
    <t>S-1313-202403</t>
  </si>
  <si>
    <t>S-1313-202404</t>
  </si>
  <si>
    <t>S-1313-202405</t>
  </si>
  <si>
    <t>S-1313-202406</t>
  </si>
  <si>
    <t>S-1313-202407</t>
  </si>
  <si>
    <t>S-1313-202408</t>
  </si>
  <si>
    <t>S-1313-202409</t>
  </si>
  <si>
    <t>S-1313-202410</t>
  </si>
  <si>
    <t>S-1313-202411</t>
  </si>
  <si>
    <t>S-1313-202412</t>
  </si>
  <si>
    <t>S-1313-202501</t>
  </si>
  <si>
    <t>S-1313-202502</t>
  </si>
  <si>
    <t>S-1332-202501</t>
  </si>
  <si>
    <t>S-1332-202502</t>
  </si>
  <si>
    <t>S-1332-202503</t>
  </si>
  <si>
    <t>S-1337-202408</t>
  </si>
  <si>
    <t>S-1337-202409</t>
  </si>
  <si>
    <t>S-1337-202410</t>
  </si>
  <si>
    <t>S-1337-202411</t>
  </si>
  <si>
    <t>S-1346-202403</t>
  </si>
  <si>
    <t>S-1346-202404</t>
  </si>
  <si>
    <t>S-1346-202405</t>
  </si>
  <si>
    <t>S-1346-202406</t>
  </si>
  <si>
    <t>S-1347-202411</t>
  </si>
  <si>
    <t>S-1347-202412</t>
  </si>
  <si>
    <t>S-1347-202501</t>
  </si>
  <si>
    <t>S-1347-202502</t>
  </si>
  <si>
    <t>S-1347-202503</t>
  </si>
  <si>
    <t>S-1347-202504</t>
  </si>
  <si>
    <t>S-1352-202402</t>
  </si>
  <si>
    <t>S-1352-202403</t>
  </si>
  <si>
    <t>S-1352-202404</t>
  </si>
  <si>
    <t>S-1352-202405</t>
  </si>
  <si>
    <t>S-1352-202406</t>
  </si>
  <si>
    <t>S-1352-202407</t>
  </si>
  <si>
    <t>S-1352-202408</t>
  </si>
  <si>
    <t>S-1352-202409</t>
  </si>
  <si>
    <t>S-1352-202410</t>
  </si>
  <si>
    <t>S-1355-202412</t>
  </si>
  <si>
    <t>S-1355-202501</t>
  </si>
  <si>
    <t>S-1355-202502</t>
  </si>
  <si>
    <t>S-1355-202503</t>
  </si>
  <si>
    <t>S-1358-202406</t>
  </si>
  <si>
    <t>S-1358-202407</t>
  </si>
  <si>
    <t>S-1358-202408</t>
  </si>
  <si>
    <t>S-1358-202409</t>
  </si>
  <si>
    <t>S-1358-202410</t>
  </si>
  <si>
    <t>S-1358-202411</t>
  </si>
  <si>
    <t>S-1358-202412</t>
  </si>
  <si>
    <t>S-1358-202501</t>
  </si>
  <si>
    <t>S-1358-202502</t>
  </si>
  <si>
    <t>S-1358-202503</t>
  </si>
  <si>
    <t>S-1359-202504</t>
  </si>
  <si>
    <t>S-1359-202505</t>
  </si>
  <si>
    <t>S-1359-202506</t>
  </si>
  <si>
    <t>S-1379-202409</t>
  </si>
  <si>
    <t>S-1379-202410</t>
  </si>
  <si>
    <t>S-1379-202411</t>
  </si>
  <si>
    <t>S-1379-202412</t>
  </si>
  <si>
    <t>S-1379-202501</t>
  </si>
  <si>
    <t>S-1379-202502</t>
  </si>
  <si>
    <t>S-1380-202403</t>
  </si>
  <si>
    <t>S-1380-202404</t>
  </si>
  <si>
    <t>S-1380-202405</t>
  </si>
  <si>
    <t>S-1380-202406</t>
  </si>
  <si>
    <t>S-1380-202407</t>
  </si>
  <si>
    <t>S-1380-202408</t>
  </si>
  <si>
    <t>S-1380-202409</t>
  </si>
  <si>
    <t>S-1380-202410</t>
  </si>
  <si>
    <t>S-1380-202411</t>
  </si>
  <si>
    <t>S-1380-202412</t>
  </si>
  <si>
    <t>S-1380-202501</t>
  </si>
  <si>
    <t>S-1380-202502</t>
  </si>
  <si>
    <t>S-1380-202503</t>
  </si>
  <si>
    <t>S-1380-202504</t>
  </si>
  <si>
    <t>S-1380-202505</t>
  </si>
  <si>
    <t>S-1382-202504</t>
  </si>
  <si>
    <t>S-1382-202505</t>
  </si>
  <si>
    <t>S-1386-202404</t>
  </si>
  <si>
    <t>S-1386-202405</t>
  </si>
  <si>
    <t>S-1386-202406</t>
  </si>
  <si>
    <t>S-1386-202407</t>
  </si>
  <si>
    <t>S-1386-202408</t>
  </si>
  <si>
    <t>S-1386-202409</t>
  </si>
  <si>
    <t>S-1386-202410</t>
  </si>
  <si>
    <t>S-1393-202409</t>
  </si>
  <si>
    <t>S-1393-202410</t>
  </si>
  <si>
    <t>S-1393-202411</t>
  </si>
  <si>
    <t>S-1393-202412</t>
  </si>
  <si>
    <t>S-1393-202501</t>
  </si>
  <si>
    <t>S-1393-202502</t>
  </si>
  <si>
    <t>S-1393-202503</t>
  </si>
  <si>
    <t>S-1393-202504</t>
  </si>
  <si>
    <t>S-1397-202405</t>
  </si>
  <si>
    <t>S-1397-202406</t>
  </si>
  <si>
    <t>S-1397-202407</t>
  </si>
  <si>
    <t>S-1397-202408</t>
  </si>
  <si>
    <t>S-1397-202409</t>
  </si>
  <si>
    <t>S-1397-202410</t>
  </si>
  <si>
    <t>S-1397-202411</t>
  </si>
  <si>
    <t>S-1397-202412</t>
  </si>
  <si>
    <t>S-1397-202501</t>
  </si>
  <si>
    <t>S-1397-202502</t>
  </si>
  <si>
    <t>S-1397-202503</t>
  </si>
  <si>
    <t>S-1397-202504</t>
  </si>
  <si>
    <t>S-1401-202501</t>
  </si>
  <si>
    <t>S-1401-202502</t>
  </si>
  <si>
    <t>S-1401-202503</t>
  </si>
  <si>
    <t>S-1401-202504</t>
  </si>
  <si>
    <t>S-1401-202505</t>
  </si>
  <si>
    <t>S-1403-202503</t>
  </si>
  <si>
    <t>S-1403-202504</t>
  </si>
  <si>
    <t>S-1404-202504</t>
  </si>
  <si>
    <t>S-1404-202505</t>
  </si>
  <si>
    <t>S-1414-202502</t>
  </si>
  <si>
    <t>S-1414-202503</t>
  </si>
  <si>
    <t>S-1414-202504</t>
  </si>
  <si>
    <t>S-1414-202505</t>
  </si>
  <si>
    <t>S-1419-202501</t>
  </si>
  <si>
    <t>S-1419-202502</t>
  </si>
  <si>
    <t>S-1419-202503</t>
  </si>
  <si>
    <t>S-1424-202504</t>
  </si>
  <si>
    <t>S-1424-202505</t>
  </si>
  <si>
    <t>S-1428-202406</t>
  </si>
  <si>
    <t>S-1428-202407</t>
  </si>
  <si>
    <t>S-1428-202408</t>
  </si>
  <si>
    <t>S-1428-202409</t>
  </si>
  <si>
    <t>S-1428-202410</t>
  </si>
  <si>
    <t>S-1428-202411</t>
  </si>
  <si>
    <t>S-1428-202412</t>
  </si>
  <si>
    <t>S-1428-202501</t>
  </si>
  <si>
    <t>S-1428-202502</t>
  </si>
  <si>
    <t>S-1438-202503</t>
  </si>
  <si>
    <t>S-1438-202504</t>
  </si>
  <si>
    <t>S-1442-202501</t>
  </si>
  <si>
    <t>S-1442-202502</t>
  </si>
  <si>
    <t>S-1442-202503</t>
  </si>
  <si>
    <t>S-1443-202502</t>
  </si>
  <si>
    <t>S-1443-202503</t>
  </si>
  <si>
    <t>S-1443-202504</t>
  </si>
  <si>
    <t>S-1443-202505</t>
  </si>
  <si>
    <t>S-1443-202506</t>
  </si>
  <si>
    <t>S-1448-202406</t>
  </si>
  <si>
    <t>S-1448-202407</t>
  </si>
  <si>
    <t>S-1448-202408</t>
  </si>
  <si>
    <t>S-1450-202403</t>
  </si>
  <si>
    <t>S-1450-202404</t>
  </si>
  <si>
    <t>S-1450-202405</t>
  </si>
  <si>
    <t>S-1450-202406</t>
  </si>
  <si>
    <t>S-1450-202407</t>
  </si>
  <si>
    <t>S-1450-202408</t>
  </si>
  <si>
    <t>S-1450-202409</t>
  </si>
  <si>
    <t>S-1450-202410</t>
  </si>
  <si>
    <t>S-1450-202411</t>
  </si>
  <si>
    <t>S-1450-202412</t>
  </si>
  <si>
    <t>S-1450-202501</t>
  </si>
  <si>
    <t>S-1450-202502</t>
  </si>
  <si>
    <t>S-1450-202503</t>
  </si>
  <si>
    <t>S-1450-202504</t>
  </si>
  <si>
    <t>S-1453-202504</t>
  </si>
  <si>
    <t>S-1453-202505</t>
  </si>
  <si>
    <t>S-1457-202501</t>
  </si>
  <si>
    <t>S-1457-202502</t>
  </si>
  <si>
    <t>S-1457-202503</t>
  </si>
  <si>
    <t>S-1457-202504</t>
  </si>
  <si>
    <t>S-1457-202505</t>
  </si>
  <si>
    <t>S-1465-202409</t>
  </si>
  <si>
    <t>S-1465-202410</t>
  </si>
  <si>
    <t>S-1465-202411</t>
  </si>
  <si>
    <t>S-1471-202401</t>
  </si>
  <si>
    <t>S-1471-202402</t>
  </si>
  <si>
    <t>S-1471-202403</t>
  </si>
  <si>
    <t>S-1471-202404</t>
  </si>
  <si>
    <t>S-1471-202405</t>
  </si>
  <si>
    <t>S-1475-202408</t>
  </si>
  <si>
    <t>S-1475-202409</t>
  </si>
  <si>
    <t>S-1475-202410</t>
  </si>
  <si>
    <t>S-1475-202411</t>
  </si>
  <si>
    <t>S-1475-202412</t>
  </si>
  <si>
    <t>S-1475-202501</t>
  </si>
  <si>
    <t>S-1475-202502</t>
  </si>
  <si>
    <t>S-1475-202503</t>
  </si>
  <si>
    <t>S-1478-202403</t>
  </si>
  <si>
    <t>S-1478-202404</t>
  </si>
  <si>
    <t>S-1478-202405</t>
  </si>
  <si>
    <t>S-1478-202406</t>
  </si>
  <si>
    <t>S-1478-202407</t>
  </si>
  <si>
    <t>S-1478-202408</t>
  </si>
  <si>
    <t>S-1478-202409</t>
  </si>
  <si>
    <t>S-1501-202503</t>
  </si>
  <si>
    <t>S-1501-202504</t>
  </si>
  <si>
    <t>S-1501-202505</t>
  </si>
  <si>
    <t>S-1510-202401</t>
  </si>
  <si>
    <t>S-1510-202402</t>
  </si>
  <si>
    <t>S-1510-202403</t>
  </si>
  <si>
    <t>S-1510-202404</t>
  </si>
  <si>
    <t>S-1510-202405</t>
  </si>
  <si>
    <t>S-1510-202406</t>
  </si>
  <si>
    <t>S-1510-202407</t>
  </si>
  <si>
    <t>S-1510-202408</t>
  </si>
  <si>
    <t>S-1510-202409</t>
  </si>
  <si>
    <t>S-1510-202410</t>
  </si>
  <si>
    <t>S-1510-202411</t>
  </si>
  <si>
    <t>S-1519-202402</t>
  </si>
  <si>
    <t>S-1519-202403</t>
  </si>
  <si>
    <t>S-1519-202404</t>
  </si>
  <si>
    <t>S-1519-202405</t>
  </si>
  <si>
    <t>S-1519-202406</t>
  </si>
  <si>
    <t>S-1519-202407</t>
  </si>
  <si>
    <t>S-1519-202408</t>
  </si>
  <si>
    <t>S-1519-202409</t>
  </si>
  <si>
    <t>S-1519-202410</t>
  </si>
  <si>
    <t>S-1519-202411</t>
  </si>
  <si>
    <t>S-1519-202412</t>
  </si>
  <si>
    <t>S-1519-202501</t>
  </si>
  <si>
    <t>S-1519-202502</t>
  </si>
  <si>
    <t>S-1519-202503</t>
  </si>
  <si>
    <t>S-1519-202504</t>
  </si>
  <si>
    <t>S-1519-202505</t>
  </si>
  <si>
    <t>S-1525-202502</t>
  </si>
  <si>
    <t>S-1525-202503</t>
  </si>
  <si>
    <t>S-1525-202504</t>
  </si>
  <si>
    <t>S-1544-202411</t>
  </si>
  <si>
    <t>S-1544-202412</t>
  </si>
  <si>
    <t>S-1544-202501</t>
  </si>
  <si>
    <t>S-1544-202502</t>
  </si>
  <si>
    <t>S-1544-202503</t>
  </si>
  <si>
    <t>S-1544-202504</t>
  </si>
  <si>
    <t>S-1552-202407</t>
  </si>
  <si>
    <t>S-1552-202408</t>
  </si>
  <si>
    <t>S-1552-202409</t>
  </si>
  <si>
    <t>S-1552-202410</t>
  </si>
  <si>
    <t>S-1552-202411</t>
  </si>
  <si>
    <t>S-1552-202412</t>
  </si>
  <si>
    <t>S-1552-202501</t>
  </si>
  <si>
    <t>S-1552-202502</t>
  </si>
  <si>
    <t>S-1552-202503</t>
  </si>
  <si>
    <t>S-1557-202503</t>
  </si>
  <si>
    <t>S-1557-202504</t>
  </si>
  <si>
    <t>S-1558-202402</t>
  </si>
  <si>
    <t>S-1558-202403</t>
  </si>
  <si>
    <t>S-1565-202403</t>
  </si>
  <si>
    <t>S-1565-202404</t>
  </si>
  <si>
    <t>S-1565-202405</t>
  </si>
  <si>
    <t>S-1570-202402</t>
  </si>
  <si>
    <t>S-1570-202403</t>
  </si>
  <si>
    <t>S-1570-202404</t>
  </si>
  <si>
    <t>S-1570-202405</t>
  </si>
  <si>
    <t>S-1570-202406</t>
  </si>
  <si>
    <t>S-1570-202407</t>
  </si>
  <si>
    <t>S-1570-202408</t>
  </si>
  <si>
    <t>S-1570-202409</t>
  </si>
  <si>
    <t>S-1570-202410</t>
  </si>
  <si>
    <t>S-1570-202411</t>
  </si>
  <si>
    <t>S-1570-202412</t>
  </si>
  <si>
    <t>S-1570-202501</t>
  </si>
  <si>
    <t>S-1570-202502</t>
  </si>
  <si>
    <t>S-1570-202503</t>
  </si>
  <si>
    <t>S-1576-202406</t>
  </si>
  <si>
    <t>S-1576-202407</t>
  </si>
  <si>
    <t>S-1576-202408</t>
  </si>
  <si>
    <t>S-1576-202409</t>
  </si>
  <si>
    <t>S-1576-202410</t>
  </si>
  <si>
    <t>S-1576-202411</t>
  </si>
  <si>
    <t>S-1576-202412</t>
  </si>
  <si>
    <t>S-1576-202501</t>
  </si>
  <si>
    <t>S-1576-202502</t>
  </si>
  <si>
    <t>S-1576-202503</t>
  </si>
  <si>
    <t>S-1579-202502</t>
  </si>
  <si>
    <t>S-1579-202503</t>
  </si>
  <si>
    <t>S-1579-202504</t>
  </si>
  <si>
    <t>S-1586-202502</t>
  </si>
  <si>
    <t>S-1586-202503</t>
  </si>
  <si>
    <t>S-1586-202504</t>
  </si>
  <si>
    <t>S-1586-202505</t>
  </si>
  <si>
    <t>S-1586-202506</t>
  </si>
  <si>
    <t>S-1593-202505</t>
  </si>
  <si>
    <t>S-1595-202405</t>
  </si>
  <si>
    <t>S-1595-202406</t>
  </si>
  <si>
    <t>S-1595-202407</t>
  </si>
  <si>
    <t>S-1595-202408</t>
  </si>
  <si>
    <t>S-1599-202406</t>
  </si>
  <si>
    <t>S-1599-202407</t>
  </si>
  <si>
    <t>S-1599-202408</t>
  </si>
  <si>
    <t>S-1599-202409</t>
  </si>
  <si>
    <t>S-1599-202410</t>
  </si>
  <si>
    <t>S-1599-202411</t>
  </si>
  <si>
    <t>S-1599-202412</t>
  </si>
  <si>
    <t>S-1599-202501</t>
  </si>
  <si>
    <t>S-1599-202502</t>
  </si>
  <si>
    <t>S-1602-202506</t>
  </si>
  <si>
    <t>S-1607-202503</t>
  </si>
  <si>
    <t>S-1607-202504</t>
  </si>
  <si>
    <t>S-1607-202505</t>
  </si>
  <si>
    <t>S-1616-202404</t>
  </si>
  <si>
    <t>S-1616-202405</t>
  </si>
  <si>
    <t>S-1616-202406</t>
  </si>
  <si>
    <t>S-1616-202407</t>
  </si>
  <si>
    <t>S-1616-202408</t>
  </si>
  <si>
    <t>S-1616-202409</t>
  </si>
  <si>
    <t>S-1616-202410</t>
  </si>
  <si>
    <t>S-1616-202411</t>
  </si>
  <si>
    <t>S-1616-202412</t>
  </si>
  <si>
    <t>S-1616-202501</t>
  </si>
  <si>
    <t>S-1616-202502</t>
  </si>
  <si>
    <t>S-1616-202503</t>
  </si>
  <si>
    <t>S-1617-202401</t>
  </si>
  <si>
    <t>S-1617-202402</t>
  </si>
  <si>
    <t>S-1617-202403</t>
  </si>
  <si>
    <t>S-1617-202404</t>
  </si>
  <si>
    <t>S-1617-202405</t>
  </si>
  <si>
    <t>S-1617-202406</t>
  </si>
  <si>
    <t>S-1617-202407</t>
  </si>
  <si>
    <t>S-1617-202408</t>
  </si>
  <si>
    <t>S-1617-202409</t>
  </si>
  <si>
    <t>S-1617-202410</t>
  </si>
  <si>
    <t>S-1617-202411</t>
  </si>
  <si>
    <t>S-1617-202412</t>
  </si>
  <si>
    <t>S-1617-202501</t>
  </si>
  <si>
    <t>S-1617-202502</t>
  </si>
  <si>
    <t>S-1624-202407</t>
  </si>
  <si>
    <t>S-1624-202408</t>
  </si>
  <si>
    <t>S-1629-202411</t>
  </si>
  <si>
    <t>S-1629-202412</t>
  </si>
  <si>
    <t>S-1629-202501</t>
  </si>
  <si>
    <t>S-1629-202502</t>
  </si>
  <si>
    <t>S-1629-202503</t>
  </si>
  <si>
    <t>S-1629-202504</t>
  </si>
  <si>
    <t>S-1656-202410</t>
  </si>
  <si>
    <t>S-1656-202411</t>
  </si>
  <si>
    <t>S-1656-202412</t>
  </si>
  <si>
    <t>S-1656-202501</t>
  </si>
  <si>
    <t>S-1672-202408</t>
  </si>
  <si>
    <t>S-1672-202409</t>
  </si>
  <si>
    <t>S-1683-202403</t>
  </si>
  <si>
    <t>S-1683-202404</t>
  </si>
  <si>
    <t>S-1683-202405</t>
  </si>
  <si>
    <t>S-1683-202406</t>
  </si>
  <si>
    <t>S-1683-202407</t>
  </si>
  <si>
    <t>S-1683-202408</t>
  </si>
  <si>
    <t>S-1683-202409</t>
  </si>
  <si>
    <t>S-1683-202410</t>
  </si>
  <si>
    <t>S-1683-202411</t>
  </si>
  <si>
    <t>S-1683-202412</t>
  </si>
  <si>
    <t>S-1683-202501</t>
  </si>
  <si>
    <t>S-1683-202502</t>
  </si>
  <si>
    <t>S-1683-202503</t>
  </si>
  <si>
    <t>S-1683-202504</t>
  </si>
  <si>
    <t>S-1683-202505</t>
  </si>
  <si>
    <t>S-1683-202506</t>
  </si>
  <si>
    <t>S-1686-202404</t>
  </si>
  <si>
    <t>S-1686-202405</t>
  </si>
  <si>
    <t>S-1686-202406</t>
  </si>
  <si>
    <t>S-1686-202407</t>
  </si>
  <si>
    <t>S-1686-202408</t>
  </si>
  <si>
    <t>S-1686-202409</t>
  </si>
  <si>
    <t>S-1686-202410</t>
  </si>
  <si>
    <t>S-1686-202411</t>
  </si>
  <si>
    <t>S-1686-202412</t>
  </si>
  <si>
    <t>S-1686-202501</t>
  </si>
  <si>
    <t>S-1686-202502</t>
  </si>
  <si>
    <t>S-1686-202503</t>
  </si>
  <si>
    <t>S-1686-202504</t>
  </si>
  <si>
    <t>S-1697-202504</t>
  </si>
  <si>
    <t>S-1697-202505</t>
  </si>
  <si>
    <t>S-1709-202407</t>
  </si>
  <si>
    <t>S-1709-202408</t>
  </si>
  <si>
    <t>S-1709-202409</t>
  </si>
  <si>
    <t>S-1709-202410</t>
  </si>
  <si>
    <t>S-1709-202411</t>
  </si>
  <si>
    <t>S-1709-202412</t>
  </si>
  <si>
    <t>S-1709-202501</t>
  </si>
  <si>
    <t>S-1709-202502</t>
  </si>
  <si>
    <t>S-1713-202409</t>
  </si>
  <si>
    <t>S-1713-202410</t>
  </si>
  <si>
    <t>S-1714-202407</t>
  </si>
  <si>
    <t>S-1714-202408</t>
  </si>
  <si>
    <t>S-1717-202506</t>
  </si>
  <si>
    <t>S-1721-202410</t>
  </si>
  <si>
    <t>S-1721-202411</t>
  </si>
  <si>
    <t>S-1721-202412</t>
  </si>
  <si>
    <t>S-1721-202501</t>
  </si>
  <si>
    <t>S-1721-202502</t>
  </si>
  <si>
    <t>S-1721-202503</t>
  </si>
  <si>
    <t>S-1724-202411</t>
  </si>
  <si>
    <t>S-1724-202412</t>
  </si>
  <si>
    <t>S-1724-202501</t>
  </si>
  <si>
    <t>S-1724-202502</t>
  </si>
  <si>
    <t>S-1724-202503</t>
  </si>
  <si>
    <t>S-1726-202503</t>
  </si>
  <si>
    <t>S-1726-202504</t>
  </si>
  <si>
    <t>S-1727-202501</t>
  </si>
  <si>
    <t>S-1727-202502</t>
  </si>
  <si>
    <t>S-1727-202503</t>
  </si>
  <si>
    <t>S-1727-202504</t>
  </si>
  <si>
    <t>S-1727-202505</t>
  </si>
  <si>
    <t>S-1727-202506</t>
  </si>
  <si>
    <t>S-1736-202412</t>
  </si>
  <si>
    <t>S-1736-202501</t>
  </si>
  <si>
    <t>S-1736-202502</t>
  </si>
  <si>
    <t>S-1737-202406</t>
  </si>
  <si>
    <t>S-1737-202407</t>
  </si>
  <si>
    <t>S-1737-202408</t>
  </si>
  <si>
    <t>S-1737-202409</t>
  </si>
  <si>
    <t>S-1737-202410</t>
  </si>
  <si>
    <t>S-1747-202405</t>
  </si>
  <si>
    <t>S-1747-202406</t>
  </si>
  <si>
    <t>S-1747-202407</t>
  </si>
  <si>
    <t>S-1750-202410</t>
  </si>
  <si>
    <t>S-1750-202411</t>
  </si>
  <si>
    <t>S-1750-202412</t>
  </si>
  <si>
    <t>S-1750-202501</t>
  </si>
  <si>
    <t>S-1750-202502</t>
  </si>
  <si>
    <t>S-1750-202503</t>
  </si>
  <si>
    <t>S-1750-202504</t>
  </si>
  <si>
    <t>S-1759-202405</t>
  </si>
  <si>
    <t>S-1759-202406</t>
  </si>
  <si>
    <t>S-1759-202407</t>
  </si>
  <si>
    <t>S-1759-202408</t>
  </si>
  <si>
    <t>S-1759-202409</t>
  </si>
  <si>
    <t>S-1759-202410</t>
  </si>
  <si>
    <t>S-1759-202411</t>
  </si>
  <si>
    <t>S-1759-202412</t>
  </si>
  <si>
    <t>S-1764-202412</t>
  </si>
  <si>
    <t>S-1764-202501</t>
  </si>
  <si>
    <t>S-1765-202406</t>
  </si>
  <si>
    <t>S-1765-202407</t>
  </si>
  <si>
    <t>S-1765-202408</t>
  </si>
  <si>
    <t>S-1765-202409</t>
  </si>
  <si>
    <t>S-1765-202410</t>
  </si>
  <si>
    <t>S-1765-202411</t>
  </si>
  <si>
    <t>S-1767-202412</t>
  </si>
  <si>
    <t>S-1767-202501</t>
  </si>
  <si>
    <t>S-1767-202502</t>
  </si>
  <si>
    <t>S-1767-202503</t>
  </si>
  <si>
    <t>S-1768-202506</t>
  </si>
  <si>
    <t>S-1791-202505</t>
  </si>
  <si>
    <t>S-1806-202412</t>
  </si>
  <si>
    <t>S-1806-202501</t>
  </si>
  <si>
    <t>S-1806-202502</t>
  </si>
  <si>
    <t>S-1806-202503</t>
  </si>
  <si>
    <t>S-1807-202412</t>
  </si>
  <si>
    <t>S-1807-202501</t>
  </si>
  <si>
    <t>S-1807-202502</t>
  </si>
  <si>
    <t>S-1807-202503</t>
  </si>
  <si>
    <t>S-1810-202412</t>
  </si>
  <si>
    <t>S-1810-202501</t>
  </si>
  <si>
    <t>S-1810-202502</t>
  </si>
  <si>
    <t>S-1810-202503</t>
  </si>
  <si>
    <t>S-1817-202404</t>
  </si>
  <si>
    <t>S-1817-202405</t>
  </si>
  <si>
    <t>S-1822-202502</t>
  </si>
  <si>
    <t>S-1822-202503</t>
  </si>
  <si>
    <t>S-1824-202505</t>
  </si>
  <si>
    <t>S-1834-202503</t>
  </si>
  <si>
    <t>S-1834-202504</t>
  </si>
  <si>
    <t>S-1834-202505</t>
  </si>
  <si>
    <t>S-1844-202402</t>
  </si>
  <si>
    <t>S-1844-202403</t>
  </si>
  <si>
    <t>S-1844-202404</t>
  </si>
  <si>
    <t>S-1844-202405</t>
  </si>
  <si>
    <t>S-1844-202406</t>
  </si>
  <si>
    <t>S-1844-202407</t>
  </si>
  <si>
    <t>S-1844-202408</t>
  </si>
  <si>
    <t>S-1844-202409</t>
  </si>
  <si>
    <t>S-1844-202410</t>
  </si>
  <si>
    <t>S-1844-202411</t>
  </si>
  <si>
    <t>S-1844-202412</t>
  </si>
  <si>
    <t>S-1844-202501</t>
  </si>
  <si>
    <t>S-1844-202502</t>
  </si>
  <si>
    <t>S-1844-202503</t>
  </si>
  <si>
    <t>S-1876-202412</t>
  </si>
  <si>
    <t>S-1876-202501</t>
  </si>
  <si>
    <t>S-1876-202502</t>
  </si>
  <si>
    <t>S-1876-202503</t>
  </si>
  <si>
    <t>S-1876-202504</t>
  </si>
  <si>
    <t>S-1876-202505</t>
  </si>
  <si>
    <t>S-1883-202502</t>
  </si>
  <si>
    <t>S-1883-202503</t>
  </si>
  <si>
    <t>S-1889-202401</t>
  </si>
  <si>
    <t>S-1889-202402</t>
  </si>
  <si>
    <t>S-1889-202403</t>
  </si>
  <si>
    <t>S-1889-202404</t>
  </si>
  <si>
    <t>S-1889-202405</t>
  </si>
  <si>
    <t>S-1889-202406</t>
  </si>
  <si>
    <t>S-1889-202407</t>
  </si>
  <si>
    <t>S-1889-202408</t>
  </si>
  <si>
    <t>S-1889-202409</t>
  </si>
  <si>
    <t>S-1889-202410</t>
  </si>
  <si>
    <t>S-1896-202503</t>
  </si>
  <si>
    <t>S-1896-202504</t>
  </si>
  <si>
    <t>S-1896-202505</t>
  </si>
  <si>
    <t>S-1896-202506</t>
  </si>
  <si>
    <t>S-1899-202401</t>
  </si>
  <si>
    <t>S-1899-202402</t>
  </si>
  <si>
    <t>S-1899-202403</t>
  </si>
  <si>
    <t>S-1899-202404</t>
  </si>
  <si>
    <t>S-1899-202405</t>
  </si>
  <si>
    <t>S-1899-202406</t>
  </si>
  <si>
    <t>S-1899-202407</t>
  </si>
  <si>
    <t>S-1899-202408</t>
  </si>
  <si>
    <t>S-1899-202409</t>
  </si>
  <si>
    <t>S-1899-202410</t>
  </si>
  <si>
    <t>S-1899-202411</t>
  </si>
  <si>
    <t>S-1899-202412</t>
  </si>
  <si>
    <t>S-1900-202503</t>
  </si>
  <si>
    <t>S-1900-202504</t>
  </si>
  <si>
    <t>S-1918-202406</t>
  </si>
  <si>
    <t>S-1918-202407</t>
  </si>
  <si>
    <t>S-1918-202408</t>
  </si>
  <si>
    <t>S-1918-202409</t>
  </si>
  <si>
    <t>S-1918-202410</t>
  </si>
  <si>
    <t>S-1918-202411</t>
  </si>
  <si>
    <t>S-1924-202410</t>
  </si>
  <si>
    <t>S-1924-202411</t>
  </si>
  <si>
    <t>S-1924-202412</t>
  </si>
  <si>
    <t>S-1924-202501</t>
  </si>
  <si>
    <t>S-1924-202502</t>
  </si>
  <si>
    <t>S-1924-202503</t>
  </si>
  <si>
    <t>S-1924-202504</t>
  </si>
  <si>
    <t>S-1924-202505</t>
  </si>
  <si>
    <t>S-1929-202409</t>
  </si>
  <si>
    <t>S-1929-202410</t>
  </si>
  <si>
    <t>S-1929-202411</t>
  </si>
  <si>
    <t>S-1951-202405</t>
  </si>
  <si>
    <t>S-1951-202406</t>
  </si>
  <si>
    <t>S-1951-202407</t>
  </si>
  <si>
    <t>S-1951-202408</t>
  </si>
  <si>
    <t>S-1951-202409</t>
  </si>
  <si>
    <t>S-1951-202410</t>
  </si>
  <si>
    <t>S-1953-202506</t>
  </si>
  <si>
    <t>S-1965-202401</t>
  </si>
  <si>
    <t>S-1965-202402</t>
  </si>
  <si>
    <t>S-1965-202403</t>
  </si>
  <si>
    <t>S-1965-202404</t>
  </si>
  <si>
    <t>S-1965-202405</t>
  </si>
  <si>
    <t>S-1965-202406</t>
  </si>
  <si>
    <t>S-1965-202407</t>
  </si>
  <si>
    <t>S-1965-202408</t>
  </si>
  <si>
    <t>S-1965-202409</t>
  </si>
  <si>
    <t>S-1965-202410</t>
  </si>
  <si>
    <t>S-1965-202411</t>
  </si>
  <si>
    <t>S-1965-202412</t>
  </si>
  <si>
    <t>S-1965-202501</t>
  </si>
  <si>
    <t>S-1965-202502</t>
  </si>
  <si>
    <t>S-1965-202503</t>
  </si>
  <si>
    <t>S-1965-202504</t>
  </si>
  <si>
    <t>S-1965-202505</t>
  </si>
  <si>
    <t>S-1970-202412</t>
  </si>
  <si>
    <t>S-1970-202501</t>
  </si>
  <si>
    <t>S-1970-202502</t>
  </si>
  <si>
    <t>S-1970-202503</t>
  </si>
  <si>
    <t>S-1970-202504</t>
  </si>
  <si>
    <t>S-1970-202505</t>
  </si>
  <si>
    <t>S-1970-202506</t>
  </si>
  <si>
    <t>S-1975-202402</t>
  </si>
  <si>
    <t>S-1975-202403</t>
  </si>
  <si>
    <t>S-1975-202404</t>
  </si>
  <si>
    <t>S-1975-202405</t>
  </si>
  <si>
    <t>S-1975-202406</t>
  </si>
  <si>
    <t>S-1982-202406</t>
  </si>
  <si>
    <t>S-1982-202407</t>
  </si>
  <si>
    <t>S-1982-202408</t>
  </si>
  <si>
    <t>S-1982-202409</t>
  </si>
  <si>
    <t>S-1982-202410</t>
  </si>
  <si>
    <t>S-1982-202411</t>
  </si>
  <si>
    <t>S-1982-202412</t>
  </si>
  <si>
    <t>S-1982-202501</t>
  </si>
  <si>
    <t>S-1982-202502</t>
  </si>
  <si>
    <t>S-1982-202503</t>
  </si>
  <si>
    <t>S-1982-202504</t>
  </si>
  <si>
    <t>S-1982-202505</t>
  </si>
  <si>
    <t>S-1986-202406</t>
  </si>
  <si>
    <t>S-1986-202407</t>
  </si>
  <si>
    <t>S-1986-202408</t>
  </si>
  <si>
    <t>S-1986-202409</t>
  </si>
  <si>
    <t>S-1986-202410</t>
  </si>
  <si>
    <t>S-1988-202411</t>
  </si>
  <si>
    <t>S-1988-202412</t>
  </si>
  <si>
    <t>S-1988-202501</t>
  </si>
  <si>
    <t>S-1988-202502</t>
  </si>
  <si>
    <t>S-1988-202503</t>
  </si>
  <si>
    <t>S-1999-202504</t>
  </si>
  <si>
    <t>S-1999-202505</t>
  </si>
  <si>
    <t>is_churned</t>
  </si>
  <si>
    <t>churn_year</t>
  </si>
  <si>
    <t>churn_month</t>
  </si>
  <si>
    <t>signup_year</t>
  </si>
  <si>
    <t>signup_month</t>
  </si>
  <si>
    <t>tenure_months</t>
  </si>
  <si>
    <t>lifetime_value</t>
  </si>
  <si>
    <t>plan_numeric</t>
  </si>
  <si>
    <t>at_risk_flag</t>
  </si>
  <si>
    <t>mrr_lost</t>
  </si>
  <si>
    <t>churn_cohort</t>
  </si>
  <si>
    <t>DESCRIPTIVE STATISTICS – Customer Churn Analysis</t>
  </si>
  <si>
    <t>MONTHLY FEE (D col = Calculations!D)</t>
  </si>
  <si>
    <t>Metric</t>
  </si>
  <si>
    <t>Formula</t>
  </si>
  <si>
    <t>Result</t>
  </si>
  <si>
    <t>Count</t>
  </si>
  <si>
    <t>Sum</t>
  </si>
  <si>
    <t>Mean</t>
  </si>
  <si>
    <t>Median</t>
  </si>
  <si>
    <t>Std Dev</t>
  </si>
  <si>
    <t>Min</t>
  </si>
  <si>
    <t>Max</t>
  </si>
  <si>
    <t>Mode</t>
  </si>
  <si>
    <t>TENURE MONTHS (L col = Calculations!L)</t>
  </si>
  <si>
    <t>LIFETIME VALUE (M col = Calculations!M)</t>
  </si>
  <si>
    <t>ACQUISITION COST (E col = Calculations!E)</t>
  </si>
  <si>
    <t>SEGMENTATION ANALYSIS – By Plan Type</t>
  </si>
  <si>
    <t>Total Customers</t>
  </si>
  <si>
    <t>Active</t>
  </si>
  <si>
    <t>Churn Rate</t>
  </si>
  <si>
    <t>Avg MRR</t>
  </si>
  <si>
    <t>Total LTV</t>
  </si>
  <si>
    <t>Avg Tenure</t>
  </si>
  <si>
    <t>TOTAL</t>
  </si>
  <si>
    <t>MONTHLY CHURN TREND ANALYSIS</t>
  </si>
  <si>
    <t>New Signups</t>
  </si>
  <si>
    <t>MRR Gained</t>
  </si>
  <si>
    <t>Net MRR Change</t>
  </si>
  <si>
    <t>Trend Bar</t>
  </si>
  <si>
    <t>CORRELATION ANALYSIS – Churn Drivers</t>
  </si>
  <si>
    <t>Factor</t>
  </si>
  <si>
    <t>Column Ref</t>
  </si>
  <si>
    <t>Corr with Is_Churned</t>
  </si>
  <si>
    <t>Interpretation</t>
  </si>
  <si>
    <t>Calculations!D2:Calculations!D1001</t>
  </si>
  <si>
    <t>Higher fee = less/more churn?</t>
  </si>
  <si>
    <t>Calculations!L2:Calculations!L1001</t>
  </si>
  <si>
    <t>Longer tenure = lower churn risk</t>
  </si>
  <si>
    <t>Calculations!M2:Calculations!M1001</t>
  </si>
  <si>
    <t>Higher LTV = lower churn tendency</t>
  </si>
  <si>
    <t>Plan Numeric</t>
  </si>
  <si>
    <t>Calculations!N2:Calculations!N1001</t>
  </si>
  <si>
    <t>Plan tier vs churn propensity</t>
  </si>
  <si>
    <t>Acq Cost</t>
  </si>
  <si>
    <t>Calculations!E2:Calculations!E1001</t>
  </si>
  <si>
    <t>Higher CAC customers churn differently</t>
  </si>
  <si>
    <t>WHAT-IF SCENARIO: Retention ROI Analysis</t>
  </si>
  <si>
    <t>── ASSUMPTIONS (change these blue cells) ──</t>
  </si>
  <si>
    <t>Retention Improvement %</t>
  </si>
  <si>
    <t>Cost per Retention Intervention</t>
  </si>
  <si>
    <t>Average MRR per Customer</t>
  </si>
  <si>
    <t>Total Churned Customers</t>
  </si>
  <si>
    <t>Total MRR Lost (Baseline)</t>
  </si>
  <si>
    <t>── SCENARIO OUTPUTS ──</t>
  </si>
  <si>
    <t>Customers Saved (Estimated)</t>
  </si>
  <si>
    <t>MRR Recovered</t>
  </si>
  <si>
    <t>Annual Revenue Recovery</t>
  </si>
  <si>
    <t>Intervention Cost (Total)</t>
  </si>
  <si>
    <t>Net ROI ($)</t>
  </si>
  <si>
    <t>ROI %</t>
  </si>
  <si>
    <t>Payback Period (months)</t>
  </si>
  <si>
    <t>── MULTI-SCENARIO COMPARISON (10% / 20% / 30% Retention Lift) ──</t>
  </si>
  <si>
    <t>Scenario</t>
  </si>
  <si>
    <t>Retention %</t>
  </si>
  <si>
    <t>Customers Saved</t>
  </si>
  <si>
    <t>Annual Revenue</t>
  </si>
  <si>
    <t>Net ROI</t>
  </si>
  <si>
    <t>Conservative</t>
  </si>
  <si>
    <t>Base Case</t>
  </si>
  <si>
    <t>Optimistic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</si>
</sst>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\$#,##0"/>
    <numFmt numFmtId="166" formatCode="0.000"/>
    <numFmt numFmtId="167" formatCode="0.0"/>
  </numFmts>
  <fonts count="38" x14ac:knownFonts="1">
    <font>
      <sz val="11"/>
      <color theme="1"/>
      <name val="Calibri"/>
      <family val="2"/>
      <charset val="1"/>
    </font>
    <font>
      <b/>
      <sz val="16"/>
      <color rgb="FF00FFFF"/>
      <name val="Arial"/>
      <family val="2"/>
    </font>
    <font>
      <i/>
      <sz val="11"/>
      <color rgb="FFAAAAAA"/>
      <name val="Arial"/>
      <family val="2"/>
    </font>
    <font>
      <b/>
      <sz val="9"/>
      <color rgb="FF00FFFF"/>
      <name val="Arial"/>
      <family val="2"/>
    </font>
    <font>
      <b/>
      <sz val="9"/>
      <color rgb="FFFF006E"/>
      <name val="Arial"/>
      <family val="2"/>
    </font>
    <font>
      <b/>
      <sz val="9"/>
      <color rgb="FFFFD700"/>
      <name val="Arial"/>
      <family val="2"/>
    </font>
    <font>
      <b/>
      <sz val="22"/>
      <color rgb="FF00FF41"/>
      <name val="Arial"/>
      <family val="2"/>
    </font>
    <font>
      <b/>
      <sz val="22"/>
      <color rgb="FFFF006E"/>
      <name val="Arial"/>
      <family val="2"/>
    </font>
    <font>
      <b/>
      <sz val="22"/>
      <color rgb="FFFFD700"/>
      <name val="Arial"/>
      <family val="2"/>
    </font>
    <font>
      <b/>
      <sz val="9"/>
      <color rgb="FF00FF41"/>
      <name val="Arial"/>
      <family val="2"/>
    </font>
    <font>
      <b/>
      <sz val="22"/>
      <color rgb="FF00FFFF"/>
      <name val="Arial"/>
      <family val="2"/>
    </font>
    <font>
      <b/>
      <sz val="11"/>
      <color rgb="FF2A2A2A"/>
      <name val="Arial"/>
      <family val="2"/>
    </font>
    <font>
      <b/>
      <sz val="11"/>
      <color rgb="FF00FF41"/>
      <name val="Arial"/>
      <family val="2"/>
    </font>
    <font>
      <b/>
      <sz val="9"/>
      <color rgb="FF0D0D0D"/>
      <name val="Arial"/>
      <family val="2"/>
    </font>
    <font>
      <b/>
      <sz val="10"/>
      <color rgb="FF00FFFF"/>
      <name val="Arial"/>
      <family val="2"/>
    </font>
    <font>
      <sz val="11"/>
      <color rgb="FFFFFFFF"/>
      <name val="Arial"/>
      <family val="2"/>
    </font>
    <font>
      <sz val="11"/>
      <color rgb="FFFF006E"/>
      <name val="Arial"/>
      <family val="2"/>
    </font>
    <font>
      <sz val="11"/>
      <color rgb="FFFFD700"/>
      <name val="Arial"/>
      <family val="2"/>
    </font>
    <font>
      <sz val="11"/>
      <color rgb="FF00FFFF"/>
      <name val="Arial"/>
      <family val="2"/>
    </font>
    <font>
      <b/>
      <sz val="10"/>
      <color rgb="FFFF006E"/>
      <name val="Arial"/>
      <family val="2"/>
    </font>
    <font>
      <b/>
      <sz val="10"/>
      <color rgb="FFFFD700"/>
      <name val="Arial"/>
      <family val="2"/>
    </font>
    <font>
      <sz val="9"/>
      <color rgb="FFFFD700"/>
      <name val="Arial"/>
      <family val="2"/>
    </font>
    <font>
      <sz val="9"/>
      <color rgb="FFFF006E"/>
      <name val="Arial"/>
      <family val="2"/>
    </font>
    <font>
      <sz val="9"/>
      <color rgb="FFFF006E"/>
      <name val="Courier New"/>
      <family val="3"/>
    </font>
    <font>
      <b/>
      <sz val="11"/>
      <color rgb="FF00FFFF"/>
      <name val="Arial"/>
      <family val="2"/>
    </font>
    <font>
      <i/>
      <sz val="11"/>
      <color rgb="FFFFFFFF"/>
      <name val="Arial"/>
      <family val="2"/>
    </font>
    <font>
      <sz val="11"/>
      <color rgb="FF0000FF"/>
      <name val="Arial"/>
      <family val="2"/>
    </font>
    <font>
      <sz val="11"/>
      <color rgb="FF00FF41"/>
      <name val="Arial"/>
      <family val="2"/>
    </font>
    <font>
      <i/>
      <sz val="9"/>
      <color rgb="FF2A2A2A"/>
      <name val="Arial"/>
      <family val="2"/>
    </font>
    <font>
      <b/>
      <sz val="11"/>
      <color rgb="FFFFFFFF"/>
      <name val="Arial"/>
      <family val="2"/>
    </font>
    <font>
      <b/>
      <sz val="14"/>
      <color rgb="FF00FFFF"/>
      <name val="Arial"/>
      <family val="2"/>
    </font>
    <font>
      <b/>
      <sz val="12"/>
      <color rgb="FF00FF41"/>
      <name val="Arial"/>
      <family val="2"/>
    </font>
    <font>
      <b/>
      <sz val="11"/>
      <color rgb="FF0D0D0D"/>
      <name val="Arial"/>
      <family val="2"/>
    </font>
    <font>
      <b/>
      <sz val="11"/>
      <color rgb="FFFFD700"/>
      <name val="Arial"/>
      <family val="2"/>
    </font>
    <font>
      <sz val="11"/>
      <color rgb="FFAAAAAA"/>
      <name val="Arial"/>
      <family val="2"/>
    </font>
    <font>
      <b/>
      <sz val="11"/>
      <color rgb="FFFF006E"/>
      <name val="Arial"/>
      <family val="2"/>
    </font>
    <font>
      <sz val="11"/>
      <color rgb="FFFF006E"/>
      <name val="Courier New"/>
      <family val="3"/>
    </font>
    <font>
      <b/>
      <sz val="11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D0D0D"/>
        <bgColor rgb="FF000000"/>
      </patternFill>
    </fill>
    <fill>
      <patternFill patternType="solid">
        <fgColor rgb="FF1A1A1A"/>
        <bgColor rgb="FF0D0D0D"/>
      </patternFill>
    </fill>
    <fill>
      <patternFill patternType="solid">
        <fgColor rgb="FF00FF41"/>
        <bgColor rgb="FF00FFFF"/>
      </patternFill>
    </fill>
    <fill>
      <patternFill patternType="solid">
        <fgColor rgb="FF2A2A2A"/>
        <bgColor rgb="FF1A1A1A"/>
      </patternFill>
    </fill>
    <fill>
      <patternFill patternType="solid">
        <fgColor rgb="FFFFFACD"/>
        <bgColor rgb="FFFFFFFF"/>
      </patternFill>
    </fill>
    <fill>
      <patternFill patternType="solid">
        <fgColor rgb="FF1F3864"/>
        <bgColor rgb="FF333399"/>
      </patternFill>
    </fill>
    <fill>
      <patternFill patternType="solid">
        <fgColor rgb="FF00FFFF"/>
        <bgColor rgb="FF00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D0D0D"/>
      </left>
      <right style="thin">
        <color rgb="FF0D0D0D"/>
      </right>
      <top style="thin">
        <color rgb="FF0D0D0D"/>
      </top>
      <bottom style="thin">
        <color rgb="FF0D0D0D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/>
    <xf numFmtId="0" fontId="13" fillId="4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164" fontId="17" fillId="5" borderId="0" xfId="0" applyNumberFormat="1" applyFont="1" applyFill="1" applyAlignment="1">
      <alignment horizontal="center" vertical="center"/>
    </xf>
    <xf numFmtId="165" fontId="16" fillId="5" borderId="0" xfId="0" applyNumberFormat="1" applyFont="1" applyFill="1" applyAlignment="1">
      <alignment horizontal="right" vertical="center"/>
    </xf>
    <xf numFmtId="165" fontId="18" fillId="5" borderId="0" xfId="0" applyNumberFormat="1" applyFont="1" applyFill="1" applyAlignment="1">
      <alignment horizontal="right" vertical="center"/>
    </xf>
    <xf numFmtId="0" fontId="19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166" fontId="12" fillId="5" borderId="0" xfId="0" applyNumberFormat="1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left" vertical="center"/>
    </xf>
    <xf numFmtId="0" fontId="27" fillId="5" borderId="0" xfId="0" applyFont="1" applyFill="1" applyAlignment="1">
      <alignment horizontal="center" vertical="center"/>
    </xf>
    <xf numFmtId="165" fontId="27" fillId="5" borderId="0" xfId="0" applyNumberFormat="1" applyFont="1" applyFill="1" applyAlignment="1">
      <alignment horizontal="right" vertical="center"/>
    </xf>
    <xf numFmtId="0" fontId="29" fillId="7" borderId="1" xfId="0" applyFont="1" applyFill="1" applyBorder="1" applyAlignment="1">
      <alignment horizontal="center" vertical="center"/>
    </xf>
    <xf numFmtId="0" fontId="32" fillId="8" borderId="0" xfId="0" applyFont="1" applyFill="1" applyAlignment="1">
      <alignment horizontal="center" vertical="center"/>
    </xf>
    <xf numFmtId="0" fontId="33" fillId="5" borderId="0" xfId="0" applyFont="1" applyFill="1" applyAlignment="1">
      <alignment horizontal="left" vertical="center"/>
    </xf>
    <xf numFmtId="0" fontId="34" fillId="3" borderId="0" xfId="0" applyFont="1" applyFill="1" applyAlignment="1">
      <alignment horizontal="left" vertical="center"/>
    </xf>
    <xf numFmtId="0" fontId="29" fillId="5" borderId="0" xfId="0" applyFont="1" applyFill="1" applyAlignment="1">
      <alignment horizontal="right" vertical="center"/>
    </xf>
    <xf numFmtId="0" fontId="32" fillId="8" borderId="2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165" fontId="15" fillId="5" borderId="0" xfId="0" applyNumberFormat="1" applyFont="1" applyFill="1" applyAlignment="1">
      <alignment horizontal="center" vertical="center"/>
    </xf>
    <xf numFmtId="167" fontId="15" fillId="5" borderId="0" xfId="0" applyNumberFormat="1" applyFont="1" applyFill="1" applyAlignment="1">
      <alignment horizontal="center" vertical="center"/>
    </xf>
    <xf numFmtId="165" fontId="16" fillId="5" borderId="0" xfId="0" applyNumberFormat="1" applyFont="1" applyFill="1" applyAlignment="1">
      <alignment horizontal="center" vertical="center"/>
    </xf>
    <xf numFmtId="0" fontId="35" fillId="3" borderId="0" xfId="0" applyFont="1" applyFill="1" applyAlignment="1">
      <alignment horizontal="center" vertical="center"/>
    </xf>
    <xf numFmtId="0" fontId="33" fillId="3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164" fontId="24" fillId="2" borderId="0" xfId="0" applyNumberFormat="1" applyFont="1" applyFill="1" applyAlignment="1">
      <alignment horizontal="center" vertical="center"/>
    </xf>
    <xf numFmtId="165" fontId="24" fillId="2" borderId="0" xfId="0" applyNumberFormat="1" applyFont="1" applyFill="1" applyAlignment="1">
      <alignment horizontal="center" vertical="center"/>
    </xf>
    <xf numFmtId="167" fontId="24" fillId="2" borderId="0" xfId="0" applyNumberFormat="1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36" fillId="3" borderId="0" xfId="0" applyFont="1" applyFill="1" applyAlignment="1">
      <alignment horizontal="left" vertical="center"/>
    </xf>
    <xf numFmtId="0" fontId="33" fillId="3" borderId="0" xfId="0" applyFont="1" applyFill="1" applyAlignment="1">
      <alignment horizontal="left" vertical="center"/>
    </xf>
    <xf numFmtId="0" fontId="34" fillId="5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0" fontId="37" fillId="6" borderId="0" xfId="0" applyFont="1" applyFill="1" applyAlignment="1">
      <alignment horizontal="center" vertical="center"/>
    </xf>
    <xf numFmtId="165" fontId="29" fillId="5" borderId="0" xfId="0" applyNumberFormat="1" applyFont="1" applyFill="1" applyAlignment="1">
      <alignment horizontal="center" vertical="center"/>
    </xf>
    <xf numFmtId="0" fontId="29" fillId="5" borderId="0" xfId="0" applyFont="1" applyFill="1" applyAlignment="1">
      <alignment horizontal="center" vertical="center"/>
    </xf>
    <xf numFmtId="0" fontId="24" fillId="5" borderId="0" xfId="0" applyFont="1" applyFill="1" applyAlignment="1">
      <alignment horizontal="center" vertical="center"/>
    </xf>
    <xf numFmtId="165" fontId="24" fillId="5" borderId="0" xfId="0" applyNumberFormat="1" applyFont="1" applyFill="1" applyAlignment="1">
      <alignment horizontal="center" vertical="center"/>
    </xf>
    <xf numFmtId="164" fontId="24" fillId="5" borderId="0" xfId="0" applyNumberFormat="1" applyFont="1" applyFill="1" applyAlignment="1">
      <alignment horizontal="center" vertical="center"/>
    </xf>
    <xf numFmtId="9" fontId="15" fillId="5" borderId="0" xfId="0" applyNumberFormat="1" applyFont="1" applyFill="1" applyAlignment="1">
      <alignment horizontal="center" vertical="center"/>
    </xf>
    <xf numFmtId="165" fontId="15" fillId="5" borderId="0" xfId="0" applyNumberFormat="1" applyFont="1" applyFill="1" applyAlignment="1">
      <alignment horizontal="right" vertical="center"/>
    </xf>
    <xf numFmtId="165" fontId="24" fillId="5" borderId="0" xfId="0" applyNumberFormat="1" applyFont="1" applyFill="1" applyAlignment="1">
      <alignment horizontal="right" vertical="center"/>
    </xf>
    <xf numFmtId="0" fontId="15" fillId="5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9" fontId="26" fillId="6" borderId="0" xfId="0" applyNumberFormat="1" applyFont="1" applyFill="1" applyAlignment="1">
      <alignment horizontal="center" vertical="center"/>
    </xf>
    <xf numFmtId="165" fontId="26" fillId="6" borderId="0" xfId="0" applyNumberFormat="1" applyFont="1" applyFill="1" applyAlignment="1">
      <alignment horizontal="center" vertical="center"/>
    </xf>
    <xf numFmtId="0" fontId="27" fillId="5" borderId="0" xfId="0" applyFont="1" applyFill="1" applyAlignment="1">
      <alignment horizontal="center" vertical="center"/>
    </xf>
    <xf numFmtId="165" fontId="27" fillId="5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left" vertical="center"/>
    </xf>
    <xf numFmtId="166" fontId="12" fillId="5" borderId="0" xfId="0" applyNumberFormat="1" applyFont="1" applyFill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25" fillId="3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center" vertical="center"/>
    </xf>
    <xf numFmtId="0" fontId="23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165" fontId="10" fillId="3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64" fontId="8" fillId="3" borderId="0" xfId="0" applyNumberFormat="1" applyFont="1" applyFill="1" applyAlignment="1">
      <alignment horizontal="center" vertical="center"/>
    </xf>
    <xf numFmtId="165" fontId="7" fillId="3" borderId="0" xfId="0" applyNumberFormat="1" applyFont="1" applyFill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31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6E"/>
      <rgbColor rgb="FF00FF41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A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FF9900"/>
      <rgbColor rgb="FFFF6600"/>
      <rgbColor rgb="FF666699"/>
      <rgbColor rgb="FFAAAAAA"/>
      <rgbColor rgb="FF1F3864"/>
      <rgbColor rgb="FF339966"/>
      <rgbColor rgb="FF0D0D0D"/>
      <rgbColor rgb="FF1A1A1A"/>
      <rgbColor rgb="FF993300"/>
      <rgbColor rgb="FF993366"/>
      <rgbColor rgb="FF333399"/>
      <rgbColor rgb="FF2A2A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9"/>
  <sheetViews>
    <sheetView showGridLines="0" tabSelected="1" topLeftCell="A15" zoomScale="61" zoomScaleNormal="100" workbookViewId="0">
      <selection activeCell="L8" sqref="L8:O9"/>
    </sheetView>
  </sheetViews>
  <sheetFormatPr defaultColWidth="8.7109375" defaultRowHeight="15" x14ac:dyDescent="0.25"/>
  <cols>
    <col min="1" max="1" width="3" customWidth="1"/>
    <col min="2" max="5" width="16" customWidth="1"/>
    <col min="6" max="6" width="3" customWidth="1"/>
    <col min="7" max="10" width="16" customWidth="1"/>
    <col min="11" max="11" width="3" customWidth="1"/>
    <col min="12" max="15" width="14" customWidth="1"/>
    <col min="16" max="16" width="3" customWidth="1"/>
    <col min="17" max="20" width="18" customWidth="1"/>
    <col min="21" max="25" width="5" customWidth="1"/>
  </cols>
  <sheetData>
    <row r="1" spans="1:24" ht="18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30" customHeight="1" x14ac:dyDescent="0.25">
      <c r="A2" s="1"/>
      <c r="B2" s="72" t="s">
        <v>0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1"/>
      <c r="V2" s="1"/>
      <c r="W2" s="1"/>
      <c r="X2" s="1"/>
    </row>
    <row r="3" spans="1:24" ht="30" customHeight="1" x14ac:dyDescent="0.25">
      <c r="A3" s="1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1"/>
      <c r="V3" s="1"/>
      <c r="W3" s="1"/>
      <c r="X3" s="1"/>
    </row>
    <row r="4" spans="1:24" ht="30" customHeight="1" x14ac:dyDescent="0.25">
      <c r="A4" s="1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1"/>
      <c r="V4" s="1"/>
      <c r="W4" s="1"/>
      <c r="X4" s="1"/>
    </row>
    <row r="5" spans="1:24" ht="18" customHeight="1" x14ac:dyDescent="0.25">
      <c r="A5" s="1"/>
      <c r="B5" s="73" t="s">
        <v>1</v>
      </c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1"/>
      <c r="V5" s="1"/>
      <c r="W5" s="1"/>
      <c r="X5" s="1"/>
    </row>
    <row r="6" spans="1:24" ht="18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8" customHeight="1" x14ac:dyDescent="0.25">
      <c r="A7" s="1"/>
      <c r="B7" s="66" t="s">
        <v>2</v>
      </c>
      <c r="C7" s="66"/>
      <c r="D7" s="66"/>
      <c r="E7" s="66"/>
      <c r="F7" s="1"/>
      <c r="G7" s="74" t="s">
        <v>3</v>
      </c>
      <c r="H7" s="74"/>
      <c r="I7" s="74"/>
      <c r="J7" s="74"/>
      <c r="K7" s="1"/>
      <c r="L7" s="64" t="s">
        <v>4</v>
      </c>
      <c r="M7" s="64"/>
      <c r="N7" s="64"/>
      <c r="O7" s="64"/>
      <c r="P7" s="1"/>
      <c r="Q7" s="74" t="s">
        <v>5</v>
      </c>
      <c r="R7" s="74"/>
      <c r="S7" s="74"/>
      <c r="T7" s="74"/>
      <c r="U7" s="1"/>
      <c r="V7" s="1"/>
      <c r="W7" s="1"/>
      <c r="X7" s="1"/>
    </row>
    <row r="8" spans="1:24" ht="36" customHeight="1" x14ac:dyDescent="0.25">
      <c r="A8" s="1"/>
      <c r="B8" s="75">
        <f>COUNTA(Calculations!A2:A1001)</f>
        <v>1000</v>
      </c>
      <c r="C8" s="75"/>
      <c r="D8" s="75"/>
      <c r="E8" s="75"/>
      <c r="F8" s="1"/>
      <c r="G8" s="76">
        <f>SUM(Calculations!G2:G1001)</f>
        <v>168</v>
      </c>
      <c r="H8" s="76"/>
      <c r="I8" s="76"/>
      <c r="J8" s="76"/>
      <c r="K8" s="1"/>
      <c r="L8" s="77">
        <f>IFERROR(SUM(Calculations!G2:G1001)/COUNTA(Calculations!A2:A1001),0)</f>
        <v>0.16800000000000001</v>
      </c>
      <c r="M8" s="77"/>
      <c r="N8" s="77"/>
      <c r="O8" s="77"/>
      <c r="P8" s="1"/>
      <c r="Q8" s="78">
        <f>SUM(Calculations!P2:P1001)</f>
        <v>42000</v>
      </c>
      <c r="R8" s="78"/>
      <c r="S8" s="78"/>
      <c r="T8" s="78"/>
      <c r="U8" s="1"/>
      <c r="V8" s="1"/>
      <c r="W8" s="1"/>
      <c r="X8" s="1"/>
    </row>
    <row r="9" spans="1:24" ht="15.75" customHeight="1" x14ac:dyDescent="0.25">
      <c r="A9" s="1"/>
      <c r="B9" s="75"/>
      <c r="C9" s="75"/>
      <c r="D9" s="75"/>
      <c r="E9" s="75"/>
      <c r="F9" s="1"/>
      <c r="G9" s="76"/>
      <c r="H9" s="76"/>
      <c r="I9" s="76"/>
      <c r="J9" s="76"/>
      <c r="K9" s="1"/>
      <c r="L9" s="77"/>
      <c r="M9" s="77"/>
      <c r="N9" s="77"/>
      <c r="O9" s="77"/>
      <c r="P9" s="1"/>
      <c r="Q9" s="78"/>
      <c r="R9" s="78"/>
      <c r="S9" s="78"/>
      <c r="T9" s="78"/>
      <c r="U9" s="1"/>
      <c r="V9" s="1"/>
      <c r="W9" s="1"/>
      <c r="X9" s="1"/>
    </row>
    <row r="10" spans="1:24" ht="18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8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8" customHeight="1" x14ac:dyDescent="0.25">
      <c r="A12" s="1"/>
      <c r="B12" s="64" t="s">
        <v>6</v>
      </c>
      <c r="C12" s="64"/>
      <c r="D12" s="64"/>
      <c r="E12" s="64"/>
      <c r="F12" s="1"/>
      <c r="G12" s="65" t="s">
        <v>7</v>
      </c>
      <c r="H12" s="65"/>
      <c r="I12" s="65"/>
      <c r="J12" s="65"/>
      <c r="K12" s="1"/>
      <c r="L12" s="66" t="s">
        <v>8</v>
      </c>
      <c r="M12" s="66"/>
      <c r="N12" s="66"/>
      <c r="O12" s="66"/>
      <c r="P12" s="1"/>
      <c r="Q12" s="66" t="s">
        <v>9</v>
      </c>
      <c r="R12" s="66"/>
      <c r="S12" s="66"/>
      <c r="T12" s="66"/>
      <c r="U12" s="1"/>
      <c r="V12" s="1"/>
      <c r="W12" s="1"/>
      <c r="X12" s="1"/>
    </row>
    <row r="13" spans="1:24" ht="36" customHeight="1" x14ac:dyDescent="0.25">
      <c r="A13" s="1"/>
      <c r="B13" s="67">
        <f ca="1">SUM(Calculations!O2:O1001)</f>
        <v>109</v>
      </c>
      <c r="C13" s="67"/>
      <c r="D13" s="67"/>
      <c r="E13" s="67"/>
      <c r="F13" s="1"/>
      <c r="G13" s="68">
        <f>WhatIf_Scenarios!B18</f>
        <v>0.20004000800160035</v>
      </c>
      <c r="H13" s="68"/>
      <c r="I13" s="68"/>
      <c r="J13" s="68"/>
      <c r="K13" s="1"/>
      <c r="L13" s="69">
        <f ca="1">ROUND(AVERAGE(Calculations!L2:L1001),1)</f>
        <v>15.4</v>
      </c>
      <c r="M13" s="69"/>
      <c r="N13" s="69"/>
      <c r="O13" s="69"/>
      <c r="P13" s="1"/>
      <c r="Q13" s="70">
        <f ca="1">ROUND(AVERAGE(Calculations!M2:M1001),0)</f>
        <v>3827</v>
      </c>
      <c r="R13" s="70"/>
      <c r="S13" s="70"/>
      <c r="T13" s="70"/>
      <c r="U13" s="1"/>
      <c r="V13" s="1"/>
      <c r="W13" s="1"/>
      <c r="X13" s="1"/>
    </row>
    <row r="14" spans="1:24" ht="18" customHeight="1" x14ac:dyDescent="0.25">
      <c r="A14" s="1"/>
      <c r="B14" s="67"/>
      <c r="C14" s="67"/>
      <c r="D14" s="67"/>
      <c r="E14" s="67"/>
      <c r="F14" s="1"/>
      <c r="G14" s="68"/>
      <c r="H14" s="68"/>
      <c r="I14" s="68"/>
      <c r="J14" s="68"/>
      <c r="K14" s="1"/>
      <c r="L14" s="69"/>
      <c r="M14" s="69"/>
      <c r="N14" s="69"/>
      <c r="O14" s="69"/>
      <c r="P14" s="1"/>
      <c r="Q14" s="70"/>
      <c r="R14" s="70"/>
      <c r="S14" s="70"/>
      <c r="T14" s="70"/>
      <c r="U14" s="1"/>
      <c r="V14" s="1"/>
      <c r="W14" s="1"/>
      <c r="X14" s="1"/>
    </row>
    <row r="15" spans="1:24" ht="18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8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8" customHeight="1" x14ac:dyDescent="0.25">
      <c r="A17" s="1"/>
      <c r="B17" s="71" t="s">
        <v>10</v>
      </c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1"/>
      <c r="V17" s="1"/>
      <c r="W17" s="1"/>
      <c r="X17" s="1"/>
    </row>
    <row r="18" spans="1:24" ht="18" customHeight="1" x14ac:dyDescent="0.25">
      <c r="A18" s="1"/>
      <c r="B18" s="61" t="s">
        <v>11</v>
      </c>
      <c r="C18" s="61"/>
      <c r="D18" s="61"/>
      <c r="E18" s="61"/>
      <c r="F18" s="61"/>
      <c r="G18" s="61"/>
      <c r="H18" s="61"/>
      <c r="I18" s="61"/>
      <c r="J18" s="6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8" customHeight="1" x14ac:dyDescent="0.25">
      <c r="A19" s="1"/>
      <c r="B19" s="2" t="s">
        <v>12</v>
      </c>
      <c r="C19" s="2" t="s">
        <v>13</v>
      </c>
      <c r="D19" s="2" t="s">
        <v>14</v>
      </c>
      <c r="E19" s="2" t="s">
        <v>15</v>
      </c>
      <c r="F19" s="2" t="s">
        <v>16</v>
      </c>
      <c r="G19" s="2" t="s">
        <v>17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8" customHeight="1" x14ac:dyDescent="0.25">
      <c r="A20" s="1"/>
      <c r="B20" s="3" t="s">
        <v>18</v>
      </c>
      <c r="C20" s="4">
        <f>COUNTIF(Calculations!C2:C1001,B20)</f>
        <v>327</v>
      </c>
      <c r="D20" s="5">
        <f>COUNTIFS(Calculations!C2:C1001,B20,Calculations!G2:G1001,1)</f>
        <v>58</v>
      </c>
      <c r="E20" s="6">
        <f>IFERROR(D20/C20,0)</f>
        <v>0.17737003058103976</v>
      </c>
      <c r="F20" s="7">
        <f>SUMIFS(Calculations!P2:P1001,Calculations!C2:C1001,B20)</f>
        <v>2900</v>
      </c>
      <c r="G20" s="8">
        <f ca="1">IFERROR(AVERAGEIF(Calculations!C2:C1001,B20,Calculations!M2:M1001),0)</f>
        <v>772.32415902140667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8" customHeight="1" x14ac:dyDescent="0.25">
      <c r="A21" s="1"/>
      <c r="B21" s="9" t="s">
        <v>19</v>
      </c>
      <c r="C21" s="4">
        <f>COUNTIF(Calculations!C2:C1001,B21)</f>
        <v>343</v>
      </c>
      <c r="D21" s="5">
        <f>COUNTIFS(Calculations!C2:C1001,B21,Calculations!G2:G1001,1)</f>
        <v>53</v>
      </c>
      <c r="E21" s="6">
        <f>IFERROR(D21/C21,0)</f>
        <v>0.15451895043731778</v>
      </c>
      <c r="F21" s="7">
        <f>SUMIFS(Calculations!P2:P1001,Calculations!C2:C1001,B21)</f>
        <v>10600</v>
      </c>
      <c r="G21" s="8">
        <f ca="1">IFERROR(AVERAGEIF(Calculations!C2:C1001,B21,Calculations!M2:M1001),0)</f>
        <v>3117.2011661807578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8" customHeight="1" x14ac:dyDescent="0.25">
      <c r="A22" s="1"/>
      <c r="B22" s="10" t="s">
        <v>20</v>
      </c>
      <c r="C22" s="4">
        <f>COUNTIF(Calculations!C2:C1001,B22)</f>
        <v>330</v>
      </c>
      <c r="D22" s="5">
        <f>COUNTIFS(Calculations!C2:C1001,B22,Calculations!G2:G1001,1)</f>
        <v>57</v>
      </c>
      <c r="E22" s="6">
        <f>IFERROR(D22/C22,0)</f>
        <v>0.17272727272727273</v>
      </c>
      <c r="F22" s="7">
        <f>SUMIFS(Calculations!P2:P1001,Calculations!C2:C1001,B22)</f>
        <v>28500</v>
      </c>
      <c r="G22" s="8">
        <f ca="1">IFERROR(AVERAGEIF(Calculations!C2:C1001,B22,Calculations!M2:M1001),0)</f>
        <v>7592.424242424242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8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8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8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8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8" customHeight="1" x14ac:dyDescent="0.25">
      <c r="A27" s="1"/>
      <c r="B27" s="61" t="s">
        <v>21</v>
      </c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1"/>
      <c r="V27" s="1"/>
      <c r="W27" s="1"/>
      <c r="X27" s="1"/>
    </row>
    <row r="28" spans="1:24" ht="18" customHeight="1" x14ac:dyDescent="0.25">
      <c r="A28" s="1"/>
      <c r="B28" s="2" t="s">
        <v>22</v>
      </c>
      <c r="C28" s="2" t="s">
        <v>23</v>
      </c>
      <c r="D28" s="62" t="s">
        <v>24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1"/>
      <c r="V28" s="1"/>
      <c r="W28" s="1"/>
      <c r="X28" s="1"/>
    </row>
    <row r="29" spans="1:24" ht="15.75" customHeight="1" x14ac:dyDescent="0.25">
      <c r="A29" s="1"/>
      <c r="B29" s="11" t="s">
        <v>25</v>
      </c>
      <c r="C29" s="12">
        <f>COUNTIF(Calculations!Q2:Q1001,B29)</f>
        <v>0</v>
      </c>
      <c r="D29" s="63" t="str">
        <f t="shared" ref="D29:D46" si="0">IF(C29&gt;0,REPT("█",MIN(C29,30))&amp;" ["&amp;C29&amp;"]","No churn")</f>
        <v>No churn</v>
      </c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1"/>
      <c r="V29" s="1"/>
      <c r="W29" s="1"/>
      <c r="X29" s="1"/>
    </row>
    <row r="30" spans="1:24" ht="15.75" customHeight="1" x14ac:dyDescent="0.25">
      <c r="A30" s="1"/>
      <c r="B30" s="11" t="s">
        <v>26</v>
      </c>
      <c r="C30" s="12">
        <f>COUNTIF(Calculations!Q2:Q1001,B30)</f>
        <v>1</v>
      </c>
      <c r="D30" s="63" t="str">
        <f t="shared" si="0"/>
        <v>█ [1]</v>
      </c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1"/>
      <c r="V30" s="1"/>
      <c r="W30" s="1"/>
      <c r="X30" s="1"/>
    </row>
    <row r="31" spans="1:24" ht="15.75" customHeight="1" x14ac:dyDescent="0.25">
      <c r="A31" s="1"/>
      <c r="B31" s="11" t="s">
        <v>27</v>
      </c>
      <c r="C31" s="12">
        <f>COUNTIF(Calculations!Q2:Q1001,B31)</f>
        <v>0</v>
      </c>
      <c r="D31" s="63" t="str">
        <f t="shared" si="0"/>
        <v>No churn</v>
      </c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1"/>
      <c r="V31" s="1"/>
      <c r="W31" s="1"/>
      <c r="X31" s="1"/>
    </row>
    <row r="32" spans="1:24" ht="15.75" customHeight="1" x14ac:dyDescent="0.25">
      <c r="A32" s="1"/>
      <c r="B32" s="11" t="s">
        <v>28</v>
      </c>
      <c r="C32" s="12">
        <f>COUNTIF(Calculations!Q2:Q1001,B32)</f>
        <v>1</v>
      </c>
      <c r="D32" s="63" t="str">
        <f t="shared" si="0"/>
        <v>█ [1]</v>
      </c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1"/>
      <c r="V32" s="1"/>
      <c r="W32" s="1"/>
      <c r="X32" s="1"/>
    </row>
    <row r="33" spans="1:24" ht="15.75" customHeight="1" x14ac:dyDescent="0.25">
      <c r="A33" s="1"/>
      <c r="B33" s="11" t="s">
        <v>29</v>
      </c>
      <c r="C33" s="12">
        <f>COUNTIF(Calculations!Q2:Q1001,B33)</f>
        <v>2</v>
      </c>
      <c r="D33" s="63" t="str">
        <f t="shared" si="0"/>
        <v>██ [2]</v>
      </c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1"/>
      <c r="V33" s="1"/>
      <c r="W33" s="1"/>
      <c r="X33" s="1"/>
    </row>
    <row r="34" spans="1:24" ht="15.75" customHeight="1" x14ac:dyDescent="0.25">
      <c r="A34" s="1"/>
      <c r="B34" s="11" t="s">
        <v>30</v>
      </c>
      <c r="C34" s="12">
        <f>COUNTIF(Calculations!Q2:Q1001,B34)</f>
        <v>5</v>
      </c>
      <c r="D34" s="63" t="str">
        <f t="shared" si="0"/>
        <v>█████ [5]</v>
      </c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1"/>
      <c r="V34" s="1"/>
      <c r="W34" s="1"/>
      <c r="X34" s="1"/>
    </row>
    <row r="35" spans="1:24" ht="15.75" customHeight="1" x14ac:dyDescent="0.25">
      <c r="A35" s="1"/>
      <c r="B35" s="11" t="s">
        <v>31</v>
      </c>
      <c r="C35" s="12">
        <f>COUNTIF(Calculations!Q2:Q1001,B35)</f>
        <v>4</v>
      </c>
      <c r="D35" s="63" t="str">
        <f t="shared" si="0"/>
        <v>████ [4]</v>
      </c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1"/>
      <c r="V35" s="1"/>
      <c r="W35" s="1"/>
      <c r="X35" s="1"/>
    </row>
    <row r="36" spans="1:24" ht="15.75" customHeight="1" x14ac:dyDescent="0.25">
      <c r="A36" s="1"/>
      <c r="B36" s="11" t="s">
        <v>32</v>
      </c>
      <c r="C36" s="12">
        <f>COUNTIF(Calculations!Q2:Q1001,B36)</f>
        <v>4</v>
      </c>
      <c r="D36" s="63" t="str">
        <f t="shared" si="0"/>
        <v>████ [4]</v>
      </c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1"/>
      <c r="V36" s="1"/>
      <c r="W36" s="1"/>
      <c r="X36" s="1"/>
    </row>
    <row r="37" spans="1:24" ht="15.75" customHeight="1" x14ac:dyDescent="0.25">
      <c r="A37" s="1"/>
      <c r="B37" s="11" t="s">
        <v>33</v>
      </c>
      <c r="C37" s="12">
        <f>COUNTIF(Calculations!Q2:Q1001,B37)</f>
        <v>6</v>
      </c>
      <c r="D37" s="63" t="str">
        <f t="shared" si="0"/>
        <v>██████ [6]</v>
      </c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1"/>
      <c r="V37" s="1"/>
      <c r="W37" s="1"/>
      <c r="X37" s="1"/>
    </row>
    <row r="38" spans="1:24" ht="15.75" customHeight="1" x14ac:dyDescent="0.25">
      <c r="A38" s="1"/>
      <c r="B38" s="11" t="s">
        <v>34</v>
      </c>
      <c r="C38" s="12">
        <f>COUNTIF(Calculations!Q2:Q1001,B38)</f>
        <v>6</v>
      </c>
      <c r="D38" s="63" t="str">
        <f t="shared" si="0"/>
        <v>██████ [6]</v>
      </c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1"/>
      <c r="V38" s="1"/>
      <c r="W38" s="1"/>
      <c r="X38" s="1"/>
    </row>
    <row r="39" spans="1:24" ht="15.75" customHeight="1" x14ac:dyDescent="0.25">
      <c r="A39" s="1"/>
      <c r="B39" s="11" t="s">
        <v>35</v>
      </c>
      <c r="C39" s="12">
        <f>COUNTIF(Calculations!Q2:Q1001,B39)</f>
        <v>8</v>
      </c>
      <c r="D39" s="63" t="str">
        <f t="shared" si="0"/>
        <v>████████ [8]</v>
      </c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1"/>
      <c r="V39" s="1"/>
      <c r="W39" s="1"/>
      <c r="X39" s="1"/>
    </row>
    <row r="40" spans="1:24" ht="15.75" customHeight="1" x14ac:dyDescent="0.25">
      <c r="A40" s="1"/>
      <c r="B40" s="11" t="s">
        <v>36</v>
      </c>
      <c r="C40" s="12">
        <f>COUNTIF(Calculations!Q2:Q1001,B40)</f>
        <v>6</v>
      </c>
      <c r="D40" s="63" t="str">
        <f t="shared" si="0"/>
        <v>██████ [6]</v>
      </c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1"/>
      <c r="V40" s="1"/>
      <c r="W40" s="1"/>
      <c r="X40" s="1"/>
    </row>
    <row r="41" spans="1:24" ht="15.75" customHeight="1" x14ac:dyDescent="0.25">
      <c r="A41" s="1"/>
      <c r="B41" s="11" t="s">
        <v>37</v>
      </c>
      <c r="C41" s="12">
        <f>COUNTIF(Calculations!Q2:Q1001,B41)</f>
        <v>6</v>
      </c>
      <c r="D41" s="63" t="str">
        <f t="shared" si="0"/>
        <v>██████ [6]</v>
      </c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1"/>
      <c r="V41" s="1"/>
      <c r="W41" s="1"/>
      <c r="X41" s="1"/>
    </row>
    <row r="42" spans="1:24" ht="15.75" customHeight="1" x14ac:dyDescent="0.25">
      <c r="A42" s="1"/>
      <c r="B42" s="11" t="s">
        <v>38</v>
      </c>
      <c r="C42" s="12">
        <f>COUNTIF(Calculations!Q2:Q1001,B42)</f>
        <v>6</v>
      </c>
      <c r="D42" s="63" t="str">
        <f t="shared" si="0"/>
        <v>██████ [6]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1"/>
      <c r="V42" s="1"/>
      <c r="W42" s="1"/>
      <c r="X42" s="1"/>
    </row>
    <row r="43" spans="1:24" ht="15.75" customHeight="1" x14ac:dyDescent="0.25">
      <c r="A43" s="1"/>
      <c r="B43" s="11" t="s">
        <v>39</v>
      </c>
      <c r="C43" s="12">
        <f>COUNTIF(Calculations!Q2:Q1001,B43)</f>
        <v>26</v>
      </c>
      <c r="D43" s="63" t="str">
        <f t="shared" si="0"/>
        <v>██████████████████████████ [26]</v>
      </c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1"/>
      <c r="V43" s="1"/>
      <c r="W43" s="1"/>
      <c r="X43" s="1"/>
    </row>
    <row r="44" spans="1:24" ht="15.75" customHeight="1" x14ac:dyDescent="0.25">
      <c r="A44" s="1"/>
      <c r="B44" s="11" t="s">
        <v>40</v>
      </c>
      <c r="C44" s="12">
        <f>COUNTIF(Calculations!Q2:Q1001,B44)</f>
        <v>23</v>
      </c>
      <c r="D44" s="63" t="str">
        <f t="shared" si="0"/>
        <v>███████████████████████ [23]</v>
      </c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1"/>
      <c r="V44" s="1"/>
      <c r="W44" s="1"/>
      <c r="X44" s="1"/>
    </row>
    <row r="45" spans="1:24" ht="15.75" customHeight="1" x14ac:dyDescent="0.25">
      <c r="A45" s="1"/>
      <c r="B45" s="11" t="s">
        <v>41</v>
      </c>
      <c r="C45" s="12">
        <f>COUNTIF(Calculations!Q2:Q1001,B45)</f>
        <v>23</v>
      </c>
      <c r="D45" s="63" t="str">
        <f t="shared" si="0"/>
        <v>███████████████████████ [23]</v>
      </c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1"/>
      <c r="V45" s="1"/>
      <c r="W45" s="1"/>
      <c r="X45" s="1"/>
    </row>
    <row r="46" spans="1:24" ht="15.75" customHeight="1" x14ac:dyDescent="0.25">
      <c r="A46" s="1"/>
      <c r="B46" s="11" t="s">
        <v>42</v>
      </c>
      <c r="C46" s="12">
        <f>COUNTIF(Calculations!Q2:Q1001,B46)</f>
        <v>41</v>
      </c>
      <c r="D46" s="63" t="str">
        <f t="shared" si="0"/>
        <v>██████████████████████████████ [41]</v>
      </c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1"/>
      <c r="V46" s="1"/>
      <c r="W46" s="1"/>
      <c r="X46" s="1"/>
    </row>
    <row r="47" spans="1:24" ht="18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8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8" customHeight="1" x14ac:dyDescent="0.25">
      <c r="A49" s="1"/>
      <c r="B49" s="61" t="s">
        <v>43</v>
      </c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1"/>
      <c r="V49" s="1"/>
      <c r="W49" s="1"/>
      <c r="X49" s="1"/>
    </row>
    <row r="50" spans="1:24" ht="18" customHeight="1" x14ac:dyDescent="0.25">
      <c r="A50" s="1"/>
      <c r="B50" s="2" t="s">
        <v>44</v>
      </c>
      <c r="C50" s="62" t="s">
        <v>45</v>
      </c>
      <c r="D50" s="62"/>
      <c r="E50" s="62"/>
      <c r="F50" s="62"/>
      <c r="G50" s="62" t="s">
        <v>46</v>
      </c>
      <c r="H50" s="62"/>
      <c r="I50" s="62" t="s">
        <v>47</v>
      </c>
      <c r="J50" s="62"/>
      <c r="K50" s="62" t="s">
        <v>48</v>
      </c>
      <c r="L50" s="62"/>
      <c r="M50" s="62"/>
      <c r="N50" s="62"/>
      <c r="O50" s="62"/>
      <c r="P50" s="62"/>
      <c r="Q50" s="62"/>
      <c r="R50" s="62"/>
      <c r="S50" s="62"/>
      <c r="T50" s="62"/>
      <c r="U50" s="1"/>
      <c r="V50" s="1"/>
      <c r="W50" s="1"/>
      <c r="X50" s="1"/>
    </row>
    <row r="51" spans="1:24" ht="19.5" customHeight="1" x14ac:dyDescent="0.25">
      <c r="A51" s="1"/>
      <c r="B51" s="13" t="s">
        <v>49</v>
      </c>
      <c r="C51" s="57" t="s">
        <v>50</v>
      </c>
      <c r="D51" s="57"/>
      <c r="E51" s="57"/>
      <c r="F51" s="57"/>
      <c r="G51" s="58">
        <f ca="1">Correlation_Analysis!C5</f>
        <v>-0.68160985978018251</v>
      </c>
      <c r="H51" s="58"/>
      <c r="I51" s="59" t="str">
        <f ca="1">Correlation_Analysis!E5</f>
        <v>Strong</v>
      </c>
      <c r="J51" s="59"/>
      <c r="K51" s="60" t="s">
        <v>51</v>
      </c>
      <c r="L51" s="60"/>
      <c r="M51" s="60"/>
      <c r="N51" s="60"/>
      <c r="O51" s="60"/>
      <c r="P51" s="60"/>
      <c r="Q51" s="60"/>
      <c r="R51" s="60"/>
      <c r="S51" s="60"/>
      <c r="T51" s="60"/>
      <c r="U51" s="1"/>
      <c r="V51" s="1"/>
      <c r="W51" s="1"/>
      <c r="X51" s="1"/>
    </row>
    <row r="52" spans="1:24" ht="19.5" customHeight="1" x14ac:dyDescent="0.25">
      <c r="A52" s="1"/>
      <c r="B52" s="13" t="s">
        <v>52</v>
      </c>
      <c r="C52" s="57" t="s">
        <v>53</v>
      </c>
      <c r="D52" s="57"/>
      <c r="E52" s="57"/>
      <c r="F52" s="57"/>
      <c r="G52" s="58">
        <f ca="1">Correlation_Analysis!C6</f>
        <v>-0.3288460795887474</v>
      </c>
      <c r="H52" s="58"/>
      <c r="I52" s="59" t="str">
        <f ca="1">Correlation_Analysis!E6</f>
        <v>Moderate</v>
      </c>
      <c r="J52" s="59"/>
      <c r="K52" s="60" t="s">
        <v>54</v>
      </c>
      <c r="L52" s="60"/>
      <c r="M52" s="60"/>
      <c r="N52" s="60"/>
      <c r="O52" s="60"/>
      <c r="P52" s="60"/>
      <c r="Q52" s="60"/>
      <c r="R52" s="60"/>
      <c r="S52" s="60"/>
      <c r="T52" s="60"/>
      <c r="U52" s="1"/>
      <c r="V52" s="1"/>
      <c r="W52" s="1"/>
      <c r="X52" s="1"/>
    </row>
    <row r="53" spans="1:24" ht="19.5" customHeight="1" x14ac:dyDescent="0.25">
      <c r="A53" s="1"/>
      <c r="B53" s="13" t="s">
        <v>55</v>
      </c>
      <c r="C53" s="57" t="s">
        <v>56</v>
      </c>
      <c r="D53" s="57"/>
      <c r="E53" s="57"/>
      <c r="F53" s="57"/>
      <c r="G53" s="58">
        <f>Correlation_Analysis!C7</f>
        <v>-4.9630862448003426E-3</v>
      </c>
      <c r="H53" s="58"/>
      <c r="I53" s="59" t="str">
        <f>Correlation_Analysis!E7</f>
        <v>Weak</v>
      </c>
      <c r="J53" s="59"/>
      <c r="K53" s="60" t="s">
        <v>57</v>
      </c>
      <c r="L53" s="60"/>
      <c r="M53" s="60"/>
      <c r="N53" s="60"/>
      <c r="O53" s="60"/>
      <c r="P53" s="60"/>
      <c r="Q53" s="60"/>
      <c r="R53" s="60"/>
      <c r="S53" s="60"/>
      <c r="T53" s="60"/>
      <c r="U53" s="1"/>
      <c r="V53" s="1"/>
      <c r="W53" s="1"/>
      <c r="X53" s="1"/>
    </row>
    <row r="54" spans="1:24" ht="19.5" customHeight="1" x14ac:dyDescent="0.25">
      <c r="A54" s="1"/>
      <c r="B54" s="13" t="s">
        <v>58</v>
      </c>
      <c r="C54" s="57" t="s">
        <v>59</v>
      </c>
      <c r="D54" s="57"/>
      <c r="E54" s="57"/>
      <c r="F54" s="57"/>
      <c r="G54" s="58">
        <f>Correlation_Analysis!C4</f>
        <v>1.2085383143903516E-4</v>
      </c>
      <c r="H54" s="58"/>
      <c r="I54" s="59" t="str">
        <f>Correlation_Analysis!E4</f>
        <v>Weak</v>
      </c>
      <c r="J54" s="59"/>
      <c r="K54" s="60" t="s">
        <v>60</v>
      </c>
      <c r="L54" s="60"/>
      <c r="M54" s="60"/>
      <c r="N54" s="60"/>
      <c r="O54" s="60"/>
      <c r="P54" s="60"/>
      <c r="Q54" s="60"/>
      <c r="R54" s="60"/>
      <c r="S54" s="60"/>
      <c r="T54" s="60"/>
      <c r="U54" s="1"/>
      <c r="V54" s="1"/>
      <c r="W54" s="1"/>
      <c r="X54" s="1"/>
    </row>
    <row r="55" spans="1:24" ht="19.5" customHeight="1" x14ac:dyDescent="0.25">
      <c r="A55" s="1"/>
      <c r="B55" s="13" t="s">
        <v>61</v>
      </c>
      <c r="C55" s="57" t="s">
        <v>62</v>
      </c>
      <c r="D55" s="57"/>
      <c r="E55" s="57"/>
      <c r="F55" s="57"/>
      <c r="G55" s="58">
        <f>Correlation_Analysis!C8</f>
        <v>-2.2577012050148376E-3</v>
      </c>
      <c r="H55" s="58"/>
      <c r="I55" s="59" t="str">
        <f>Correlation_Analysis!E8</f>
        <v>Weak</v>
      </c>
      <c r="J55" s="59"/>
      <c r="K55" s="60" t="s">
        <v>63</v>
      </c>
      <c r="L55" s="60"/>
      <c r="M55" s="60"/>
      <c r="N55" s="60"/>
      <c r="O55" s="60"/>
      <c r="P55" s="60"/>
      <c r="Q55" s="60"/>
      <c r="R55" s="60"/>
      <c r="S55" s="60"/>
      <c r="T55" s="60"/>
      <c r="U55" s="1"/>
      <c r="V55" s="1"/>
      <c r="W55" s="1"/>
      <c r="X55" s="1"/>
    </row>
    <row r="56" spans="1:24" ht="18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8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8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8" customHeight="1" x14ac:dyDescent="0.25">
      <c r="A59" s="1"/>
      <c r="B59" s="61" t="s">
        <v>64</v>
      </c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1"/>
      <c r="V59" s="1"/>
      <c r="W59" s="1"/>
      <c r="X59" s="1"/>
    </row>
    <row r="60" spans="1:24" ht="18" customHeight="1" x14ac:dyDescent="0.25">
      <c r="A60" s="1"/>
      <c r="B60" s="2" t="s">
        <v>65</v>
      </c>
      <c r="C60" s="62" t="s">
        <v>66</v>
      </c>
      <c r="D60" s="62"/>
      <c r="E60" s="62"/>
      <c r="F60" s="62" t="s">
        <v>67</v>
      </c>
      <c r="G60" s="62"/>
      <c r="H60" s="62"/>
      <c r="I60" s="62" t="s">
        <v>68</v>
      </c>
      <c r="J60" s="62"/>
      <c r="K60" s="62" t="s">
        <v>69</v>
      </c>
      <c r="L60" s="62"/>
      <c r="M60" s="62" t="s">
        <v>70</v>
      </c>
      <c r="N60" s="62"/>
      <c r="O60" s="62" t="s">
        <v>71</v>
      </c>
      <c r="P60" s="62"/>
      <c r="Q60" s="62"/>
      <c r="R60" s="62" t="s">
        <v>72</v>
      </c>
      <c r="S60" s="62"/>
      <c r="T60" s="62"/>
      <c r="U60" s="1"/>
      <c r="V60" s="1"/>
      <c r="W60" s="1"/>
      <c r="X60" s="1"/>
    </row>
    <row r="61" spans="1:24" ht="19.5" customHeight="1" x14ac:dyDescent="0.25">
      <c r="A61" s="1"/>
      <c r="B61" s="15" t="s">
        <v>49</v>
      </c>
      <c r="C61" s="49" t="s">
        <v>73</v>
      </c>
      <c r="D61" s="49"/>
      <c r="E61" s="49"/>
      <c r="F61" s="50" t="s">
        <v>74</v>
      </c>
      <c r="G61" s="50"/>
      <c r="H61" s="50"/>
      <c r="I61" s="51">
        <v>0.12</v>
      </c>
      <c r="J61" s="51"/>
      <c r="K61" s="52">
        <v>15</v>
      </c>
      <c r="L61" s="52"/>
      <c r="M61" s="53">
        <f>ROUND(WhatIf_Scenarios!B8*I61,0)</f>
        <v>20</v>
      </c>
      <c r="N61" s="53"/>
      <c r="O61" s="54">
        <f>M61*WhatIf_Scenarios!B7</f>
        <v>4999</v>
      </c>
      <c r="P61" s="54"/>
      <c r="Q61" s="54"/>
      <c r="R61" s="55" t="s">
        <v>75</v>
      </c>
      <c r="S61" s="55"/>
      <c r="T61" s="55"/>
      <c r="U61" s="1"/>
      <c r="V61" s="1"/>
      <c r="W61" s="1"/>
      <c r="X61" s="1"/>
    </row>
    <row r="62" spans="1:24" ht="19.5" customHeight="1" x14ac:dyDescent="0.25">
      <c r="A62" s="1"/>
      <c r="B62" s="15" t="s">
        <v>52</v>
      </c>
      <c r="C62" s="49" t="s">
        <v>76</v>
      </c>
      <c r="D62" s="49"/>
      <c r="E62" s="49"/>
      <c r="F62" s="50" t="s">
        <v>77</v>
      </c>
      <c r="G62" s="50"/>
      <c r="H62" s="50"/>
      <c r="I62" s="51">
        <v>0.08</v>
      </c>
      <c r="J62" s="51"/>
      <c r="K62" s="52">
        <v>25</v>
      </c>
      <c r="L62" s="52"/>
      <c r="M62" s="53">
        <f>ROUND(WhatIf_Scenarios!B8*I62,0)</f>
        <v>13</v>
      </c>
      <c r="N62" s="53"/>
      <c r="O62" s="54">
        <f>M62*WhatIf_Scenarios!B7</f>
        <v>3249.35</v>
      </c>
      <c r="P62" s="54"/>
      <c r="Q62" s="54"/>
      <c r="R62" s="55" t="s">
        <v>75</v>
      </c>
      <c r="S62" s="55"/>
      <c r="T62" s="55"/>
      <c r="U62" s="1"/>
      <c r="V62" s="1"/>
      <c r="W62" s="1"/>
      <c r="X62" s="1"/>
    </row>
    <row r="63" spans="1:24" ht="19.5" customHeight="1" x14ac:dyDescent="0.25">
      <c r="A63" s="1"/>
      <c r="B63" s="15" t="s">
        <v>55</v>
      </c>
      <c r="C63" s="49" t="s">
        <v>78</v>
      </c>
      <c r="D63" s="49"/>
      <c r="E63" s="49"/>
      <c r="F63" s="50" t="s">
        <v>79</v>
      </c>
      <c r="G63" s="50"/>
      <c r="H63" s="50"/>
      <c r="I63" s="51">
        <v>0.15</v>
      </c>
      <c r="J63" s="51"/>
      <c r="K63" s="52">
        <v>10</v>
      </c>
      <c r="L63" s="52"/>
      <c r="M63" s="53">
        <f>ROUND(WhatIf_Scenarios!B8*I63,0)</f>
        <v>25</v>
      </c>
      <c r="N63" s="53"/>
      <c r="O63" s="54">
        <f>M63*WhatIf_Scenarios!B7</f>
        <v>6248.75</v>
      </c>
      <c r="P63" s="54"/>
      <c r="Q63" s="54"/>
      <c r="R63" s="55" t="s">
        <v>75</v>
      </c>
      <c r="S63" s="55"/>
      <c r="T63" s="55"/>
      <c r="U63" s="1"/>
      <c r="V63" s="1"/>
      <c r="W63" s="1"/>
      <c r="X63" s="1"/>
    </row>
    <row r="64" spans="1:24" ht="19.5" customHeight="1" x14ac:dyDescent="0.25">
      <c r="A64" s="1"/>
      <c r="B64" s="15" t="s">
        <v>58</v>
      </c>
      <c r="C64" s="49" t="s">
        <v>80</v>
      </c>
      <c r="D64" s="49"/>
      <c r="E64" s="49"/>
      <c r="F64" s="50" t="s">
        <v>81</v>
      </c>
      <c r="G64" s="50"/>
      <c r="H64" s="50"/>
      <c r="I64" s="51">
        <v>0.2</v>
      </c>
      <c r="J64" s="51"/>
      <c r="K64" s="52">
        <v>40</v>
      </c>
      <c r="L64" s="52"/>
      <c r="M64" s="53">
        <f>ROUND(WhatIf_Scenarios!B8*I64,0)</f>
        <v>34</v>
      </c>
      <c r="N64" s="53"/>
      <c r="O64" s="54">
        <f>M64*WhatIf_Scenarios!B7</f>
        <v>8498.2999999999993</v>
      </c>
      <c r="P64" s="54"/>
      <c r="Q64" s="54"/>
      <c r="R64" s="55" t="s">
        <v>75</v>
      </c>
      <c r="S64" s="55"/>
      <c r="T64" s="55"/>
      <c r="U64" s="1"/>
      <c r="V64" s="1"/>
      <c r="W64" s="1"/>
      <c r="X64" s="1"/>
    </row>
    <row r="65" spans="1:24" ht="19.5" customHeight="1" x14ac:dyDescent="0.25">
      <c r="A65" s="1"/>
      <c r="B65" s="15" t="s">
        <v>61</v>
      </c>
      <c r="C65" s="49" t="s">
        <v>82</v>
      </c>
      <c r="D65" s="49"/>
      <c r="E65" s="49"/>
      <c r="F65" s="50" t="s">
        <v>20</v>
      </c>
      <c r="G65" s="50"/>
      <c r="H65" s="50"/>
      <c r="I65" s="51">
        <v>0.25</v>
      </c>
      <c r="J65" s="51"/>
      <c r="K65" s="52">
        <v>200</v>
      </c>
      <c r="L65" s="52"/>
      <c r="M65" s="53">
        <f>ROUND(WhatIf_Scenarios!B8*I65,0)</f>
        <v>42</v>
      </c>
      <c r="N65" s="53"/>
      <c r="O65" s="54">
        <f>M65*WhatIf_Scenarios!B7</f>
        <v>10497.9</v>
      </c>
      <c r="P65" s="54"/>
      <c r="Q65" s="54"/>
      <c r="R65" s="55" t="s">
        <v>75</v>
      </c>
      <c r="S65" s="55"/>
      <c r="T65" s="55"/>
      <c r="U65" s="1"/>
      <c r="V65" s="1"/>
      <c r="W65" s="1"/>
      <c r="X65" s="1"/>
    </row>
    <row r="66" spans="1:24" ht="18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8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8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8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8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8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8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8" customHeight="1" x14ac:dyDescent="0.25">
      <c r="A73" s="1"/>
      <c r="B73" s="56" t="s">
        <v>83</v>
      </c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1"/>
      <c r="V73" s="1"/>
      <c r="W73" s="1"/>
      <c r="X73" s="1"/>
    </row>
    <row r="74" spans="1:24" ht="18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8" customHeight="1" x14ac:dyDescent="0.25"/>
    <row r="76" spans="1:24" ht="18" customHeight="1" x14ac:dyDescent="0.25"/>
    <row r="77" spans="1:24" ht="18" customHeight="1" x14ac:dyDescent="0.25"/>
    <row r="78" spans="1:24" ht="18" customHeight="1" x14ac:dyDescent="0.25"/>
    <row r="79" spans="1:24" ht="18" customHeight="1" x14ac:dyDescent="0.25"/>
  </sheetData>
  <mergeCells count="109">
    <mergeCell ref="B2:T4"/>
    <mergeCell ref="B5:T5"/>
    <mergeCell ref="B7:E7"/>
    <mergeCell ref="G7:J7"/>
    <mergeCell ref="L7:O7"/>
    <mergeCell ref="Q7:T7"/>
    <mergeCell ref="B8:E9"/>
    <mergeCell ref="G8:J9"/>
    <mergeCell ref="L8:O9"/>
    <mergeCell ref="Q8:T9"/>
    <mergeCell ref="B12:E12"/>
    <mergeCell ref="G12:J12"/>
    <mergeCell ref="L12:O12"/>
    <mergeCell ref="Q12:T12"/>
    <mergeCell ref="B13:E14"/>
    <mergeCell ref="G13:J14"/>
    <mergeCell ref="L13:O14"/>
    <mergeCell ref="Q13:T14"/>
    <mergeCell ref="B17:T17"/>
    <mergeCell ref="B18:J18"/>
    <mergeCell ref="B27:T27"/>
    <mergeCell ref="D28:T28"/>
    <mergeCell ref="D29:T29"/>
    <mergeCell ref="D30:T30"/>
    <mergeCell ref="D31:T31"/>
    <mergeCell ref="D32:T32"/>
    <mergeCell ref="D33:T33"/>
    <mergeCell ref="D34:T34"/>
    <mergeCell ref="D35:T35"/>
    <mergeCell ref="D36:T36"/>
    <mergeCell ref="D37:T37"/>
    <mergeCell ref="D38:T38"/>
    <mergeCell ref="D39:T39"/>
    <mergeCell ref="D40:T40"/>
    <mergeCell ref="D41:T41"/>
    <mergeCell ref="D42:T42"/>
    <mergeCell ref="D43:T43"/>
    <mergeCell ref="D44:T44"/>
    <mergeCell ref="D45:T45"/>
    <mergeCell ref="D46:T46"/>
    <mergeCell ref="B49:T49"/>
    <mergeCell ref="C50:F50"/>
    <mergeCell ref="G50:H50"/>
    <mergeCell ref="I50:J50"/>
    <mergeCell ref="K50:T50"/>
    <mergeCell ref="C51:F51"/>
    <mergeCell ref="G51:H51"/>
    <mergeCell ref="I51:J51"/>
    <mergeCell ref="K51:T51"/>
    <mergeCell ref="C52:F52"/>
    <mergeCell ref="G52:H52"/>
    <mergeCell ref="I52:J52"/>
    <mergeCell ref="K52:T52"/>
    <mergeCell ref="C53:F53"/>
    <mergeCell ref="G53:H53"/>
    <mergeCell ref="I53:J53"/>
    <mergeCell ref="K53:T53"/>
    <mergeCell ref="C54:F54"/>
    <mergeCell ref="G54:H54"/>
    <mergeCell ref="I54:J54"/>
    <mergeCell ref="K54:T54"/>
    <mergeCell ref="C55:F55"/>
    <mergeCell ref="G55:H55"/>
    <mergeCell ref="I55:J55"/>
    <mergeCell ref="K55:T55"/>
    <mergeCell ref="B59:T59"/>
    <mergeCell ref="C60:E60"/>
    <mergeCell ref="F60:H60"/>
    <mergeCell ref="I60:J60"/>
    <mergeCell ref="K60:L60"/>
    <mergeCell ref="M60:N60"/>
    <mergeCell ref="O60:Q60"/>
    <mergeCell ref="R60:T60"/>
    <mergeCell ref="C61:E61"/>
    <mergeCell ref="F61:H61"/>
    <mergeCell ref="I61:J61"/>
    <mergeCell ref="K61:L61"/>
    <mergeCell ref="M61:N61"/>
    <mergeCell ref="O61:Q61"/>
    <mergeCell ref="R61:T61"/>
    <mergeCell ref="C62:E62"/>
    <mergeCell ref="F62:H62"/>
    <mergeCell ref="I62:J62"/>
    <mergeCell ref="K62:L62"/>
    <mergeCell ref="M62:N62"/>
    <mergeCell ref="O62:Q62"/>
    <mergeCell ref="R62:T62"/>
    <mergeCell ref="C65:E65"/>
    <mergeCell ref="F65:H65"/>
    <mergeCell ref="I65:J65"/>
    <mergeCell ref="K65:L65"/>
    <mergeCell ref="M65:N65"/>
    <mergeCell ref="O65:Q65"/>
    <mergeCell ref="R65:T65"/>
    <mergeCell ref="B73:T73"/>
    <mergeCell ref="C63:E63"/>
    <mergeCell ref="F63:H63"/>
    <mergeCell ref="I63:J63"/>
    <mergeCell ref="K63:L63"/>
    <mergeCell ref="M63:N63"/>
    <mergeCell ref="O63:Q63"/>
    <mergeCell ref="R63:T63"/>
    <mergeCell ref="C64:E64"/>
    <mergeCell ref="F64:H64"/>
    <mergeCell ref="I64:J64"/>
    <mergeCell ref="K64:L64"/>
    <mergeCell ref="M64:N64"/>
    <mergeCell ref="O64:Q64"/>
    <mergeCell ref="R64:T6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1"/>
  <sheetViews>
    <sheetView topLeftCell="A8" zoomScaleNormal="100" workbookViewId="0">
      <selection activeCell="F27" sqref="F27"/>
    </sheetView>
  </sheetViews>
  <sheetFormatPr defaultColWidth="8.7109375" defaultRowHeight="15" x14ac:dyDescent="0.25"/>
  <cols>
    <col min="1" max="6" width="18" customWidth="1"/>
  </cols>
  <sheetData>
    <row r="1" spans="1:6" ht="15" customHeight="1" x14ac:dyDescent="0.25">
      <c r="A1" s="19" t="s">
        <v>84</v>
      </c>
      <c r="B1" s="19" t="s">
        <v>85</v>
      </c>
      <c r="C1" s="19" t="s">
        <v>86</v>
      </c>
      <c r="D1" s="19" t="s">
        <v>87</v>
      </c>
      <c r="E1" s="19" t="s">
        <v>88</v>
      </c>
      <c r="F1" s="19" t="s">
        <v>89</v>
      </c>
    </row>
    <row r="2" spans="1:6" ht="15" customHeight="1" x14ac:dyDescent="0.25">
      <c r="A2">
        <v>1001</v>
      </c>
      <c r="B2" t="s">
        <v>90</v>
      </c>
      <c r="C2" t="s">
        <v>18</v>
      </c>
      <c r="D2">
        <v>50</v>
      </c>
      <c r="E2">
        <v>30</v>
      </c>
    </row>
    <row r="3" spans="1:6" ht="15" customHeight="1" x14ac:dyDescent="0.25">
      <c r="A3">
        <v>1002</v>
      </c>
      <c r="B3" t="s">
        <v>91</v>
      </c>
      <c r="C3" t="s">
        <v>18</v>
      </c>
      <c r="D3">
        <v>50</v>
      </c>
      <c r="E3">
        <v>30</v>
      </c>
    </row>
    <row r="4" spans="1:6" ht="15" customHeight="1" x14ac:dyDescent="0.25">
      <c r="A4">
        <v>1003</v>
      </c>
      <c r="B4" t="s">
        <v>92</v>
      </c>
      <c r="C4" t="s">
        <v>18</v>
      </c>
      <c r="D4">
        <v>50</v>
      </c>
      <c r="E4">
        <v>30</v>
      </c>
    </row>
    <row r="5" spans="1:6" ht="15" customHeight="1" x14ac:dyDescent="0.25">
      <c r="A5">
        <v>1004</v>
      </c>
      <c r="B5" t="s">
        <v>93</v>
      </c>
      <c r="C5" t="s">
        <v>19</v>
      </c>
      <c r="D5">
        <v>200</v>
      </c>
      <c r="E5">
        <v>100</v>
      </c>
    </row>
    <row r="6" spans="1:6" ht="15" customHeight="1" x14ac:dyDescent="0.25">
      <c r="A6">
        <v>1005</v>
      </c>
      <c r="B6" t="s">
        <v>94</v>
      </c>
      <c r="C6" t="s">
        <v>19</v>
      </c>
      <c r="D6">
        <v>200</v>
      </c>
      <c r="E6">
        <v>100</v>
      </c>
    </row>
    <row r="7" spans="1:6" ht="15" customHeight="1" x14ac:dyDescent="0.25">
      <c r="A7">
        <v>1006</v>
      </c>
      <c r="B7" t="s">
        <v>95</v>
      </c>
      <c r="C7" t="s">
        <v>18</v>
      </c>
      <c r="D7">
        <v>50</v>
      </c>
      <c r="E7">
        <v>30</v>
      </c>
    </row>
    <row r="8" spans="1:6" ht="15" customHeight="1" x14ac:dyDescent="0.25">
      <c r="A8">
        <v>1007</v>
      </c>
      <c r="B8" t="s">
        <v>96</v>
      </c>
      <c r="C8" t="s">
        <v>20</v>
      </c>
      <c r="D8">
        <v>500</v>
      </c>
      <c r="E8">
        <v>200</v>
      </c>
    </row>
    <row r="9" spans="1:6" ht="15" customHeight="1" x14ac:dyDescent="0.25">
      <c r="A9">
        <v>1008</v>
      </c>
      <c r="B9" t="s">
        <v>97</v>
      </c>
      <c r="C9" t="s">
        <v>19</v>
      </c>
      <c r="D9">
        <v>200</v>
      </c>
      <c r="E9">
        <v>100</v>
      </c>
    </row>
    <row r="10" spans="1:6" ht="15" customHeight="1" x14ac:dyDescent="0.25">
      <c r="A10">
        <v>1009</v>
      </c>
      <c r="B10" t="s">
        <v>94</v>
      </c>
      <c r="C10" t="s">
        <v>19</v>
      </c>
      <c r="D10">
        <v>200</v>
      </c>
      <c r="E10">
        <v>100</v>
      </c>
    </row>
    <row r="11" spans="1:6" ht="15" customHeight="1" x14ac:dyDescent="0.25">
      <c r="A11">
        <v>1010</v>
      </c>
      <c r="B11" t="s">
        <v>98</v>
      </c>
      <c r="C11" t="s">
        <v>19</v>
      </c>
      <c r="D11">
        <v>200</v>
      </c>
      <c r="E11">
        <v>100</v>
      </c>
    </row>
    <row r="12" spans="1:6" ht="15" customHeight="1" x14ac:dyDescent="0.25">
      <c r="A12">
        <v>1011</v>
      </c>
      <c r="B12" t="s">
        <v>99</v>
      </c>
      <c r="C12" t="s">
        <v>18</v>
      </c>
      <c r="D12">
        <v>50</v>
      </c>
      <c r="E12">
        <v>30</v>
      </c>
    </row>
    <row r="13" spans="1:6" ht="15" customHeight="1" x14ac:dyDescent="0.25">
      <c r="A13">
        <v>1012</v>
      </c>
      <c r="B13" t="s">
        <v>100</v>
      </c>
      <c r="C13" t="s">
        <v>20</v>
      </c>
      <c r="D13">
        <v>500</v>
      </c>
      <c r="E13">
        <v>200</v>
      </c>
    </row>
    <row r="14" spans="1:6" ht="15" customHeight="1" x14ac:dyDescent="0.25">
      <c r="A14">
        <v>1013</v>
      </c>
      <c r="B14" t="s">
        <v>101</v>
      </c>
      <c r="C14" t="s">
        <v>19</v>
      </c>
      <c r="D14">
        <v>200</v>
      </c>
      <c r="E14">
        <v>100</v>
      </c>
    </row>
    <row r="15" spans="1:6" ht="15" customHeight="1" x14ac:dyDescent="0.25">
      <c r="A15">
        <v>1014</v>
      </c>
      <c r="B15" t="s">
        <v>102</v>
      </c>
      <c r="C15" t="s">
        <v>20</v>
      </c>
      <c r="D15">
        <v>500</v>
      </c>
      <c r="E15">
        <v>200</v>
      </c>
    </row>
    <row r="16" spans="1:6" ht="15" customHeight="1" x14ac:dyDescent="0.25">
      <c r="A16">
        <v>1015</v>
      </c>
      <c r="B16" t="s">
        <v>103</v>
      </c>
      <c r="C16" t="s">
        <v>19</v>
      </c>
      <c r="D16">
        <v>200</v>
      </c>
      <c r="E16">
        <v>100</v>
      </c>
    </row>
    <row r="17" spans="1:6" ht="15" customHeight="1" x14ac:dyDescent="0.25">
      <c r="A17">
        <v>1016</v>
      </c>
      <c r="B17" t="s">
        <v>104</v>
      </c>
      <c r="C17" t="s">
        <v>20</v>
      </c>
      <c r="D17">
        <v>500</v>
      </c>
      <c r="E17">
        <v>200</v>
      </c>
    </row>
    <row r="18" spans="1:6" ht="15" customHeight="1" x14ac:dyDescent="0.25">
      <c r="A18">
        <v>1017</v>
      </c>
      <c r="B18" t="s">
        <v>105</v>
      </c>
      <c r="C18" t="s">
        <v>19</v>
      </c>
      <c r="D18">
        <v>200</v>
      </c>
      <c r="E18">
        <v>100</v>
      </c>
    </row>
    <row r="19" spans="1:6" ht="15" customHeight="1" x14ac:dyDescent="0.25">
      <c r="A19">
        <v>1018</v>
      </c>
      <c r="B19" t="s">
        <v>106</v>
      </c>
      <c r="C19" t="s">
        <v>19</v>
      </c>
      <c r="D19">
        <v>200</v>
      </c>
      <c r="E19">
        <v>100</v>
      </c>
    </row>
    <row r="20" spans="1:6" ht="15" customHeight="1" x14ac:dyDescent="0.25">
      <c r="A20">
        <v>1019</v>
      </c>
      <c r="B20" t="s">
        <v>107</v>
      </c>
      <c r="C20" t="s">
        <v>18</v>
      </c>
      <c r="D20">
        <v>50</v>
      </c>
      <c r="E20">
        <v>30</v>
      </c>
    </row>
    <row r="21" spans="1:6" ht="15" customHeight="1" x14ac:dyDescent="0.25">
      <c r="A21">
        <v>1020</v>
      </c>
      <c r="B21" t="s">
        <v>108</v>
      </c>
      <c r="C21" t="s">
        <v>19</v>
      </c>
      <c r="D21">
        <v>200</v>
      </c>
      <c r="E21">
        <v>100</v>
      </c>
      <c r="F21" t="s">
        <v>109</v>
      </c>
    </row>
    <row r="22" spans="1:6" ht="15" customHeight="1" x14ac:dyDescent="0.25">
      <c r="A22">
        <v>1021</v>
      </c>
      <c r="B22" t="s">
        <v>110</v>
      </c>
      <c r="C22" t="s">
        <v>19</v>
      </c>
      <c r="D22">
        <v>200</v>
      </c>
      <c r="E22">
        <v>100</v>
      </c>
      <c r="F22" t="s">
        <v>111</v>
      </c>
    </row>
    <row r="23" spans="1:6" ht="15" customHeight="1" x14ac:dyDescent="0.25">
      <c r="A23">
        <v>1022</v>
      </c>
      <c r="B23" t="s">
        <v>112</v>
      </c>
      <c r="C23" t="s">
        <v>20</v>
      </c>
      <c r="D23">
        <v>500</v>
      </c>
      <c r="E23">
        <v>200</v>
      </c>
    </row>
    <row r="24" spans="1:6" ht="15" customHeight="1" x14ac:dyDescent="0.25">
      <c r="A24">
        <v>1023</v>
      </c>
      <c r="B24" t="s">
        <v>113</v>
      </c>
      <c r="C24" t="s">
        <v>18</v>
      </c>
      <c r="D24">
        <v>50</v>
      </c>
      <c r="E24">
        <v>30</v>
      </c>
      <c r="F24" t="s">
        <v>114</v>
      </c>
    </row>
    <row r="25" spans="1:6" ht="15" customHeight="1" x14ac:dyDescent="0.25">
      <c r="A25">
        <v>1024</v>
      </c>
      <c r="B25" t="s">
        <v>115</v>
      </c>
      <c r="C25" t="s">
        <v>18</v>
      </c>
      <c r="D25">
        <v>50</v>
      </c>
      <c r="E25">
        <v>30</v>
      </c>
    </row>
    <row r="26" spans="1:6" ht="15" customHeight="1" x14ac:dyDescent="0.25">
      <c r="A26">
        <v>1025</v>
      </c>
      <c r="B26" t="s">
        <v>116</v>
      </c>
      <c r="C26" t="s">
        <v>20</v>
      </c>
      <c r="D26">
        <v>500</v>
      </c>
      <c r="E26">
        <v>200</v>
      </c>
    </row>
    <row r="27" spans="1:6" ht="15" customHeight="1" x14ac:dyDescent="0.25">
      <c r="A27">
        <v>1026</v>
      </c>
      <c r="B27" t="s">
        <v>117</v>
      </c>
      <c r="C27" t="s">
        <v>19</v>
      </c>
      <c r="D27">
        <v>200</v>
      </c>
      <c r="E27">
        <v>100</v>
      </c>
      <c r="F27" t="s">
        <v>118</v>
      </c>
    </row>
    <row r="28" spans="1:6" ht="15" customHeight="1" x14ac:dyDescent="0.25">
      <c r="A28">
        <v>1027</v>
      </c>
      <c r="B28" t="s">
        <v>119</v>
      </c>
      <c r="C28" t="s">
        <v>19</v>
      </c>
      <c r="D28">
        <v>200</v>
      </c>
      <c r="E28">
        <v>100</v>
      </c>
    </row>
    <row r="29" spans="1:6" ht="15" customHeight="1" x14ac:dyDescent="0.25">
      <c r="A29">
        <v>1028</v>
      </c>
      <c r="B29" t="s">
        <v>120</v>
      </c>
      <c r="C29" t="s">
        <v>20</v>
      </c>
      <c r="D29">
        <v>500</v>
      </c>
      <c r="E29">
        <v>200</v>
      </c>
    </row>
    <row r="30" spans="1:6" ht="15" customHeight="1" x14ac:dyDescent="0.25">
      <c r="A30">
        <v>1029</v>
      </c>
      <c r="B30" t="s">
        <v>121</v>
      </c>
      <c r="C30" t="s">
        <v>20</v>
      </c>
      <c r="D30">
        <v>500</v>
      </c>
      <c r="E30">
        <v>200</v>
      </c>
    </row>
    <row r="31" spans="1:6" ht="15" customHeight="1" x14ac:dyDescent="0.25">
      <c r="A31">
        <v>1030</v>
      </c>
      <c r="B31" t="s">
        <v>122</v>
      </c>
      <c r="C31" t="s">
        <v>20</v>
      </c>
      <c r="D31">
        <v>500</v>
      </c>
      <c r="E31">
        <v>200</v>
      </c>
    </row>
    <row r="32" spans="1:6" ht="15" customHeight="1" x14ac:dyDescent="0.25">
      <c r="A32">
        <v>1031</v>
      </c>
      <c r="B32" t="s">
        <v>123</v>
      </c>
      <c r="C32" t="s">
        <v>19</v>
      </c>
      <c r="D32">
        <v>200</v>
      </c>
      <c r="E32">
        <v>100</v>
      </c>
      <c r="F32" t="s">
        <v>124</v>
      </c>
    </row>
    <row r="33" spans="1:6" ht="15" customHeight="1" x14ac:dyDescent="0.25">
      <c r="A33">
        <v>1032</v>
      </c>
      <c r="B33" t="s">
        <v>125</v>
      </c>
      <c r="C33" t="s">
        <v>19</v>
      </c>
      <c r="D33">
        <v>200</v>
      </c>
      <c r="E33">
        <v>100</v>
      </c>
    </row>
    <row r="34" spans="1:6" ht="15" customHeight="1" x14ac:dyDescent="0.25">
      <c r="A34">
        <v>1033</v>
      </c>
      <c r="B34" t="s">
        <v>126</v>
      </c>
      <c r="C34" t="s">
        <v>18</v>
      </c>
      <c r="D34">
        <v>50</v>
      </c>
      <c r="E34">
        <v>30</v>
      </c>
    </row>
    <row r="35" spans="1:6" ht="15" customHeight="1" x14ac:dyDescent="0.25">
      <c r="A35">
        <v>1034</v>
      </c>
      <c r="B35" t="s">
        <v>127</v>
      </c>
      <c r="C35" t="s">
        <v>18</v>
      </c>
      <c r="D35">
        <v>50</v>
      </c>
      <c r="E35">
        <v>30</v>
      </c>
      <c r="F35" t="s">
        <v>128</v>
      </c>
    </row>
    <row r="36" spans="1:6" ht="15" customHeight="1" x14ac:dyDescent="0.25">
      <c r="A36">
        <v>1035</v>
      </c>
      <c r="B36" t="s">
        <v>129</v>
      </c>
      <c r="C36" t="s">
        <v>18</v>
      </c>
      <c r="D36">
        <v>50</v>
      </c>
      <c r="E36">
        <v>30</v>
      </c>
      <c r="F36" t="s">
        <v>130</v>
      </c>
    </row>
    <row r="37" spans="1:6" ht="15" customHeight="1" x14ac:dyDescent="0.25">
      <c r="A37">
        <v>1036</v>
      </c>
      <c r="B37" t="s">
        <v>131</v>
      </c>
      <c r="C37" t="s">
        <v>20</v>
      </c>
      <c r="D37">
        <v>500</v>
      </c>
      <c r="E37">
        <v>200</v>
      </c>
    </row>
    <row r="38" spans="1:6" ht="15" customHeight="1" x14ac:dyDescent="0.25">
      <c r="A38">
        <v>1037</v>
      </c>
      <c r="B38" t="s">
        <v>132</v>
      </c>
      <c r="C38" t="s">
        <v>19</v>
      </c>
      <c r="D38">
        <v>200</v>
      </c>
      <c r="E38">
        <v>100</v>
      </c>
    </row>
    <row r="39" spans="1:6" ht="15" customHeight="1" x14ac:dyDescent="0.25">
      <c r="A39">
        <v>1038</v>
      </c>
      <c r="B39" t="s">
        <v>133</v>
      </c>
      <c r="C39" t="s">
        <v>20</v>
      </c>
      <c r="D39">
        <v>500</v>
      </c>
      <c r="E39">
        <v>200</v>
      </c>
    </row>
    <row r="40" spans="1:6" ht="15" customHeight="1" x14ac:dyDescent="0.25">
      <c r="A40">
        <v>1039</v>
      </c>
      <c r="B40" t="s">
        <v>134</v>
      </c>
      <c r="C40" t="s">
        <v>18</v>
      </c>
      <c r="D40">
        <v>50</v>
      </c>
      <c r="E40">
        <v>30</v>
      </c>
    </row>
    <row r="41" spans="1:6" ht="15" customHeight="1" x14ac:dyDescent="0.25">
      <c r="A41">
        <v>1040</v>
      </c>
      <c r="B41" t="s">
        <v>135</v>
      </c>
      <c r="C41" t="s">
        <v>20</v>
      </c>
      <c r="D41">
        <v>500</v>
      </c>
      <c r="E41">
        <v>200</v>
      </c>
    </row>
    <row r="42" spans="1:6" ht="15" customHeight="1" x14ac:dyDescent="0.25">
      <c r="A42">
        <v>1041</v>
      </c>
      <c r="B42" t="s">
        <v>111</v>
      </c>
      <c r="C42" t="s">
        <v>19</v>
      </c>
      <c r="D42">
        <v>200</v>
      </c>
      <c r="E42">
        <v>100</v>
      </c>
    </row>
    <row r="43" spans="1:6" ht="15" customHeight="1" x14ac:dyDescent="0.25">
      <c r="A43">
        <v>1042</v>
      </c>
      <c r="B43" t="s">
        <v>136</v>
      </c>
      <c r="C43" t="s">
        <v>19</v>
      </c>
      <c r="D43">
        <v>200</v>
      </c>
      <c r="E43">
        <v>100</v>
      </c>
      <c r="F43" t="s">
        <v>137</v>
      </c>
    </row>
    <row r="44" spans="1:6" ht="15" customHeight="1" x14ac:dyDescent="0.25">
      <c r="A44">
        <v>1043</v>
      </c>
      <c r="B44" t="s">
        <v>138</v>
      </c>
      <c r="C44" t="s">
        <v>20</v>
      </c>
      <c r="D44">
        <v>500</v>
      </c>
      <c r="E44">
        <v>200</v>
      </c>
      <c r="F44" t="s">
        <v>139</v>
      </c>
    </row>
    <row r="45" spans="1:6" ht="15" customHeight="1" x14ac:dyDescent="0.25">
      <c r="A45">
        <v>1044</v>
      </c>
      <c r="B45" t="s">
        <v>140</v>
      </c>
      <c r="C45" t="s">
        <v>19</v>
      </c>
      <c r="D45">
        <v>200</v>
      </c>
      <c r="E45">
        <v>100</v>
      </c>
    </row>
    <row r="46" spans="1:6" ht="15" customHeight="1" x14ac:dyDescent="0.25">
      <c r="A46">
        <v>1045</v>
      </c>
      <c r="B46" t="s">
        <v>141</v>
      </c>
      <c r="C46" t="s">
        <v>19</v>
      </c>
      <c r="D46">
        <v>200</v>
      </c>
      <c r="E46">
        <v>100</v>
      </c>
    </row>
    <row r="47" spans="1:6" ht="15" customHeight="1" x14ac:dyDescent="0.25">
      <c r="A47">
        <v>1046</v>
      </c>
      <c r="B47" t="s">
        <v>142</v>
      </c>
      <c r="C47" t="s">
        <v>19</v>
      </c>
      <c r="D47">
        <v>200</v>
      </c>
      <c r="E47">
        <v>100</v>
      </c>
    </row>
    <row r="48" spans="1:6" ht="15" customHeight="1" x14ac:dyDescent="0.25">
      <c r="A48">
        <v>1047</v>
      </c>
      <c r="B48" t="s">
        <v>143</v>
      </c>
      <c r="C48" t="s">
        <v>18</v>
      </c>
      <c r="D48">
        <v>50</v>
      </c>
      <c r="E48">
        <v>30</v>
      </c>
      <c r="F48" t="s">
        <v>144</v>
      </c>
    </row>
    <row r="49" spans="1:6" ht="15" customHeight="1" x14ac:dyDescent="0.25">
      <c r="A49">
        <v>1048</v>
      </c>
      <c r="B49" t="s">
        <v>145</v>
      </c>
      <c r="C49" t="s">
        <v>20</v>
      </c>
      <c r="D49">
        <v>500</v>
      </c>
      <c r="E49">
        <v>200</v>
      </c>
    </row>
    <row r="50" spans="1:6" ht="15" customHeight="1" x14ac:dyDescent="0.25">
      <c r="A50">
        <v>1049</v>
      </c>
      <c r="B50" t="s">
        <v>146</v>
      </c>
      <c r="C50" t="s">
        <v>19</v>
      </c>
      <c r="D50">
        <v>200</v>
      </c>
      <c r="E50">
        <v>100</v>
      </c>
    </row>
    <row r="51" spans="1:6" ht="15" customHeight="1" x14ac:dyDescent="0.25">
      <c r="A51">
        <v>1050</v>
      </c>
      <c r="B51" t="s">
        <v>147</v>
      </c>
      <c r="C51" t="s">
        <v>19</v>
      </c>
      <c r="D51">
        <v>200</v>
      </c>
      <c r="E51">
        <v>100</v>
      </c>
    </row>
    <row r="52" spans="1:6" ht="15" customHeight="1" x14ac:dyDescent="0.25">
      <c r="A52">
        <v>1051</v>
      </c>
      <c r="B52" t="s">
        <v>148</v>
      </c>
      <c r="C52" t="s">
        <v>19</v>
      </c>
      <c r="D52">
        <v>200</v>
      </c>
      <c r="E52">
        <v>100</v>
      </c>
    </row>
    <row r="53" spans="1:6" ht="15" customHeight="1" x14ac:dyDescent="0.25">
      <c r="A53">
        <v>1052</v>
      </c>
      <c r="B53" t="s">
        <v>149</v>
      </c>
      <c r="C53" t="s">
        <v>18</v>
      </c>
      <c r="D53">
        <v>50</v>
      </c>
      <c r="E53">
        <v>30</v>
      </c>
    </row>
    <row r="54" spans="1:6" ht="15" customHeight="1" x14ac:dyDescent="0.25">
      <c r="A54">
        <v>1053</v>
      </c>
      <c r="B54" t="s">
        <v>113</v>
      </c>
      <c r="C54" t="s">
        <v>20</v>
      </c>
      <c r="D54">
        <v>500</v>
      </c>
      <c r="E54">
        <v>200</v>
      </c>
    </row>
    <row r="55" spans="1:6" ht="15" customHeight="1" x14ac:dyDescent="0.25">
      <c r="A55">
        <v>1054</v>
      </c>
      <c r="B55" t="s">
        <v>150</v>
      </c>
      <c r="C55" t="s">
        <v>19</v>
      </c>
      <c r="D55">
        <v>200</v>
      </c>
      <c r="E55">
        <v>100</v>
      </c>
    </row>
    <row r="56" spans="1:6" ht="15" customHeight="1" x14ac:dyDescent="0.25">
      <c r="A56">
        <v>1055</v>
      </c>
      <c r="B56" t="s">
        <v>151</v>
      </c>
      <c r="C56" t="s">
        <v>20</v>
      </c>
      <c r="D56">
        <v>500</v>
      </c>
      <c r="E56">
        <v>200</v>
      </c>
    </row>
    <row r="57" spans="1:6" ht="15" customHeight="1" x14ac:dyDescent="0.25">
      <c r="A57">
        <v>1056</v>
      </c>
      <c r="B57" t="s">
        <v>152</v>
      </c>
      <c r="C57" t="s">
        <v>19</v>
      </c>
      <c r="D57">
        <v>200</v>
      </c>
      <c r="E57">
        <v>100</v>
      </c>
      <c r="F57" t="s">
        <v>113</v>
      </c>
    </row>
    <row r="58" spans="1:6" ht="15" customHeight="1" x14ac:dyDescent="0.25">
      <c r="A58">
        <v>1057</v>
      </c>
      <c r="B58" t="s">
        <v>153</v>
      </c>
      <c r="C58" t="s">
        <v>18</v>
      </c>
      <c r="D58">
        <v>50</v>
      </c>
      <c r="E58">
        <v>30</v>
      </c>
    </row>
    <row r="59" spans="1:6" ht="15" customHeight="1" x14ac:dyDescent="0.25">
      <c r="A59">
        <v>1058</v>
      </c>
      <c r="B59" t="s">
        <v>154</v>
      </c>
      <c r="C59" t="s">
        <v>20</v>
      </c>
      <c r="D59">
        <v>500</v>
      </c>
      <c r="E59">
        <v>200</v>
      </c>
    </row>
    <row r="60" spans="1:6" ht="15" customHeight="1" x14ac:dyDescent="0.25">
      <c r="A60">
        <v>1059</v>
      </c>
      <c r="B60" t="s">
        <v>155</v>
      </c>
      <c r="C60" t="s">
        <v>20</v>
      </c>
      <c r="D60">
        <v>500</v>
      </c>
      <c r="E60">
        <v>200</v>
      </c>
    </row>
    <row r="61" spans="1:6" ht="15" customHeight="1" x14ac:dyDescent="0.25">
      <c r="A61">
        <v>1060</v>
      </c>
      <c r="B61" t="s">
        <v>99</v>
      </c>
      <c r="C61" t="s">
        <v>18</v>
      </c>
      <c r="D61">
        <v>50</v>
      </c>
      <c r="E61">
        <v>30</v>
      </c>
      <c r="F61" t="s">
        <v>118</v>
      </c>
    </row>
    <row r="62" spans="1:6" ht="15" customHeight="1" x14ac:dyDescent="0.25">
      <c r="A62">
        <v>1061</v>
      </c>
      <c r="B62" t="s">
        <v>156</v>
      </c>
      <c r="C62" t="s">
        <v>18</v>
      </c>
      <c r="D62">
        <v>50</v>
      </c>
      <c r="E62">
        <v>30</v>
      </c>
    </row>
    <row r="63" spans="1:6" ht="15" customHeight="1" x14ac:dyDescent="0.25">
      <c r="A63">
        <v>1062</v>
      </c>
      <c r="B63" t="s">
        <v>157</v>
      </c>
      <c r="C63" t="s">
        <v>19</v>
      </c>
      <c r="D63">
        <v>200</v>
      </c>
      <c r="E63">
        <v>100</v>
      </c>
      <c r="F63" t="s">
        <v>158</v>
      </c>
    </row>
    <row r="64" spans="1:6" ht="15" customHeight="1" x14ac:dyDescent="0.25">
      <c r="A64">
        <v>1063</v>
      </c>
      <c r="B64" t="s">
        <v>159</v>
      </c>
      <c r="C64" t="s">
        <v>19</v>
      </c>
      <c r="D64">
        <v>200</v>
      </c>
      <c r="E64">
        <v>100</v>
      </c>
    </row>
    <row r="65" spans="1:6" ht="15" customHeight="1" x14ac:dyDescent="0.25">
      <c r="A65">
        <v>1064</v>
      </c>
      <c r="B65" t="s">
        <v>130</v>
      </c>
      <c r="C65" t="s">
        <v>18</v>
      </c>
      <c r="D65">
        <v>50</v>
      </c>
      <c r="E65">
        <v>30</v>
      </c>
    </row>
    <row r="66" spans="1:6" ht="15" customHeight="1" x14ac:dyDescent="0.25">
      <c r="A66">
        <v>1065</v>
      </c>
      <c r="B66" t="s">
        <v>160</v>
      </c>
      <c r="C66" t="s">
        <v>20</v>
      </c>
      <c r="D66">
        <v>500</v>
      </c>
      <c r="E66">
        <v>200</v>
      </c>
    </row>
    <row r="67" spans="1:6" ht="15" customHeight="1" x14ac:dyDescent="0.25">
      <c r="A67">
        <v>1066</v>
      </c>
      <c r="B67" t="s">
        <v>161</v>
      </c>
      <c r="C67" t="s">
        <v>20</v>
      </c>
      <c r="D67">
        <v>500</v>
      </c>
      <c r="E67">
        <v>200</v>
      </c>
    </row>
    <row r="68" spans="1:6" ht="15" customHeight="1" x14ac:dyDescent="0.25">
      <c r="A68">
        <v>1067</v>
      </c>
      <c r="B68" t="s">
        <v>162</v>
      </c>
      <c r="C68" t="s">
        <v>20</v>
      </c>
      <c r="D68">
        <v>500</v>
      </c>
      <c r="E68">
        <v>200</v>
      </c>
    </row>
    <row r="69" spans="1:6" ht="15" customHeight="1" x14ac:dyDescent="0.25">
      <c r="A69">
        <v>1068</v>
      </c>
      <c r="B69" t="s">
        <v>163</v>
      </c>
      <c r="C69" t="s">
        <v>19</v>
      </c>
      <c r="D69">
        <v>200</v>
      </c>
      <c r="E69">
        <v>100</v>
      </c>
    </row>
    <row r="70" spans="1:6" ht="15" customHeight="1" x14ac:dyDescent="0.25">
      <c r="A70">
        <v>1069</v>
      </c>
      <c r="B70" t="s">
        <v>164</v>
      </c>
      <c r="C70" t="s">
        <v>20</v>
      </c>
      <c r="D70">
        <v>500</v>
      </c>
      <c r="E70">
        <v>200</v>
      </c>
    </row>
    <row r="71" spans="1:6" ht="15" customHeight="1" x14ac:dyDescent="0.25">
      <c r="A71">
        <v>1070</v>
      </c>
      <c r="B71" t="s">
        <v>165</v>
      </c>
      <c r="C71" t="s">
        <v>19</v>
      </c>
      <c r="D71">
        <v>200</v>
      </c>
      <c r="E71">
        <v>100</v>
      </c>
    </row>
    <row r="72" spans="1:6" ht="15" customHeight="1" x14ac:dyDescent="0.25">
      <c r="A72">
        <v>1071</v>
      </c>
      <c r="B72" t="s">
        <v>166</v>
      </c>
      <c r="C72" t="s">
        <v>20</v>
      </c>
      <c r="D72">
        <v>500</v>
      </c>
      <c r="E72">
        <v>200</v>
      </c>
    </row>
    <row r="73" spans="1:6" ht="15" customHeight="1" x14ac:dyDescent="0.25">
      <c r="A73">
        <v>1072</v>
      </c>
      <c r="B73" t="s">
        <v>100</v>
      </c>
      <c r="C73" t="s">
        <v>19</v>
      </c>
      <c r="D73">
        <v>200</v>
      </c>
      <c r="E73">
        <v>100</v>
      </c>
    </row>
    <row r="74" spans="1:6" ht="15" customHeight="1" x14ac:dyDescent="0.25">
      <c r="A74">
        <v>1073</v>
      </c>
      <c r="B74" t="s">
        <v>167</v>
      </c>
      <c r="C74" t="s">
        <v>20</v>
      </c>
      <c r="D74">
        <v>500</v>
      </c>
      <c r="E74">
        <v>200</v>
      </c>
    </row>
    <row r="75" spans="1:6" ht="15" customHeight="1" x14ac:dyDescent="0.25">
      <c r="A75">
        <v>1074</v>
      </c>
      <c r="B75" t="s">
        <v>168</v>
      </c>
      <c r="C75" t="s">
        <v>20</v>
      </c>
      <c r="D75">
        <v>500</v>
      </c>
      <c r="E75">
        <v>200</v>
      </c>
      <c r="F75" t="s">
        <v>157</v>
      </c>
    </row>
    <row r="76" spans="1:6" ht="15" customHeight="1" x14ac:dyDescent="0.25">
      <c r="A76">
        <v>1075</v>
      </c>
      <c r="B76" t="s">
        <v>169</v>
      </c>
      <c r="C76" t="s">
        <v>20</v>
      </c>
      <c r="D76">
        <v>500</v>
      </c>
      <c r="E76">
        <v>200</v>
      </c>
      <c r="F76" t="s">
        <v>121</v>
      </c>
    </row>
    <row r="77" spans="1:6" ht="15" customHeight="1" x14ac:dyDescent="0.25">
      <c r="A77">
        <v>1076</v>
      </c>
      <c r="B77" t="s">
        <v>170</v>
      </c>
      <c r="C77" t="s">
        <v>20</v>
      </c>
      <c r="D77">
        <v>500</v>
      </c>
      <c r="E77">
        <v>200</v>
      </c>
    </row>
    <row r="78" spans="1:6" ht="15" customHeight="1" x14ac:dyDescent="0.25">
      <c r="A78">
        <v>1077</v>
      </c>
      <c r="B78" t="s">
        <v>171</v>
      </c>
      <c r="C78" t="s">
        <v>18</v>
      </c>
      <c r="D78">
        <v>50</v>
      </c>
      <c r="E78">
        <v>30</v>
      </c>
    </row>
    <row r="79" spans="1:6" ht="15" customHeight="1" x14ac:dyDescent="0.25">
      <c r="A79">
        <v>1078</v>
      </c>
      <c r="B79" t="s">
        <v>172</v>
      </c>
      <c r="C79" t="s">
        <v>18</v>
      </c>
      <c r="D79">
        <v>50</v>
      </c>
      <c r="E79">
        <v>30</v>
      </c>
    </row>
    <row r="80" spans="1:6" ht="15" customHeight="1" x14ac:dyDescent="0.25">
      <c r="A80">
        <v>1079</v>
      </c>
      <c r="B80" t="s">
        <v>173</v>
      </c>
      <c r="C80" t="s">
        <v>18</v>
      </c>
      <c r="D80">
        <v>50</v>
      </c>
      <c r="E80">
        <v>30</v>
      </c>
    </row>
    <row r="81" spans="1:6" ht="15" customHeight="1" x14ac:dyDescent="0.25">
      <c r="A81">
        <v>1080</v>
      </c>
      <c r="B81" t="s">
        <v>174</v>
      </c>
      <c r="C81" t="s">
        <v>20</v>
      </c>
      <c r="D81">
        <v>500</v>
      </c>
      <c r="E81">
        <v>200</v>
      </c>
    </row>
    <row r="82" spans="1:6" ht="15" customHeight="1" x14ac:dyDescent="0.25">
      <c r="A82">
        <v>1081</v>
      </c>
      <c r="B82" t="s">
        <v>175</v>
      </c>
      <c r="C82" t="s">
        <v>18</v>
      </c>
      <c r="D82">
        <v>50</v>
      </c>
      <c r="E82">
        <v>30</v>
      </c>
    </row>
    <row r="83" spans="1:6" ht="15" customHeight="1" x14ac:dyDescent="0.25">
      <c r="A83">
        <v>1082</v>
      </c>
      <c r="B83" t="s">
        <v>176</v>
      </c>
      <c r="C83" t="s">
        <v>19</v>
      </c>
      <c r="D83">
        <v>200</v>
      </c>
      <c r="E83">
        <v>100</v>
      </c>
    </row>
    <row r="84" spans="1:6" ht="15" customHeight="1" x14ac:dyDescent="0.25">
      <c r="A84">
        <v>1083</v>
      </c>
      <c r="B84" t="s">
        <v>177</v>
      </c>
      <c r="C84" t="s">
        <v>19</v>
      </c>
      <c r="D84">
        <v>200</v>
      </c>
      <c r="E84">
        <v>100</v>
      </c>
    </row>
    <row r="85" spans="1:6" ht="15" customHeight="1" x14ac:dyDescent="0.25">
      <c r="A85">
        <v>1084</v>
      </c>
      <c r="B85" t="s">
        <v>178</v>
      </c>
      <c r="C85" t="s">
        <v>18</v>
      </c>
      <c r="D85">
        <v>50</v>
      </c>
      <c r="E85">
        <v>30</v>
      </c>
    </row>
    <row r="86" spans="1:6" ht="15" customHeight="1" x14ac:dyDescent="0.25">
      <c r="A86">
        <v>1085</v>
      </c>
      <c r="B86" t="s">
        <v>179</v>
      </c>
      <c r="C86" t="s">
        <v>18</v>
      </c>
      <c r="D86">
        <v>50</v>
      </c>
      <c r="E86">
        <v>30</v>
      </c>
      <c r="F86" t="s">
        <v>180</v>
      </c>
    </row>
    <row r="87" spans="1:6" ht="15" customHeight="1" x14ac:dyDescent="0.25">
      <c r="A87">
        <v>1086</v>
      </c>
      <c r="B87" t="s">
        <v>181</v>
      </c>
      <c r="C87" t="s">
        <v>20</v>
      </c>
      <c r="D87">
        <v>500</v>
      </c>
      <c r="E87">
        <v>200</v>
      </c>
    </row>
    <row r="88" spans="1:6" ht="15" customHeight="1" x14ac:dyDescent="0.25">
      <c r="A88">
        <v>1087</v>
      </c>
      <c r="B88" t="s">
        <v>182</v>
      </c>
      <c r="C88" t="s">
        <v>20</v>
      </c>
      <c r="D88">
        <v>500</v>
      </c>
      <c r="E88">
        <v>200</v>
      </c>
    </row>
    <row r="89" spans="1:6" ht="15" customHeight="1" x14ac:dyDescent="0.25">
      <c r="A89">
        <v>1088</v>
      </c>
      <c r="B89" t="s">
        <v>120</v>
      </c>
      <c r="C89" t="s">
        <v>19</v>
      </c>
      <c r="D89">
        <v>200</v>
      </c>
      <c r="E89">
        <v>100</v>
      </c>
    </row>
    <row r="90" spans="1:6" ht="15" customHeight="1" x14ac:dyDescent="0.25">
      <c r="A90">
        <v>1089</v>
      </c>
      <c r="B90" t="s">
        <v>119</v>
      </c>
      <c r="C90" t="s">
        <v>18</v>
      </c>
      <c r="D90">
        <v>50</v>
      </c>
      <c r="E90">
        <v>30</v>
      </c>
    </row>
    <row r="91" spans="1:6" ht="15" customHeight="1" x14ac:dyDescent="0.25">
      <c r="A91">
        <v>1090</v>
      </c>
      <c r="B91" t="s">
        <v>183</v>
      </c>
      <c r="C91" t="s">
        <v>20</v>
      </c>
      <c r="D91">
        <v>500</v>
      </c>
      <c r="E91">
        <v>200</v>
      </c>
    </row>
    <row r="92" spans="1:6" ht="15" customHeight="1" x14ac:dyDescent="0.25">
      <c r="A92">
        <v>1091</v>
      </c>
      <c r="B92" t="s">
        <v>129</v>
      </c>
      <c r="C92" t="s">
        <v>19</v>
      </c>
      <c r="D92">
        <v>200</v>
      </c>
      <c r="E92">
        <v>100</v>
      </c>
    </row>
    <row r="93" spans="1:6" ht="15" customHeight="1" x14ac:dyDescent="0.25">
      <c r="A93">
        <v>1092</v>
      </c>
      <c r="B93" t="s">
        <v>184</v>
      </c>
      <c r="C93" t="s">
        <v>19</v>
      </c>
      <c r="D93">
        <v>200</v>
      </c>
      <c r="E93">
        <v>100</v>
      </c>
    </row>
    <row r="94" spans="1:6" ht="15" customHeight="1" x14ac:dyDescent="0.25">
      <c r="A94">
        <v>1093</v>
      </c>
      <c r="B94" t="s">
        <v>185</v>
      </c>
      <c r="C94" t="s">
        <v>19</v>
      </c>
      <c r="D94">
        <v>200</v>
      </c>
      <c r="E94">
        <v>100</v>
      </c>
    </row>
    <row r="95" spans="1:6" ht="15" customHeight="1" x14ac:dyDescent="0.25">
      <c r="A95">
        <v>1094</v>
      </c>
      <c r="B95" t="s">
        <v>92</v>
      </c>
      <c r="C95" t="s">
        <v>20</v>
      </c>
      <c r="D95">
        <v>500</v>
      </c>
      <c r="E95">
        <v>200</v>
      </c>
    </row>
    <row r="96" spans="1:6" ht="15" customHeight="1" x14ac:dyDescent="0.25">
      <c r="A96">
        <v>1095</v>
      </c>
      <c r="B96" t="s">
        <v>186</v>
      </c>
      <c r="C96" t="s">
        <v>20</v>
      </c>
      <c r="D96">
        <v>500</v>
      </c>
      <c r="E96">
        <v>200</v>
      </c>
      <c r="F96" t="s">
        <v>187</v>
      </c>
    </row>
    <row r="97" spans="1:5" ht="15" customHeight="1" x14ac:dyDescent="0.25">
      <c r="A97">
        <v>1096</v>
      </c>
      <c r="B97" t="s">
        <v>118</v>
      </c>
      <c r="C97" t="s">
        <v>20</v>
      </c>
      <c r="D97">
        <v>500</v>
      </c>
      <c r="E97">
        <v>200</v>
      </c>
    </row>
    <row r="98" spans="1:5" ht="15" customHeight="1" x14ac:dyDescent="0.25">
      <c r="A98">
        <v>1097</v>
      </c>
      <c r="B98" t="s">
        <v>188</v>
      </c>
      <c r="C98" t="s">
        <v>20</v>
      </c>
      <c r="D98">
        <v>500</v>
      </c>
      <c r="E98">
        <v>200</v>
      </c>
    </row>
    <row r="99" spans="1:5" ht="15" customHeight="1" x14ac:dyDescent="0.25">
      <c r="A99">
        <v>1098</v>
      </c>
      <c r="B99" t="s">
        <v>189</v>
      </c>
      <c r="C99" t="s">
        <v>20</v>
      </c>
      <c r="D99">
        <v>500</v>
      </c>
      <c r="E99">
        <v>200</v>
      </c>
    </row>
    <row r="100" spans="1:5" ht="15" customHeight="1" x14ac:dyDescent="0.25">
      <c r="A100">
        <v>1099</v>
      </c>
      <c r="B100" t="s">
        <v>190</v>
      </c>
      <c r="C100" t="s">
        <v>20</v>
      </c>
      <c r="D100">
        <v>500</v>
      </c>
      <c r="E100">
        <v>200</v>
      </c>
    </row>
    <row r="101" spans="1:5" ht="15" customHeight="1" x14ac:dyDescent="0.25">
      <c r="A101">
        <v>1100</v>
      </c>
      <c r="B101" t="s">
        <v>191</v>
      </c>
      <c r="C101" t="s">
        <v>20</v>
      </c>
      <c r="D101">
        <v>500</v>
      </c>
      <c r="E101">
        <v>200</v>
      </c>
    </row>
    <row r="102" spans="1:5" ht="15" customHeight="1" x14ac:dyDescent="0.25">
      <c r="A102">
        <v>1101</v>
      </c>
      <c r="B102" t="s">
        <v>192</v>
      </c>
      <c r="C102" t="s">
        <v>20</v>
      </c>
      <c r="D102">
        <v>500</v>
      </c>
      <c r="E102">
        <v>200</v>
      </c>
    </row>
    <row r="103" spans="1:5" ht="15" customHeight="1" x14ac:dyDescent="0.25">
      <c r="A103">
        <v>1102</v>
      </c>
      <c r="B103" t="s">
        <v>121</v>
      </c>
      <c r="C103" t="s">
        <v>19</v>
      </c>
      <c r="D103">
        <v>200</v>
      </c>
      <c r="E103">
        <v>100</v>
      </c>
    </row>
    <row r="104" spans="1:5" ht="15" customHeight="1" x14ac:dyDescent="0.25">
      <c r="A104">
        <v>1103</v>
      </c>
      <c r="B104" t="s">
        <v>193</v>
      </c>
      <c r="C104" t="s">
        <v>18</v>
      </c>
      <c r="D104">
        <v>50</v>
      </c>
      <c r="E104">
        <v>30</v>
      </c>
    </row>
    <row r="105" spans="1:5" ht="15" customHeight="1" x14ac:dyDescent="0.25">
      <c r="A105">
        <v>1104</v>
      </c>
      <c r="B105" t="s">
        <v>194</v>
      </c>
      <c r="C105" t="s">
        <v>19</v>
      </c>
      <c r="D105">
        <v>200</v>
      </c>
      <c r="E105">
        <v>100</v>
      </c>
    </row>
    <row r="106" spans="1:5" ht="15" customHeight="1" x14ac:dyDescent="0.25">
      <c r="A106">
        <v>1105</v>
      </c>
      <c r="B106" t="s">
        <v>195</v>
      </c>
      <c r="C106" t="s">
        <v>18</v>
      </c>
      <c r="D106">
        <v>50</v>
      </c>
      <c r="E106">
        <v>30</v>
      </c>
    </row>
    <row r="107" spans="1:5" ht="15" customHeight="1" x14ac:dyDescent="0.25">
      <c r="A107">
        <v>1106</v>
      </c>
      <c r="B107" t="s">
        <v>160</v>
      </c>
      <c r="C107" t="s">
        <v>19</v>
      </c>
      <c r="D107">
        <v>200</v>
      </c>
      <c r="E107">
        <v>100</v>
      </c>
    </row>
    <row r="108" spans="1:5" ht="15" customHeight="1" x14ac:dyDescent="0.25">
      <c r="A108">
        <v>1107</v>
      </c>
      <c r="B108" t="s">
        <v>196</v>
      </c>
      <c r="C108" t="s">
        <v>19</v>
      </c>
      <c r="D108">
        <v>200</v>
      </c>
      <c r="E108">
        <v>100</v>
      </c>
    </row>
    <row r="109" spans="1:5" ht="15" customHeight="1" x14ac:dyDescent="0.25">
      <c r="A109">
        <v>1108</v>
      </c>
      <c r="B109" t="s">
        <v>183</v>
      </c>
      <c r="C109" t="s">
        <v>19</v>
      </c>
      <c r="D109">
        <v>200</v>
      </c>
      <c r="E109">
        <v>100</v>
      </c>
    </row>
    <row r="110" spans="1:5" ht="15" customHeight="1" x14ac:dyDescent="0.25">
      <c r="A110">
        <v>1109</v>
      </c>
      <c r="B110" t="s">
        <v>91</v>
      </c>
      <c r="C110" t="s">
        <v>19</v>
      </c>
      <c r="D110">
        <v>200</v>
      </c>
      <c r="E110">
        <v>100</v>
      </c>
    </row>
    <row r="111" spans="1:5" ht="15" customHeight="1" x14ac:dyDescent="0.25">
      <c r="A111">
        <v>1110</v>
      </c>
      <c r="B111" t="s">
        <v>197</v>
      </c>
      <c r="C111" t="s">
        <v>18</v>
      </c>
      <c r="D111">
        <v>50</v>
      </c>
      <c r="E111">
        <v>30</v>
      </c>
    </row>
    <row r="112" spans="1:5" ht="15" customHeight="1" x14ac:dyDescent="0.25">
      <c r="A112">
        <v>1111</v>
      </c>
      <c r="B112" t="s">
        <v>198</v>
      </c>
      <c r="C112" t="s">
        <v>19</v>
      </c>
      <c r="D112">
        <v>200</v>
      </c>
      <c r="E112">
        <v>100</v>
      </c>
    </row>
    <row r="113" spans="1:6" ht="15" customHeight="1" x14ac:dyDescent="0.25">
      <c r="A113">
        <v>1112</v>
      </c>
      <c r="B113" t="s">
        <v>96</v>
      </c>
      <c r="C113" t="s">
        <v>20</v>
      </c>
      <c r="D113">
        <v>500</v>
      </c>
      <c r="E113">
        <v>200</v>
      </c>
    </row>
    <row r="114" spans="1:6" ht="15" customHeight="1" x14ac:dyDescent="0.25">
      <c r="A114">
        <v>1113</v>
      </c>
      <c r="B114" t="s">
        <v>182</v>
      </c>
      <c r="C114" t="s">
        <v>18</v>
      </c>
      <c r="D114">
        <v>50</v>
      </c>
      <c r="E114">
        <v>30</v>
      </c>
    </row>
    <row r="115" spans="1:6" ht="15" customHeight="1" x14ac:dyDescent="0.25">
      <c r="A115">
        <v>1114</v>
      </c>
      <c r="B115" t="s">
        <v>181</v>
      </c>
      <c r="C115" t="s">
        <v>18</v>
      </c>
      <c r="D115">
        <v>50</v>
      </c>
      <c r="E115">
        <v>30</v>
      </c>
    </row>
    <row r="116" spans="1:6" ht="15" customHeight="1" x14ac:dyDescent="0.25">
      <c r="A116">
        <v>1115</v>
      </c>
      <c r="B116" t="s">
        <v>199</v>
      </c>
      <c r="C116" t="s">
        <v>20</v>
      </c>
      <c r="D116">
        <v>500</v>
      </c>
      <c r="E116">
        <v>200</v>
      </c>
    </row>
    <row r="117" spans="1:6" ht="15" customHeight="1" x14ac:dyDescent="0.25">
      <c r="A117">
        <v>1116</v>
      </c>
      <c r="B117" t="s">
        <v>200</v>
      </c>
      <c r="C117" t="s">
        <v>18</v>
      </c>
      <c r="D117">
        <v>50</v>
      </c>
      <c r="E117">
        <v>30</v>
      </c>
    </row>
    <row r="118" spans="1:6" ht="15" customHeight="1" x14ac:dyDescent="0.25">
      <c r="A118">
        <v>1117</v>
      </c>
      <c r="B118" t="s">
        <v>165</v>
      </c>
      <c r="C118" t="s">
        <v>19</v>
      </c>
      <c r="D118">
        <v>200</v>
      </c>
      <c r="E118">
        <v>100</v>
      </c>
    </row>
    <row r="119" spans="1:6" ht="15" customHeight="1" x14ac:dyDescent="0.25">
      <c r="A119">
        <v>1118</v>
      </c>
      <c r="B119" t="s">
        <v>201</v>
      </c>
      <c r="C119" t="s">
        <v>19</v>
      </c>
      <c r="D119">
        <v>200</v>
      </c>
      <c r="E119">
        <v>100</v>
      </c>
    </row>
    <row r="120" spans="1:6" ht="15" customHeight="1" x14ac:dyDescent="0.25">
      <c r="A120">
        <v>1119</v>
      </c>
      <c r="B120" t="s">
        <v>202</v>
      </c>
      <c r="C120" t="s">
        <v>20</v>
      </c>
      <c r="D120">
        <v>500</v>
      </c>
      <c r="E120">
        <v>200</v>
      </c>
      <c r="F120" t="s">
        <v>134</v>
      </c>
    </row>
    <row r="121" spans="1:6" ht="15" customHeight="1" x14ac:dyDescent="0.25">
      <c r="A121">
        <v>1120</v>
      </c>
      <c r="B121" t="s">
        <v>203</v>
      </c>
      <c r="C121" t="s">
        <v>20</v>
      </c>
      <c r="D121">
        <v>500</v>
      </c>
      <c r="E121">
        <v>200</v>
      </c>
      <c r="F121" t="s">
        <v>204</v>
      </c>
    </row>
    <row r="122" spans="1:6" ht="15" customHeight="1" x14ac:dyDescent="0.25">
      <c r="A122">
        <v>1121</v>
      </c>
      <c r="B122" t="s">
        <v>148</v>
      </c>
      <c r="C122" t="s">
        <v>20</v>
      </c>
      <c r="D122">
        <v>500</v>
      </c>
      <c r="E122">
        <v>200</v>
      </c>
    </row>
    <row r="123" spans="1:6" ht="15" customHeight="1" x14ac:dyDescent="0.25">
      <c r="A123">
        <v>1122</v>
      </c>
      <c r="B123" t="s">
        <v>205</v>
      </c>
      <c r="C123" t="s">
        <v>19</v>
      </c>
      <c r="D123">
        <v>200</v>
      </c>
      <c r="E123">
        <v>100</v>
      </c>
    </row>
    <row r="124" spans="1:6" ht="15" customHeight="1" x14ac:dyDescent="0.25">
      <c r="A124">
        <v>1123</v>
      </c>
      <c r="B124" t="s">
        <v>114</v>
      </c>
      <c r="C124" t="s">
        <v>18</v>
      </c>
      <c r="D124">
        <v>50</v>
      </c>
      <c r="E124">
        <v>30</v>
      </c>
    </row>
    <row r="125" spans="1:6" ht="15" customHeight="1" x14ac:dyDescent="0.25">
      <c r="A125">
        <v>1124</v>
      </c>
      <c r="B125" t="s">
        <v>192</v>
      </c>
      <c r="C125" t="s">
        <v>18</v>
      </c>
      <c r="D125">
        <v>50</v>
      </c>
      <c r="E125">
        <v>30</v>
      </c>
    </row>
    <row r="126" spans="1:6" ht="15" customHeight="1" x14ac:dyDescent="0.25">
      <c r="A126">
        <v>1125</v>
      </c>
      <c r="B126" t="s">
        <v>145</v>
      </c>
      <c r="C126" t="s">
        <v>20</v>
      </c>
      <c r="D126">
        <v>500</v>
      </c>
      <c r="E126">
        <v>200</v>
      </c>
      <c r="F126" t="s">
        <v>190</v>
      </c>
    </row>
    <row r="127" spans="1:6" ht="15" customHeight="1" x14ac:dyDescent="0.25">
      <c r="A127">
        <v>1126</v>
      </c>
      <c r="B127" t="s">
        <v>206</v>
      </c>
      <c r="C127" t="s">
        <v>19</v>
      </c>
      <c r="D127">
        <v>200</v>
      </c>
      <c r="E127">
        <v>100</v>
      </c>
    </row>
    <row r="128" spans="1:6" ht="15" customHeight="1" x14ac:dyDescent="0.25">
      <c r="A128">
        <v>1127</v>
      </c>
      <c r="B128" t="s">
        <v>139</v>
      </c>
      <c r="C128" t="s">
        <v>18</v>
      </c>
      <c r="D128">
        <v>50</v>
      </c>
      <c r="E128">
        <v>30</v>
      </c>
    </row>
    <row r="129" spans="1:6" ht="15" customHeight="1" x14ac:dyDescent="0.25">
      <c r="A129">
        <v>1128</v>
      </c>
      <c r="B129" t="s">
        <v>207</v>
      </c>
      <c r="C129" t="s">
        <v>19</v>
      </c>
      <c r="D129">
        <v>200</v>
      </c>
      <c r="E129">
        <v>100</v>
      </c>
    </row>
    <row r="130" spans="1:6" ht="15" customHeight="1" x14ac:dyDescent="0.25">
      <c r="A130">
        <v>1129</v>
      </c>
      <c r="B130" t="s">
        <v>208</v>
      </c>
      <c r="C130" t="s">
        <v>18</v>
      </c>
      <c r="D130">
        <v>50</v>
      </c>
      <c r="E130">
        <v>30</v>
      </c>
    </row>
    <row r="131" spans="1:6" ht="15" customHeight="1" x14ac:dyDescent="0.25">
      <c r="A131">
        <v>1130</v>
      </c>
      <c r="B131" t="s">
        <v>209</v>
      </c>
      <c r="C131" t="s">
        <v>19</v>
      </c>
      <c r="D131">
        <v>200</v>
      </c>
      <c r="E131">
        <v>100</v>
      </c>
    </row>
    <row r="132" spans="1:6" ht="15" customHeight="1" x14ac:dyDescent="0.25">
      <c r="A132">
        <v>1131</v>
      </c>
      <c r="B132" t="s">
        <v>210</v>
      </c>
      <c r="C132" t="s">
        <v>19</v>
      </c>
      <c r="D132">
        <v>200</v>
      </c>
      <c r="E132">
        <v>100</v>
      </c>
    </row>
    <row r="133" spans="1:6" ht="15" customHeight="1" x14ac:dyDescent="0.25">
      <c r="A133">
        <v>1132</v>
      </c>
      <c r="B133" t="s">
        <v>90</v>
      </c>
      <c r="C133" t="s">
        <v>18</v>
      </c>
      <c r="D133">
        <v>50</v>
      </c>
      <c r="E133">
        <v>30</v>
      </c>
      <c r="F133" t="s">
        <v>130</v>
      </c>
    </row>
    <row r="134" spans="1:6" ht="15" customHeight="1" x14ac:dyDescent="0.25">
      <c r="A134">
        <v>1133</v>
      </c>
      <c r="B134" t="s">
        <v>151</v>
      </c>
      <c r="C134" t="s">
        <v>19</v>
      </c>
      <c r="D134">
        <v>200</v>
      </c>
      <c r="E134">
        <v>100</v>
      </c>
    </row>
    <row r="135" spans="1:6" ht="15" customHeight="1" x14ac:dyDescent="0.25">
      <c r="A135">
        <v>1134</v>
      </c>
      <c r="B135" t="s">
        <v>211</v>
      </c>
      <c r="C135" t="s">
        <v>19</v>
      </c>
      <c r="D135">
        <v>200</v>
      </c>
      <c r="E135">
        <v>100</v>
      </c>
    </row>
    <row r="136" spans="1:6" ht="15" customHeight="1" x14ac:dyDescent="0.25">
      <c r="A136">
        <v>1135</v>
      </c>
      <c r="B136" t="s">
        <v>158</v>
      </c>
      <c r="C136" t="s">
        <v>18</v>
      </c>
      <c r="D136">
        <v>50</v>
      </c>
      <c r="E136">
        <v>30</v>
      </c>
    </row>
    <row r="137" spans="1:6" ht="15" customHeight="1" x14ac:dyDescent="0.25">
      <c r="A137">
        <v>1136</v>
      </c>
      <c r="B137" t="s">
        <v>212</v>
      </c>
      <c r="C137" t="s">
        <v>20</v>
      </c>
      <c r="D137">
        <v>500</v>
      </c>
      <c r="E137">
        <v>200</v>
      </c>
    </row>
    <row r="138" spans="1:6" ht="15" customHeight="1" x14ac:dyDescent="0.25">
      <c r="A138">
        <v>1137</v>
      </c>
      <c r="B138" t="s">
        <v>167</v>
      </c>
      <c r="C138" t="s">
        <v>18</v>
      </c>
      <c r="D138">
        <v>50</v>
      </c>
      <c r="E138">
        <v>30</v>
      </c>
      <c r="F138" t="s">
        <v>213</v>
      </c>
    </row>
    <row r="139" spans="1:6" ht="15" customHeight="1" x14ac:dyDescent="0.25">
      <c r="A139">
        <v>1138</v>
      </c>
      <c r="B139" t="s">
        <v>147</v>
      </c>
      <c r="C139" t="s">
        <v>18</v>
      </c>
      <c r="D139">
        <v>50</v>
      </c>
      <c r="E139">
        <v>30</v>
      </c>
    </row>
    <row r="140" spans="1:6" ht="15" customHeight="1" x14ac:dyDescent="0.25">
      <c r="A140">
        <v>1139</v>
      </c>
      <c r="B140" t="s">
        <v>214</v>
      </c>
      <c r="C140" t="s">
        <v>20</v>
      </c>
      <c r="D140">
        <v>500</v>
      </c>
      <c r="E140">
        <v>200</v>
      </c>
    </row>
    <row r="141" spans="1:6" ht="15" customHeight="1" x14ac:dyDescent="0.25">
      <c r="A141">
        <v>1140</v>
      </c>
      <c r="B141" t="s">
        <v>215</v>
      </c>
      <c r="C141" t="s">
        <v>19</v>
      </c>
      <c r="D141">
        <v>200</v>
      </c>
      <c r="E141">
        <v>100</v>
      </c>
    </row>
    <row r="142" spans="1:6" ht="15" customHeight="1" x14ac:dyDescent="0.25">
      <c r="A142">
        <v>1141</v>
      </c>
      <c r="B142" t="s">
        <v>216</v>
      </c>
      <c r="C142" t="s">
        <v>18</v>
      </c>
      <c r="D142">
        <v>50</v>
      </c>
      <c r="E142">
        <v>30</v>
      </c>
    </row>
    <row r="143" spans="1:6" ht="15" customHeight="1" x14ac:dyDescent="0.25">
      <c r="A143">
        <v>1142</v>
      </c>
      <c r="B143" t="s">
        <v>217</v>
      </c>
      <c r="C143" t="s">
        <v>20</v>
      </c>
      <c r="D143">
        <v>500</v>
      </c>
      <c r="E143">
        <v>200</v>
      </c>
    </row>
    <row r="144" spans="1:6" ht="15" customHeight="1" x14ac:dyDescent="0.25">
      <c r="A144">
        <v>1143</v>
      </c>
      <c r="B144" t="s">
        <v>218</v>
      </c>
      <c r="C144" t="s">
        <v>19</v>
      </c>
      <c r="D144">
        <v>200</v>
      </c>
      <c r="E144">
        <v>100</v>
      </c>
      <c r="F144" t="s">
        <v>138</v>
      </c>
    </row>
    <row r="145" spans="1:6" ht="15" customHeight="1" x14ac:dyDescent="0.25">
      <c r="A145">
        <v>1144</v>
      </c>
      <c r="B145" t="s">
        <v>219</v>
      </c>
      <c r="C145" t="s">
        <v>19</v>
      </c>
      <c r="D145">
        <v>200</v>
      </c>
      <c r="E145">
        <v>100</v>
      </c>
    </row>
    <row r="146" spans="1:6" ht="15" customHeight="1" x14ac:dyDescent="0.25">
      <c r="A146">
        <v>1145</v>
      </c>
      <c r="B146" t="s">
        <v>220</v>
      </c>
      <c r="C146" t="s">
        <v>18</v>
      </c>
      <c r="D146">
        <v>50</v>
      </c>
      <c r="E146">
        <v>30</v>
      </c>
    </row>
    <row r="147" spans="1:6" ht="15" customHeight="1" x14ac:dyDescent="0.25">
      <c r="A147">
        <v>1146</v>
      </c>
      <c r="B147" t="s">
        <v>221</v>
      </c>
      <c r="C147" t="s">
        <v>19</v>
      </c>
      <c r="D147">
        <v>200</v>
      </c>
      <c r="E147">
        <v>100</v>
      </c>
    </row>
    <row r="148" spans="1:6" ht="15" customHeight="1" x14ac:dyDescent="0.25">
      <c r="A148">
        <v>1147</v>
      </c>
      <c r="B148" t="s">
        <v>222</v>
      </c>
      <c r="C148" t="s">
        <v>19</v>
      </c>
      <c r="D148">
        <v>200</v>
      </c>
      <c r="E148">
        <v>100</v>
      </c>
    </row>
    <row r="149" spans="1:6" ht="15" customHeight="1" x14ac:dyDescent="0.25">
      <c r="A149">
        <v>1148</v>
      </c>
      <c r="B149" t="s">
        <v>223</v>
      </c>
      <c r="C149" t="s">
        <v>20</v>
      </c>
      <c r="D149">
        <v>500</v>
      </c>
      <c r="E149">
        <v>200</v>
      </c>
    </row>
    <row r="150" spans="1:6" ht="15" customHeight="1" x14ac:dyDescent="0.25">
      <c r="A150">
        <v>1149</v>
      </c>
      <c r="B150" t="s">
        <v>224</v>
      </c>
      <c r="C150" t="s">
        <v>19</v>
      </c>
      <c r="D150">
        <v>200</v>
      </c>
      <c r="E150">
        <v>100</v>
      </c>
    </row>
    <row r="151" spans="1:6" ht="15" customHeight="1" x14ac:dyDescent="0.25">
      <c r="A151">
        <v>1150</v>
      </c>
      <c r="B151" t="s">
        <v>225</v>
      </c>
      <c r="C151" t="s">
        <v>18</v>
      </c>
      <c r="D151">
        <v>50</v>
      </c>
      <c r="E151">
        <v>30</v>
      </c>
    </row>
    <row r="152" spans="1:6" ht="15" customHeight="1" x14ac:dyDescent="0.25">
      <c r="A152">
        <v>1151</v>
      </c>
      <c r="B152" t="s">
        <v>226</v>
      </c>
      <c r="C152" t="s">
        <v>20</v>
      </c>
      <c r="D152">
        <v>500</v>
      </c>
      <c r="E152">
        <v>200</v>
      </c>
      <c r="F152" t="s">
        <v>227</v>
      </c>
    </row>
    <row r="153" spans="1:6" ht="15" customHeight="1" x14ac:dyDescent="0.25">
      <c r="A153">
        <v>1152</v>
      </c>
      <c r="B153" t="s">
        <v>228</v>
      </c>
      <c r="C153" t="s">
        <v>20</v>
      </c>
      <c r="D153">
        <v>500</v>
      </c>
      <c r="E153">
        <v>200</v>
      </c>
    </row>
    <row r="154" spans="1:6" ht="15" customHeight="1" x14ac:dyDescent="0.25">
      <c r="A154">
        <v>1153</v>
      </c>
      <c r="B154" t="s">
        <v>229</v>
      </c>
      <c r="C154" t="s">
        <v>18</v>
      </c>
      <c r="D154">
        <v>50</v>
      </c>
      <c r="E154">
        <v>30</v>
      </c>
    </row>
    <row r="155" spans="1:6" ht="15" customHeight="1" x14ac:dyDescent="0.25">
      <c r="A155">
        <v>1154</v>
      </c>
      <c r="B155" t="s">
        <v>230</v>
      </c>
      <c r="C155" t="s">
        <v>18</v>
      </c>
      <c r="D155">
        <v>50</v>
      </c>
      <c r="E155">
        <v>30</v>
      </c>
      <c r="F155" t="s">
        <v>141</v>
      </c>
    </row>
    <row r="156" spans="1:6" ht="15" customHeight="1" x14ac:dyDescent="0.25">
      <c r="A156">
        <v>1155</v>
      </c>
      <c r="B156" t="s">
        <v>231</v>
      </c>
      <c r="C156" t="s">
        <v>18</v>
      </c>
      <c r="D156">
        <v>50</v>
      </c>
      <c r="E156">
        <v>30</v>
      </c>
    </row>
    <row r="157" spans="1:6" ht="15" customHeight="1" x14ac:dyDescent="0.25">
      <c r="A157">
        <v>1156</v>
      </c>
      <c r="B157" t="s">
        <v>232</v>
      </c>
      <c r="C157" t="s">
        <v>20</v>
      </c>
      <c r="D157">
        <v>500</v>
      </c>
      <c r="E157">
        <v>200</v>
      </c>
    </row>
    <row r="158" spans="1:6" ht="15" customHeight="1" x14ac:dyDescent="0.25">
      <c r="A158">
        <v>1157</v>
      </c>
      <c r="B158" t="s">
        <v>233</v>
      </c>
      <c r="C158" t="s">
        <v>20</v>
      </c>
      <c r="D158">
        <v>500</v>
      </c>
      <c r="E158">
        <v>200</v>
      </c>
    </row>
    <row r="159" spans="1:6" ht="15" customHeight="1" x14ac:dyDescent="0.25">
      <c r="A159">
        <v>1158</v>
      </c>
      <c r="B159" t="s">
        <v>221</v>
      </c>
      <c r="C159" t="s">
        <v>20</v>
      </c>
      <c r="D159">
        <v>500</v>
      </c>
      <c r="E159">
        <v>200</v>
      </c>
    </row>
    <row r="160" spans="1:6" ht="15" customHeight="1" x14ac:dyDescent="0.25">
      <c r="A160">
        <v>1159</v>
      </c>
      <c r="B160" t="s">
        <v>234</v>
      </c>
      <c r="C160" t="s">
        <v>20</v>
      </c>
      <c r="D160">
        <v>500</v>
      </c>
      <c r="E160">
        <v>200</v>
      </c>
    </row>
    <row r="161" spans="1:6" ht="15" customHeight="1" x14ac:dyDescent="0.25">
      <c r="A161">
        <v>1160</v>
      </c>
      <c r="B161" t="s">
        <v>233</v>
      </c>
      <c r="C161" t="s">
        <v>18</v>
      </c>
      <c r="D161">
        <v>50</v>
      </c>
      <c r="E161">
        <v>30</v>
      </c>
    </row>
    <row r="162" spans="1:6" ht="15" customHeight="1" x14ac:dyDescent="0.25">
      <c r="A162">
        <v>1161</v>
      </c>
      <c r="B162" t="s">
        <v>197</v>
      </c>
      <c r="C162" t="s">
        <v>19</v>
      </c>
      <c r="D162">
        <v>200</v>
      </c>
      <c r="E162">
        <v>100</v>
      </c>
    </row>
    <row r="163" spans="1:6" ht="15" customHeight="1" x14ac:dyDescent="0.25">
      <c r="A163">
        <v>1162</v>
      </c>
      <c r="B163" t="s">
        <v>235</v>
      </c>
      <c r="C163" t="s">
        <v>18</v>
      </c>
      <c r="D163">
        <v>50</v>
      </c>
      <c r="E163">
        <v>30</v>
      </c>
    </row>
    <row r="164" spans="1:6" ht="15" customHeight="1" x14ac:dyDescent="0.25">
      <c r="A164">
        <v>1163</v>
      </c>
      <c r="B164" t="s">
        <v>216</v>
      </c>
      <c r="C164" t="s">
        <v>20</v>
      </c>
      <c r="D164">
        <v>500</v>
      </c>
      <c r="E164">
        <v>200</v>
      </c>
    </row>
    <row r="165" spans="1:6" ht="15" customHeight="1" x14ac:dyDescent="0.25">
      <c r="A165">
        <v>1164</v>
      </c>
      <c r="B165" t="s">
        <v>236</v>
      </c>
      <c r="C165" t="s">
        <v>19</v>
      </c>
      <c r="D165">
        <v>200</v>
      </c>
      <c r="E165">
        <v>100</v>
      </c>
    </row>
    <row r="166" spans="1:6" ht="15" customHeight="1" x14ac:dyDescent="0.25">
      <c r="A166">
        <v>1165</v>
      </c>
      <c r="B166" t="s">
        <v>220</v>
      </c>
      <c r="C166" t="s">
        <v>18</v>
      </c>
      <c r="D166">
        <v>50</v>
      </c>
      <c r="E166">
        <v>30</v>
      </c>
    </row>
    <row r="167" spans="1:6" ht="15" customHeight="1" x14ac:dyDescent="0.25">
      <c r="A167">
        <v>1166</v>
      </c>
      <c r="B167" t="s">
        <v>237</v>
      </c>
      <c r="C167" t="s">
        <v>18</v>
      </c>
      <c r="D167">
        <v>50</v>
      </c>
      <c r="E167">
        <v>30</v>
      </c>
    </row>
    <row r="168" spans="1:6" ht="15" customHeight="1" x14ac:dyDescent="0.25">
      <c r="A168">
        <v>1167</v>
      </c>
      <c r="B168" t="s">
        <v>238</v>
      </c>
      <c r="C168" t="s">
        <v>20</v>
      </c>
      <c r="D168">
        <v>500</v>
      </c>
      <c r="E168">
        <v>200</v>
      </c>
      <c r="F168" t="s">
        <v>190</v>
      </c>
    </row>
    <row r="169" spans="1:6" ht="15" customHeight="1" x14ac:dyDescent="0.25">
      <c r="A169">
        <v>1168</v>
      </c>
      <c r="B169" t="s">
        <v>102</v>
      </c>
      <c r="C169" t="s">
        <v>19</v>
      </c>
      <c r="D169">
        <v>200</v>
      </c>
      <c r="E169">
        <v>100</v>
      </c>
    </row>
    <row r="170" spans="1:6" ht="15" customHeight="1" x14ac:dyDescent="0.25">
      <c r="A170">
        <v>1169</v>
      </c>
      <c r="B170" t="s">
        <v>239</v>
      </c>
      <c r="C170" t="s">
        <v>20</v>
      </c>
      <c r="D170">
        <v>500</v>
      </c>
      <c r="E170">
        <v>200</v>
      </c>
    </row>
    <row r="171" spans="1:6" ht="15" customHeight="1" x14ac:dyDescent="0.25">
      <c r="A171">
        <v>1170</v>
      </c>
      <c r="B171" t="s">
        <v>240</v>
      </c>
      <c r="C171" t="s">
        <v>19</v>
      </c>
      <c r="D171">
        <v>200</v>
      </c>
      <c r="E171">
        <v>100</v>
      </c>
    </row>
    <row r="172" spans="1:6" ht="15" customHeight="1" x14ac:dyDescent="0.25">
      <c r="A172">
        <v>1171</v>
      </c>
      <c r="B172" t="s">
        <v>241</v>
      </c>
      <c r="C172" t="s">
        <v>20</v>
      </c>
      <c r="D172">
        <v>500</v>
      </c>
      <c r="E172">
        <v>200</v>
      </c>
    </row>
    <row r="173" spans="1:6" ht="15" customHeight="1" x14ac:dyDescent="0.25">
      <c r="A173">
        <v>1172</v>
      </c>
      <c r="B173" t="s">
        <v>152</v>
      </c>
      <c r="C173" t="s">
        <v>20</v>
      </c>
      <c r="D173">
        <v>500</v>
      </c>
      <c r="E173">
        <v>200</v>
      </c>
    </row>
    <row r="174" spans="1:6" ht="15" customHeight="1" x14ac:dyDescent="0.25">
      <c r="A174">
        <v>1173</v>
      </c>
      <c r="B174" t="s">
        <v>242</v>
      </c>
      <c r="C174" t="s">
        <v>18</v>
      </c>
      <c r="D174">
        <v>50</v>
      </c>
      <c r="E174">
        <v>30</v>
      </c>
    </row>
    <row r="175" spans="1:6" ht="15" customHeight="1" x14ac:dyDescent="0.25">
      <c r="A175">
        <v>1174</v>
      </c>
      <c r="B175" t="s">
        <v>243</v>
      </c>
      <c r="C175" t="s">
        <v>18</v>
      </c>
      <c r="D175">
        <v>50</v>
      </c>
      <c r="E175">
        <v>30</v>
      </c>
    </row>
    <row r="176" spans="1:6" ht="15" customHeight="1" x14ac:dyDescent="0.25">
      <c r="A176">
        <v>1175</v>
      </c>
      <c r="B176" t="s">
        <v>244</v>
      </c>
      <c r="C176" t="s">
        <v>20</v>
      </c>
      <c r="D176">
        <v>500</v>
      </c>
      <c r="E176">
        <v>200</v>
      </c>
      <c r="F176" t="s">
        <v>245</v>
      </c>
    </row>
    <row r="177" spans="1:6" ht="15" customHeight="1" x14ac:dyDescent="0.25">
      <c r="A177">
        <v>1176</v>
      </c>
      <c r="B177" t="s">
        <v>246</v>
      </c>
      <c r="C177" t="s">
        <v>20</v>
      </c>
      <c r="D177">
        <v>500</v>
      </c>
      <c r="E177">
        <v>200</v>
      </c>
    </row>
    <row r="178" spans="1:6" ht="15" customHeight="1" x14ac:dyDescent="0.25">
      <c r="A178">
        <v>1177</v>
      </c>
      <c r="B178" t="s">
        <v>247</v>
      </c>
      <c r="C178" t="s">
        <v>18</v>
      </c>
      <c r="D178">
        <v>50</v>
      </c>
      <c r="E178">
        <v>30</v>
      </c>
    </row>
    <row r="179" spans="1:6" ht="15" customHeight="1" x14ac:dyDescent="0.25">
      <c r="A179">
        <v>1178</v>
      </c>
      <c r="B179" t="s">
        <v>248</v>
      </c>
      <c r="C179" t="s">
        <v>18</v>
      </c>
      <c r="D179">
        <v>50</v>
      </c>
      <c r="E179">
        <v>30</v>
      </c>
      <c r="F179" t="s">
        <v>249</v>
      </c>
    </row>
    <row r="180" spans="1:6" ht="15" customHeight="1" x14ac:dyDescent="0.25">
      <c r="A180">
        <v>1179</v>
      </c>
      <c r="B180" t="s">
        <v>250</v>
      </c>
      <c r="C180" t="s">
        <v>20</v>
      </c>
      <c r="D180">
        <v>500</v>
      </c>
      <c r="E180">
        <v>200</v>
      </c>
    </row>
    <row r="181" spans="1:6" ht="15" customHeight="1" x14ac:dyDescent="0.25">
      <c r="A181">
        <v>1180</v>
      </c>
      <c r="B181" t="s">
        <v>251</v>
      </c>
      <c r="C181" t="s">
        <v>19</v>
      </c>
      <c r="D181">
        <v>200</v>
      </c>
      <c r="E181">
        <v>100</v>
      </c>
    </row>
    <row r="182" spans="1:6" ht="15" customHeight="1" x14ac:dyDescent="0.25">
      <c r="A182">
        <v>1181</v>
      </c>
      <c r="B182" t="s">
        <v>252</v>
      </c>
      <c r="C182" t="s">
        <v>18</v>
      </c>
      <c r="D182">
        <v>50</v>
      </c>
      <c r="E182">
        <v>30</v>
      </c>
      <c r="F182" t="s">
        <v>253</v>
      </c>
    </row>
    <row r="183" spans="1:6" ht="15" customHeight="1" x14ac:dyDescent="0.25">
      <c r="A183">
        <v>1182</v>
      </c>
      <c r="B183" t="s">
        <v>92</v>
      </c>
      <c r="C183" t="s">
        <v>20</v>
      </c>
      <c r="D183">
        <v>500</v>
      </c>
      <c r="E183">
        <v>200</v>
      </c>
    </row>
    <row r="184" spans="1:6" ht="15" customHeight="1" x14ac:dyDescent="0.25">
      <c r="A184">
        <v>1183</v>
      </c>
      <c r="B184" t="s">
        <v>254</v>
      </c>
      <c r="C184" t="s">
        <v>19</v>
      </c>
      <c r="D184">
        <v>200</v>
      </c>
      <c r="E184">
        <v>100</v>
      </c>
    </row>
    <row r="185" spans="1:6" ht="15" customHeight="1" x14ac:dyDescent="0.25">
      <c r="A185">
        <v>1184</v>
      </c>
      <c r="B185" t="s">
        <v>228</v>
      </c>
      <c r="C185" t="s">
        <v>18</v>
      </c>
      <c r="D185">
        <v>50</v>
      </c>
      <c r="E185">
        <v>30</v>
      </c>
    </row>
    <row r="186" spans="1:6" ht="15" customHeight="1" x14ac:dyDescent="0.25">
      <c r="A186">
        <v>1185</v>
      </c>
      <c r="B186" t="s">
        <v>255</v>
      </c>
      <c r="C186" t="s">
        <v>19</v>
      </c>
      <c r="D186">
        <v>200</v>
      </c>
      <c r="E186">
        <v>100</v>
      </c>
      <c r="F186" t="s">
        <v>256</v>
      </c>
    </row>
    <row r="187" spans="1:6" ht="15" customHeight="1" x14ac:dyDescent="0.25">
      <c r="A187">
        <v>1186</v>
      </c>
      <c r="B187" t="s">
        <v>257</v>
      </c>
      <c r="C187" t="s">
        <v>19</v>
      </c>
      <c r="D187">
        <v>200</v>
      </c>
      <c r="E187">
        <v>100</v>
      </c>
    </row>
    <row r="188" spans="1:6" ht="15" customHeight="1" x14ac:dyDescent="0.25">
      <c r="A188">
        <v>1187</v>
      </c>
      <c r="B188" t="s">
        <v>112</v>
      </c>
      <c r="C188" t="s">
        <v>20</v>
      </c>
      <c r="D188">
        <v>500</v>
      </c>
      <c r="E188">
        <v>200</v>
      </c>
    </row>
    <row r="189" spans="1:6" ht="15" customHeight="1" x14ac:dyDescent="0.25">
      <c r="A189">
        <v>1188</v>
      </c>
      <c r="B189" t="s">
        <v>258</v>
      </c>
      <c r="C189" t="s">
        <v>19</v>
      </c>
      <c r="D189">
        <v>200</v>
      </c>
      <c r="E189">
        <v>100</v>
      </c>
      <c r="F189" t="s">
        <v>259</v>
      </c>
    </row>
    <row r="190" spans="1:6" ht="15" customHeight="1" x14ac:dyDescent="0.25">
      <c r="A190">
        <v>1189</v>
      </c>
      <c r="B190" t="s">
        <v>260</v>
      </c>
      <c r="C190" t="s">
        <v>19</v>
      </c>
      <c r="D190">
        <v>200</v>
      </c>
      <c r="E190">
        <v>100</v>
      </c>
    </row>
    <row r="191" spans="1:6" ht="15" customHeight="1" x14ac:dyDescent="0.25">
      <c r="A191">
        <v>1190</v>
      </c>
      <c r="B191" t="s">
        <v>248</v>
      </c>
      <c r="C191" t="s">
        <v>20</v>
      </c>
      <c r="D191">
        <v>500</v>
      </c>
      <c r="E191">
        <v>200</v>
      </c>
    </row>
    <row r="192" spans="1:6" ht="15" customHeight="1" x14ac:dyDescent="0.25">
      <c r="A192">
        <v>1191</v>
      </c>
      <c r="B192" t="s">
        <v>261</v>
      </c>
      <c r="C192" t="s">
        <v>19</v>
      </c>
      <c r="D192">
        <v>200</v>
      </c>
      <c r="E192">
        <v>100</v>
      </c>
    </row>
    <row r="193" spans="1:6" ht="15" customHeight="1" x14ac:dyDescent="0.25">
      <c r="A193">
        <v>1192</v>
      </c>
      <c r="B193" t="s">
        <v>235</v>
      </c>
      <c r="C193" t="s">
        <v>18</v>
      </c>
      <c r="D193">
        <v>50</v>
      </c>
      <c r="E193">
        <v>30</v>
      </c>
    </row>
    <row r="194" spans="1:6" ht="15" customHeight="1" x14ac:dyDescent="0.25">
      <c r="A194">
        <v>1193</v>
      </c>
      <c r="B194" t="s">
        <v>262</v>
      </c>
      <c r="C194" t="s">
        <v>19</v>
      </c>
      <c r="D194">
        <v>200</v>
      </c>
      <c r="E194">
        <v>100</v>
      </c>
      <c r="F194" t="s">
        <v>263</v>
      </c>
    </row>
    <row r="195" spans="1:6" ht="15" customHeight="1" x14ac:dyDescent="0.25">
      <c r="A195">
        <v>1194</v>
      </c>
      <c r="B195" t="s">
        <v>264</v>
      </c>
      <c r="C195" t="s">
        <v>19</v>
      </c>
      <c r="D195">
        <v>200</v>
      </c>
      <c r="E195">
        <v>100</v>
      </c>
    </row>
    <row r="196" spans="1:6" ht="15" customHeight="1" x14ac:dyDescent="0.25">
      <c r="A196">
        <v>1195</v>
      </c>
      <c r="B196" t="s">
        <v>265</v>
      </c>
      <c r="C196" t="s">
        <v>20</v>
      </c>
      <c r="D196">
        <v>500</v>
      </c>
      <c r="E196">
        <v>200</v>
      </c>
    </row>
    <row r="197" spans="1:6" ht="15" customHeight="1" x14ac:dyDescent="0.25">
      <c r="A197">
        <v>1196</v>
      </c>
      <c r="B197" t="s">
        <v>266</v>
      </c>
      <c r="C197" t="s">
        <v>20</v>
      </c>
      <c r="D197">
        <v>500</v>
      </c>
      <c r="E197">
        <v>200</v>
      </c>
    </row>
    <row r="198" spans="1:6" ht="15" customHeight="1" x14ac:dyDescent="0.25">
      <c r="A198">
        <v>1197</v>
      </c>
      <c r="B198" t="s">
        <v>267</v>
      </c>
      <c r="C198" t="s">
        <v>18</v>
      </c>
      <c r="D198">
        <v>50</v>
      </c>
      <c r="E198">
        <v>30</v>
      </c>
      <c r="F198" t="s">
        <v>114</v>
      </c>
    </row>
    <row r="199" spans="1:6" ht="15" customHeight="1" x14ac:dyDescent="0.25">
      <c r="A199">
        <v>1198</v>
      </c>
      <c r="B199" t="s">
        <v>104</v>
      </c>
      <c r="C199" t="s">
        <v>19</v>
      </c>
      <c r="D199">
        <v>200</v>
      </c>
      <c r="E199">
        <v>100</v>
      </c>
    </row>
    <row r="200" spans="1:6" ht="15" customHeight="1" x14ac:dyDescent="0.25">
      <c r="A200">
        <v>1199</v>
      </c>
      <c r="B200" t="s">
        <v>268</v>
      </c>
      <c r="C200" t="s">
        <v>18</v>
      </c>
      <c r="D200">
        <v>50</v>
      </c>
      <c r="E200">
        <v>30</v>
      </c>
    </row>
    <row r="201" spans="1:6" ht="15" customHeight="1" x14ac:dyDescent="0.25">
      <c r="A201">
        <v>1200</v>
      </c>
      <c r="B201" t="s">
        <v>269</v>
      </c>
      <c r="C201" t="s">
        <v>19</v>
      </c>
      <c r="D201">
        <v>200</v>
      </c>
      <c r="E201">
        <v>100</v>
      </c>
      <c r="F201" t="s">
        <v>270</v>
      </c>
    </row>
    <row r="202" spans="1:6" ht="15" customHeight="1" x14ac:dyDescent="0.25">
      <c r="A202">
        <v>1201</v>
      </c>
      <c r="B202" t="s">
        <v>271</v>
      </c>
      <c r="C202" t="s">
        <v>19</v>
      </c>
      <c r="D202">
        <v>200</v>
      </c>
      <c r="E202">
        <v>100</v>
      </c>
    </row>
    <row r="203" spans="1:6" ht="15" customHeight="1" x14ac:dyDescent="0.25">
      <c r="A203">
        <v>1202</v>
      </c>
      <c r="B203" t="s">
        <v>272</v>
      </c>
      <c r="C203" t="s">
        <v>20</v>
      </c>
      <c r="D203">
        <v>500</v>
      </c>
      <c r="E203">
        <v>200</v>
      </c>
    </row>
    <row r="204" spans="1:6" ht="15" customHeight="1" x14ac:dyDescent="0.25">
      <c r="A204">
        <v>1203</v>
      </c>
      <c r="B204" t="s">
        <v>273</v>
      </c>
      <c r="C204" t="s">
        <v>19</v>
      </c>
      <c r="D204">
        <v>200</v>
      </c>
      <c r="E204">
        <v>100</v>
      </c>
    </row>
    <row r="205" spans="1:6" ht="15" customHeight="1" x14ac:dyDescent="0.25">
      <c r="A205">
        <v>1204</v>
      </c>
      <c r="B205" t="s">
        <v>274</v>
      </c>
      <c r="C205" t="s">
        <v>20</v>
      </c>
      <c r="D205">
        <v>500</v>
      </c>
      <c r="E205">
        <v>200</v>
      </c>
    </row>
    <row r="206" spans="1:6" ht="15" customHeight="1" x14ac:dyDescent="0.25">
      <c r="A206">
        <v>1205</v>
      </c>
      <c r="B206" t="s">
        <v>230</v>
      </c>
      <c r="C206" t="s">
        <v>19</v>
      </c>
      <c r="D206">
        <v>200</v>
      </c>
      <c r="E206">
        <v>100</v>
      </c>
    </row>
    <row r="207" spans="1:6" ht="15" customHeight="1" x14ac:dyDescent="0.25">
      <c r="A207">
        <v>1206</v>
      </c>
      <c r="B207" t="s">
        <v>275</v>
      </c>
      <c r="C207" t="s">
        <v>19</v>
      </c>
      <c r="D207">
        <v>200</v>
      </c>
      <c r="E207">
        <v>100</v>
      </c>
    </row>
    <row r="208" spans="1:6" ht="15" customHeight="1" x14ac:dyDescent="0.25">
      <c r="A208">
        <v>1207</v>
      </c>
      <c r="B208" t="s">
        <v>276</v>
      </c>
      <c r="C208" t="s">
        <v>18</v>
      </c>
      <c r="D208">
        <v>50</v>
      </c>
      <c r="E208">
        <v>30</v>
      </c>
    </row>
    <row r="209" spans="1:6" ht="15" customHeight="1" x14ac:dyDescent="0.25">
      <c r="A209">
        <v>1208</v>
      </c>
      <c r="B209" t="s">
        <v>198</v>
      </c>
      <c r="C209" t="s">
        <v>19</v>
      </c>
      <c r="D209">
        <v>200</v>
      </c>
      <c r="E209">
        <v>100</v>
      </c>
    </row>
    <row r="210" spans="1:6" ht="15" customHeight="1" x14ac:dyDescent="0.25">
      <c r="A210">
        <v>1209</v>
      </c>
      <c r="B210" t="s">
        <v>277</v>
      </c>
      <c r="C210" t="s">
        <v>18</v>
      </c>
      <c r="D210">
        <v>50</v>
      </c>
      <c r="E210">
        <v>30</v>
      </c>
    </row>
    <row r="211" spans="1:6" ht="15" customHeight="1" x14ac:dyDescent="0.25">
      <c r="A211">
        <v>1210</v>
      </c>
      <c r="B211" t="s">
        <v>168</v>
      </c>
      <c r="C211" t="s">
        <v>20</v>
      </c>
      <c r="D211">
        <v>500</v>
      </c>
      <c r="E211">
        <v>200</v>
      </c>
      <c r="F211" t="s">
        <v>267</v>
      </c>
    </row>
    <row r="212" spans="1:6" ht="15" customHeight="1" x14ac:dyDescent="0.25">
      <c r="A212">
        <v>1211</v>
      </c>
      <c r="B212" t="s">
        <v>176</v>
      </c>
      <c r="C212" t="s">
        <v>19</v>
      </c>
      <c r="D212">
        <v>200</v>
      </c>
      <c r="E212">
        <v>100</v>
      </c>
    </row>
    <row r="213" spans="1:6" ht="15" customHeight="1" x14ac:dyDescent="0.25">
      <c r="A213">
        <v>1212</v>
      </c>
      <c r="B213" t="s">
        <v>233</v>
      </c>
      <c r="C213" t="s">
        <v>18</v>
      </c>
      <c r="D213">
        <v>50</v>
      </c>
      <c r="E213">
        <v>30</v>
      </c>
    </row>
    <row r="214" spans="1:6" ht="15" customHeight="1" x14ac:dyDescent="0.25">
      <c r="A214">
        <v>1213</v>
      </c>
      <c r="B214" t="s">
        <v>278</v>
      </c>
      <c r="C214" t="s">
        <v>20</v>
      </c>
      <c r="D214">
        <v>500</v>
      </c>
      <c r="E214">
        <v>200</v>
      </c>
    </row>
    <row r="215" spans="1:6" ht="15" customHeight="1" x14ac:dyDescent="0.25">
      <c r="A215">
        <v>1214</v>
      </c>
      <c r="B215" t="s">
        <v>269</v>
      </c>
      <c r="C215" t="s">
        <v>20</v>
      </c>
      <c r="D215">
        <v>500</v>
      </c>
      <c r="E215">
        <v>200</v>
      </c>
      <c r="F215" t="s">
        <v>197</v>
      </c>
    </row>
    <row r="216" spans="1:6" ht="15" customHeight="1" x14ac:dyDescent="0.25">
      <c r="A216">
        <v>1215</v>
      </c>
      <c r="B216" t="s">
        <v>279</v>
      </c>
      <c r="C216" t="s">
        <v>20</v>
      </c>
      <c r="D216">
        <v>500</v>
      </c>
      <c r="E216">
        <v>200</v>
      </c>
    </row>
    <row r="217" spans="1:6" ht="15" customHeight="1" x14ac:dyDescent="0.25">
      <c r="A217">
        <v>1216</v>
      </c>
      <c r="B217" t="s">
        <v>280</v>
      </c>
      <c r="C217" t="s">
        <v>18</v>
      </c>
      <c r="D217">
        <v>50</v>
      </c>
      <c r="E217">
        <v>30</v>
      </c>
    </row>
    <row r="218" spans="1:6" ht="15" customHeight="1" x14ac:dyDescent="0.25">
      <c r="A218">
        <v>1217</v>
      </c>
      <c r="B218" t="s">
        <v>162</v>
      </c>
      <c r="C218" t="s">
        <v>18</v>
      </c>
      <c r="D218">
        <v>50</v>
      </c>
      <c r="E218">
        <v>30</v>
      </c>
    </row>
    <row r="219" spans="1:6" ht="15" customHeight="1" x14ac:dyDescent="0.25">
      <c r="A219">
        <v>1218</v>
      </c>
      <c r="B219" t="s">
        <v>149</v>
      </c>
      <c r="C219" t="s">
        <v>18</v>
      </c>
      <c r="D219">
        <v>50</v>
      </c>
      <c r="E219">
        <v>30</v>
      </c>
    </row>
    <row r="220" spans="1:6" ht="15" customHeight="1" x14ac:dyDescent="0.25">
      <c r="A220">
        <v>1219</v>
      </c>
      <c r="B220" t="s">
        <v>280</v>
      </c>
      <c r="C220" t="s">
        <v>19</v>
      </c>
      <c r="D220">
        <v>200</v>
      </c>
      <c r="E220">
        <v>100</v>
      </c>
    </row>
    <row r="221" spans="1:6" ht="15" customHeight="1" x14ac:dyDescent="0.25">
      <c r="A221">
        <v>1220</v>
      </c>
      <c r="B221" t="s">
        <v>281</v>
      </c>
      <c r="C221" t="s">
        <v>18</v>
      </c>
      <c r="D221">
        <v>50</v>
      </c>
      <c r="E221">
        <v>30</v>
      </c>
      <c r="F221" t="s">
        <v>282</v>
      </c>
    </row>
    <row r="222" spans="1:6" ht="15" customHeight="1" x14ac:dyDescent="0.25">
      <c r="A222">
        <v>1221</v>
      </c>
      <c r="B222" t="s">
        <v>283</v>
      </c>
      <c r="C222" t="s">
        <v>20</v>
      </c>
      <c r="D222">
        <v>500</v>
      </c>
      <c r="E222">
        <v>200</v>
      </c>
    </row>
    <row r="223" spans="1:6" ht="15" customHeight="1" x14ac:dyDescent="0.25">
      <c r="A223">
        <v>1222</v>
      </c>
      <c r="B223" t="s">
        <v>284</v>
      </c>
      <c r="C223" t="s">
        <v>19</v>
      </c>
      <c r="D223">
        <v>200</v>
      </c>
      <c r="E223">
        <v>100</v>
      </c>
      <c r="F223" t="s">
        <v>285</v>
      </c>
    </row>
    <row r="224" spans="1:6" ht="15" customHeight="1" x14ac:dyDescent="0.25">
      <c r="A224">
        <v>1223</v>
      </c>
      <c r="B224" t="s">
        <v>140</v>
      </c>
      <c r="C224" t="s">
        <v>20</v>
      </c>
      <c r="D224">
        <v>500</v>
      </c>
      <c r="E224">
        <v>200</v>
      </c>
      <c r="F224" t="s">
        <v>286</v>
      </c>
    </row>
    <row r="225" spans="1:6" ht="15" customHeight="1" x14ac:dyDescent="0.25">
      <c r="A225">
        <v>1224</v>
      </c>
      <c r="B225" t="s">
        <v>183</v>
      </c>
      <c r="C225" t="s">
        <v>19</v>
      </c>
      <c r="D225">
        <v>200</v>
      </c>
      <c r="E225">
        <v>100</v>
      </c>
    </row>
    <row r="226" spans="1:6" ht="15" customHeight="1" x14ac:dyDescent="0.25">
      <c r="A226">
        <v>1225</v>
      </c>
      <c r="B226" t="s">
        <v>287</v>
      </c>
      <c r="C226" t="s">
        <v>20</v>
      </c>
      <c r="D226">
        <v>500</v>
      </c>
      <c r="E226">
        <v>200</v>
      </c>
      <c r="F226" t="s">
        <v>141</v>
      </c>
    </row>
    <row r="227" spans="1:6" ht="15" customHeight="1" x14ac:dyDescent="0.25">
      <c r="A227">
        <v>1226</v>
      </c>
      <c r="B227" t="s">
        <v>288</v>
      </c>
      <c r="C227" t="s">
        <v>18</v>
      </c>
      <c r="D227">
        <v>50</v>
      </c>
      <c r="E227">
        <v>30</v>
      </c>
      <c r="F227" t="s">
        <v>289</v>
      </c>
    </row>
    <row r="228" spans="1:6" ht="15" customHeight="1" x14ac:dyDescent="0.25">
      <c r="A228">
        <v>1227</v>
      </c>
      <c r="B228" t="s">
        <v>290</v>
      </c>
      <c r="C228" t="s">
        <v>20</v>
      </c>
      <c r="D228">
        <v>500</v>
      </c>
      <c r="E228">
        <v>200</v>
      </c>
    </row>
    <row r="229" spans="1:6" ht="15" customHeight="1" x14ac:dyDescent="0.25">
      <c r="A229">
        <v>1228</v>
      </c>
      <c r="B229" t="s">
        <v>291</v>
      </c>
      <c r="C229" t="s">
        <v>20</v>
      </c>
      <c r="D229">
        <v>500</v>
      </c>
      <c r="E229">
        <v>200</v>
      </c>
    </row>
    <row r="230" spans="1:6" ht="15" customHeight="1" x14ac:dyDescent="0.25">
      <c r="A230">
        <v>1229</v>
      </c>
      <c r="B230" t="s">
        <v>248</v>
      </c>
      <c r="C230" t="s">
        <v>20</v>
      </c>
      <c r="D230">
        <v>500</v>
      </c>
      <c r="E230">
        <v>200</v>
      </c>
      <c r="F230" t="s">
        <v>157</v>
      </c>
    </row>
    <row r="231" spans="1:6" ht="15" customHeight="1" x14ac:dyDescent="0.25">
      <c r="A231">
        <v>1230</v>
      </c>
      <c r="B231" t="s">
        <v>292</v>
      </c>
      <c r="C231" t="s">
        <v>20</v>
      </c>
      <c r="D231">
        <v>500</v>
      </c>
      <c r="E231">
        <v>200</v>
      </c>
    </row>
    <row r="232" spans="1:6" ht="15" customHeight="1" x14ac:dyDescent="0.25">
      <c r="A232">
        <v>1231</v>
      </c>
      <c r="B232" t="s">
        <v>155</v>
      </c>
      <c r="C232" t="s">
        <v>19</v>
      </c>
      <c r="D232">
        <v>200</v>
      </c>
      <c r="E232">
        <v>100</v>
      </c>
    </row>
    <row r="233" spans="1:6" ht="15" customHeight="1" x14ac:dyDescent="0.25">
      <c r="A233">
        <v>1232</v>
      </c>
      <c r="B233" t="s">
        <v>293</v>
      </c>
      <c r="C233" t="s">
        <v>20</v>
      </c>
      <c r="D233">
        <v>500</v>
      </c>
      <c r="E233">
        <v>200</v>
      </c>
    </row>
    <row r="234" spans="1:6" ht="15" customHeight="1" x14ac:dyDescent="0.25">
      <c r="A234">
        <v>1233</v>
      </c>
      <c r="B234" t="s">
        <v>294</v>
      </c>
      <c r="C234" t="s">
        <v>19</v>
      </c>
      <c r="D234">
        <v>200</v>
      </c>
      <c r="E234">
        <v>100</v>
      </c>
    </row>
    <row r="235" spans="1:6" ht="15" customHeight="1" x14ac:dyDescent="0.25">
      <c r="A235">
        <v>1234</v>
      </c>
      <c r="B235" t="s">
        <v>295</v>
      </c>
      <c r="C235" t="s">
        <v>18</v>
      </c>
      <c r="D235">
        <v>50</v>
      </c>
      <c r="E235">
        <v>30</v>
      </c>
      <c r="F235" t="s">
        <v>296</v>
      </c>
    </row>
    <row r="236" spans="1:6" ht="15" customHeight="1" x14ac:dyDescent="0.25">
      <c r="A236">
        <v>1235</v>
      </c>
      <c r="B236" t="s">
        <v>100</v>
      </c>
      <c r="C236" t="s">
        <v>20</v>
      </c>
      <c r="D236">
        <v>500</v>
      </c>
      <c r="E236">
        <v>200</v>
      </c>
      <c r="F236" t="s">
        <v>99</v>
      </c>
    </row>
    <row r="237" spans="1:6" ht="15" customHeight="1" x14ac:dyDescent="0.25">
      <c r="A237">
        <v>1236</v>
      </c>
      <c r="B237" t="s">
        <v>261</v>
      </c>
      <c r="C237" t="s">
        <v>18</v>
      </c>
      <c r="D237">
        <v>50</v>
      </c>
      <c r="E237">
        <v>30</v>
      </c>
    </row>
    <row r="238" spans="1:6" ht="15" customHeight="1" x14ac:dyDescent="0.25">
      <c r="A238">
        <v>1237</v>
      </c>
      <c r="B238" t="s">
        <v>297</v>
      </c>
      <c r="C238" t="s">
        <v>20</v>
      </c>
      <c r="D238">
        <v>500</v>
      </c>
      <c r="E238">
        <v>200</v>
      </c>
    </row>
    <row r="239" spans="1:6" ht="15" customHeight="1" x14ac:dyDescent="0.25">
      <c r="A239">
        <v>1238</v>
      </c>
      <c r="B239" t="s">
        <v>227</v>
      </c>
      <c r="C239" t="s">
        <v>19</v>
      </c>
      <c r="D239">
        <v>200</v>
      </c>
      <c r="E239">
        <v>100</v>
      </c>
    </row>
    <row r="240" spans="1:6" ht="15" customHeight="1" x14ac:dyDescent="0.25">
      <c r="A240">
        <v>1239</v>
      </c>
      <c r="B240" t="s">
        <v>298</v>
      </c>
      <c r="C240" t="s">
        <v>19</v>
      </c>
      <c r="D240">
        <v>200</v>
      </c>
      <c r="E240">
        <v>100</v>
      </c>
      <c r="F240" t="s">
        <v>299</v>
      </c>
    </row>
    <row r="241" spans="1:6" ht="15" customHeight="1" x14ac:dyDescent="0.25">
      <c r="A241">
        <v>1240</v>
      </c>
      <c r="B241" t="s">
        <v>157</v>
      </c>
      <c r="C241" t="s">
        <v>20</v>
      </c>
      <c r="D241">
        <v>500</v>
      </c>
      <c r="E241">
        <v>200</v>
      </c>
    </row>
    <row r="242" spans="1:6" ht="15" customHeight="1" x14ac:dyDescent="0.25">
      <c r="A242">
        <v>1241</v>
      </c>
      <c r="B242" t="s">
        <v>192</v>
      </c>
      <c r="C242" t="s">
        <v>19</v>
      </c>
      <c r="D242">
        <v>200</v>
      </c>
      <c r="E242">
        <v>100</v>
      </c>
      <c r="F242" t="s">
        <v>250</v>
      </c>
    </row>
    <row r="243" spans="1:6" ht="15" customHeight="1" x14ac:dyDescent="0.25">
      <c r="A243">
        <v>1242</v>
      </c>
      <c r="B243" t="s">
        <v>300</v>
      </c>
      <c r="C243" t="s">
        <v>18</v>
      </c>
      <c r="D243">
        <v>50</v>
      </c>
      <c r="E243">
        <v>30</v>
      </c>
      <c r="F243" t="s">
        <v>301</v>
      </c>
    </row>
    <row r="244" spans="1:6" ht="15" customHeight="1" x14ac:dyDescent="0.25">
      <c r="A244">
        <v>1243</v>
      </c>
      <c r="B244" t="s">
        <v>135</v>
      </c>
      <c r="C244" t="s">
        <v>18</v>
      </c>
      <c r="D244">
        <v>50</v>
      </c>
      <c r="E244">
        <v>30</v>
      </c>
    </row>
    <row r="245" spans="1:6" ht="15" customHeight="1" x14ac:dyDescent="0.25">
      <c r="A245">
        <v>1244</v>
      </c>
      <c r="B245" t="s">
        <v>302</v>
      </c>
      <c r="C245" t="s">
        <v>20</v>
      </c>
      <c r="D245">
        <v>500</v>
      </c>
      <c r="E245">
        <v>200</v>
      </c>
    </row>
    <row r="246" spans="1:6" ht="15" customHeight="1" x14ac:dyDescent="0.25">
      <c r="A246">
        <v>1245</v>
      </c>
      <c r="B246" t="s">
        <v>249</v>
      </c>
      <c r="C246" t="s">
        <v>18</v>
      </c>
      <c r="D246">
        <v>50</v>
      </c>
      <c r="E246">
        <v>30</v>
      </c>
    </row>
    <row r="247" spans="1:6" ht="15" customHeight="1" x14ac:dyDescent="0.25">
      <c r="A247">
        <v>1246</v>
      </c>
      <c r="B247" t="s">
        <v>303</v>
      </c>
      <c r="C247" t="s">
        <v>20</v>
      </c>
      <c r="D247">
        <v>500</v>
      </c>
      <c r="E247">
        <v>200</v>
      </c>
    </row>
    <row r="248" spans="1:6" ht="15" customHeight="1" x14ac:dyDescent="0.25">
      <c r="A248">
        <v>1247</v>
      </c>
      <c r="B248" t="s">
        <v>304</v>
      </c>
      <c r="C248" t="s">
        <v>19</v>
      </c>
      <c r="D248">
        <v>200</v>
      </c>
      <c r="E248">
        <v>100</v>
      </c>
      <c r="F248" t="s">
        <v>305</v>
      </c>
    </row>
    <row r="249" spans="1:6" ht="15" customHeight="1" x14ac:dyDescent="0.25">
      <c r="A249">
        <v>1248</v>
      </c>
      <c r="B249" t="s">
        <v>306</v>
      </c>
      <c r="C249" t="s">
        <v>20</v>
      </c>
      <c r="D249">
        <v>500</v>
      </c>
      <c r="E249">
        <v>200</v>
      </c>
    </row>
    <row r="250" spans="1:6" ht="15" customHeight="1" x14ac:dyDescent="0.25">
      <c r="A250">
        <v>1249</v>
      </c>
      <c r="B250" t="s">
        <v>91</v>
      </c>
      <c r="C250" t="s">
        <v>20</v>
      </c>
      <c r="D250">
        <v>500</v>
      </c>
      <c r="E250">
        <v>200</v>
      </c>
    </row>
    <row r="251" spans="1:6" ht="15" customHeight="1" x14ac:dyDescent="0.25">
      <c r="A251">
        <v>1250</v>
      </c>
      <c r="B251" t="s">
        <v>152</v>
      </c>
      <c r="C251" t="s">
        <v>19</v>
      </c>
      <c r="D251">
        <v>200</v>
      </c>
      <c r="E251">
        <v>100</v>
      </c>
    </row>
    <row r="252" spans="1:6" ht="15" customHeight="1" x14ac:dyDescent="0.25">
      <c r="A252">
        <v>1251</v>
      </c>
      <c r="B252" t="s">
        <v>307</v>
      </c>
      <c r="C252" t="s">
        <v>18</v>
      </c>
      <c r="D252">
        <v>50</v>
      </c>
      <c r="E252">
        <v>30</v>
      </c>
    </row>
    <row r="253" spans="1:6" ht="15" customHeight="1" x14ac:dyDescent="0.25">
      <c r="A253">
        <v>1252</v>
      </c>
      <c r="B253" t="s">
        <v>308</v>
      </c>
      <c r="C253" t="s">
        <v>18</v>
      </c>
      <c r="D253">
        <v>50</v>
      </c>
      <c r="E253">
        <v>30</v>
      </c>
    </row>
    <row r="254" spans="1:6" ht="15" customHeight="1" x14ac:dyDescent="0.25">
      <c r="A254">
        <v>1253</v>
      </c>
      <c r="B254" t="s">
        <v>309</v>
      </c>
      <c r="C254" t="s">
        <v>19</v>
      </c>
      <c r="D254">
        <v>200</v>
      </c>
      <c r="E254">
        <v>100</v>
      </c>
    </row>
    <row r="255" spans="1:6" ht="15" customHeight="1" x14ac:dyDescent="0.25">
      <c r="A255">
        <v>1254</v>
      </c>
      <c r="B255" t="s">
        <v>310</v>
      </c>
      <c r="C255" t="s">
        <v>20</v>
      </c>
      <c r="D255">
        <v>500</v>
      </c>
      <c r="E255">
        <v>200</v>
      </c>
    </row>
    <row r="256" spans="1:6" ht="15" customHeight="1" x14ac:dyDescent="0.25">
      <c r="A256">
        <v>1255</v>
      </c>
      <c r="B256" t="s">
        <v>181</v>
      </c>
      <c r="C256" t="s">
        <v>19</v>
      </c>
      <c r="D256">
        <v>200</v>
      </c>
      <c r="E256">
        <v>100</v>
      </c>
    </row>
    <row r="257" spans="1:6" ht="15" customHeight="1" x14ac:dyDescent="0.25">
      <c r="A257">
        <v>1256</v>
      </c>
      <c r="B257" t="s">
        <v>311</v>
      </c>
      <c r="C257" t="s">
        <v>18</v>
      </c>
      <c r="D257">
        <v>50</v>
      </c>
      <c r="E257">
        <v>30</v>
      </c>
    </row>
    <row r="258" spans="1:6" ht="15" customHeight="1" x14ac:dyDescent="0.25">
      <c r="A258">
        <v>1257</v>
      </c>
      <c r="B258" t="s">
        <v>272</v>
      </c>
      <c r="C258" t="s">
        <v>20</v>
      </c>
      <c r="D258">
        <v>500</v>
      </c>
      <c r="E258">
        <v>200</v>
      </c>
      <c r="F258" t="s">
        <v>312</v>
      </c>
    </row>
    <row r="259" spans="1:6" ht="15" customHeight="1" x14ac:dyDescent="0.25">
      <c r="A259">
        <v>1258</v>
      </c>
      <c r="B259" t="s">
        <v>313</v>
      </c>
      <c r="C259" t="s">
        <v>19</v>
      </c>
      <c r="D259">
        <v>200</v>
      </c>
      <c r="E259">
        <v>100</v>
      </c>
    </row>
    <row r="260" spans="1:6" ht="15" customHeight="1" x14ac:dyDescent="0.25">
      <c r="A260">
        <v>1259</v>
      </c>
      <c r="B260" t="s">
        <v>314</v>
      </c>
      <c r="C260" t="s">
        <v>18</v>
      </c>
      <c r="D260">
        <v>50</v>
      </c>
      <c r="E260">
        <v>30</v>
      </c>
    </row>
    <row r="261" spans="1:6" ht="15" customHeight="1" x14ac:dyDescent="0.25">
      <c r="A261">
        <v>1260</v>
      </c>
      <c r="B261" t="s">
        <v>301</v>
      </c>
      <c r="C261" t="s">
        <v>19</v>
      </c>
      <c r="D261">
        <v>200</v>
      </c>
      <c r="E261">
        <v>100</v>
      </c>
    </row>
    <row r="262" spans="1:6" ht="15" customHeight="1" x14ac:dyDescent="0.25">
      <c r="A262">
        <v>1261</v>
      </c>
      <c r="B262" t="s">
        <v>315</v>
      </c>
      <c r="C262" t="s">
        <v>19</v>
      </c>
      <c r="D262">
        <v>200</v>
      </c>
      <c r="E262">
        <v>100</v>
      </c>
    </row>
    <row r="263" spans="1:6" ht="15" customHeight="1" x14ac:dyDescent="0.25">
      <c r="A263">
        <v>1262</v>
      </c>
      <c r="B263" t="s">
        <v>316</v>
      </c>
      <c r="C263" t="s">
        <v>20</v>
      </c>
      <c r="D263">
        <v>500</v>
      </c>
      <c r="E263">
        <v>200</v>
      </c>
    </row>
    <row r="264" spans="1:6" ht="15" customHeight="1" x14ac:dyDescent="0.25">
      <c r="A264">
        <v>1263</v>
      </c>
      <c r="B264" t="s">
        <v>317</v>
      </c>
      <c r="C264" t="s">
        <v>18</v>
      </c>
      <c r="D264">
        <v>50</v>
      </c>
      <c r="E264">
        <v>30</v>
      </c>
      <c r="F264" t="s">
        <v>318</v>
      </c>
    </row>
    <row r="265" spans="1:6" ht="15" customHeight="1" x14ac:dyDescent="0.25">
      <c r="A265">
        <v>1264</v>
      </c>
      <c r="B265" t="s">
        <v>319</v>
      </c>
      <c r="C265" t="s">
        <v>19</v>
      </c>
      <c r="D265">
        <v>200</v>
      </c>
      <c r="E265">
        <v>100</v>
      </c>
    </row>
    <row r="266" spans="1:6" ht="15" customHeight="1" x14ac:dyDescent="0.25">
      <c r="A266">
        <v>1265</v>
      </c>
      <c r="B266" t="s">
        <v>320</v>
      </c>
      <c r="C266" t="s">
        <v>18</v>
      </c>
      <c r="D266">
        <v>50</v>
      </c>
      <c r="E266">
        <v>30</v>
      </c>
      <c r="F266" t="s">
        <v>321</v>
      </c>
    </row>
    <row r="267" spans="1:6" ht="15" customHeight="1" x14ac:dyDescent="0.25">
      <c r="A267">
        <v>1266</v>
      </c>
      <c r="B267" t="s">
        <v>322</v>
      </c>
      <c r="C267" t="s">
        <v>20</v>
      </c>
      <c r="D267">
        <v>500</v>
      </c>
      <c r="E267">
        <v>200</v>
      </c>
    </row>
    <row r="268" spans="1:6" ht="15" customHeight="1" x14ac:dyDescent="0.25">
      <c r="A268">
        <v>1267</v>
      </c>
      <c r="B268" t="s">
        <v>323</v>
      </c>
      <c r="C268" t="s">
        <v>20</v>
      </c>
      <c r="D268">
        <v>500</v>
      </c>
      <c r="E268">
        <v>200</v>
      </c>
    </row>
    <row r="269" spans="1:6" ht="15" customHeight="1" x14ac:dyDescent="0.25">
      <c r="A269">
        <v>1268</v>
      </c>
      <c r="B269" t="s">
        <v>184</v>
      </c>
      <c r="C269" t="s">
        <v>20</v>
      </c>
      <c r="D269">
        <v>500</v>
      </c>
      <c r="E269">
        <v>200</v>
      </c>
      <c r="F269" t="s">
        <v>324</v>
      </c>
    </row>
    <row r="270" spans="1:6" ht="15" customHeight="1" x14ac:dyDescent="0.25">
      <c r="A270">
        <v>1269</v>
      </c>
      <c r="B270" t="s">
        <v>325</v>
      </c>
      <c r="C270" t="s">
        <v>19</v>
      </c>
      <c r="D270">
        <v>200</v>
      </c>
      <c r="E270">
        <v>100</v>
      </c>
    </row>
    <row r="271" spans="1:6" ht="15" customHeight="1" x14ac:dyDescent="0.25">
      <c r="A271">
        <v>1270</v>
      </c>
      <c r="B271" t="s">
        <v>326</v>
      </c>
      <c r="C271" t="s">
        <v>20</v>
      </c>
      <c r="D271">
        <v>500</v>
      </c>
      <c r="E271">
        <v>200</v>
      </c>
    </row>
    <row r="272" spans="1:6" ht="15" customHeight="1" x14ac:dyDescent="0.25">
      <c r="A272">
        <v>1271</v>
      </c>
      <c r="B272" t="s">
        <v>294</v>
      </c>
      <c r="C272" t="s">
        <v>19</v>
      </c>
      <c r="D272">
        <v>200</v>
      </c>
      <c r="E272">
        <v>100</v>
      </c>
    </row>
    <row r="273" spans="1:6" ht="15" customHeight="1" x14ac:dyDescent="0.25">
      <c r="A273">
        <v>1272</v>
      </c>
      <c r="B273" t="s">
        <v>327</v>
      </c>
      <c r="C273" t="s">
        <v>18</v>
      </c>
      <c r="D273">
        <v>50</v>
      </c>
      <c r="E273">
        <v>30</v>
      </c>
    </row>
    <row r="274" spans="1:6" ht="15" customHeight="1" x14ac:dyDescent="0.25">
      <c r="A274">
        <v>1273</v>
      </c>
      <c r="B274" t="s">
        <v>179</v>
      </c>
      <c r="C274" t="s">
        <v>19</v>
      </c>
      <c r="D274">
        <v>200</v>
      </c>
      <c r="E274">
        <v>100</v>
      </c>
      <c r="F274" t="s">
        <v>205</v>
      </c>
    </row>
    <row r="275" spans="1:6" ht="15" customHeight="1" x14ac:dyDescent="0.25">
      <c r="A275">
        <v>1274</v>
      </c>
      <c r="B275" t="s">
        <v>317</v>
      </c>
      <c r="C275" t="s">
        <v>19</v>
      </c>
      <c r="D275">
        <v>200</v>
      </c>
      <c r="E275">
        <v>100</v>
      </c>
    </row>
    <row r="276" spans="1:6" ht="15" customHeight="1" x14ac:dyDescent="0.25">
      <c r="A276">
        <v>1275</v>
      </c>
      <c r="B276" t="s">
        <v>282</v>
      </c>
      <c r="C276" t="s">
        <v>20</v>
      </c>
      <c r="D276">
        <v>500</v>
      </c>
      <c r="E276">
        <v>200</v>
      </c>
    </row>
    <row r="277" spans="1:6" ht="15" customHeight="1" x14ac:dyDescent="0.25">
      <c r="A277">
        <v>1276</v>
      </c>
      <c r="B277" t="s">
        <v>328</v>
      </c>
      <c r="C277" t="s">
        <v>19</v>
      </c>
      <c r="D277">
        <v>200</v>
      </c>
      <c r="E277">
        <v>100</v>
      </c>
      <c r="F277" t="s">
        <v>98</v>
      </c>
    </row>
    <row r="278" spans="1:6" ht="15" customHeight="1" x14ac:dyDescent="0.25">
      <c r="A278">
        <v>1277</v>
      </c>
      <c r="B278" t="s">
        <v>114</v>
      </c>
      <c r="C278" t="s">
        <v>20</v>
      </c>
      <c r="D278">
        <v>500</v>
      </c>
      <c r="E278">
        <v>200</v>
      </c>
      <c r="F278" t="s">
        <v>141</v>
      </c>
    </row>
    <row r="279" spans="1:6" ht="15" customHeight="1" x14ac:dyDescent="0.25">
      <c r="A279">
        <v>1278</v>
      </c>
      <c r="B279" t="s">
        <v>329</v>
      </c>
      <c r="C279" t="s">
        <v>20</v>
      </c>
      <c r="D279">
        <v>500</v>
      </c>
      <c r="E279">
        <v>200</v>
      </c>
      <c r="F279" t="s">
        <v>324</v>
      </c>
    </row>
    <row r="280" spans="1:6" ht="15" customHeight="1" x14ac:dyDescent="0.25">
      <c r="A280">
        <v>1279</v>
      </c>
      <c r="B280" t="s">
        <v>330</v>
      </c>
      <c r="C280" t="s">
        <v>20</v>
      </c>
      <c r="D280">
        <v>500</v>
      </c>
      <c r="E280">
        <v>200</v>
      </c>
    </row>
    <row r="281" spans="1:6" ht="15" customHeight="1" x14ac:dyDescent="0.25">
      <c r="A281">
        <v>1280</v>
      </c>
      <c r="B281" t="s">
        <v>331</v>
      </c>
      <c r="C281" t="s">
        <v>18</v>
      </c>
      <c r="D281">
        <v>50</v>
      </c>
      <c r="E281">
        <v>30</v>
      </c>
    </row>
    <row r="282" spans="1:6" ht="15" customHeight="1" x14ac:dyDescent="0.25">
      <c r="A282">
        <v>1281</v>
      </c>
      <c r="B282" t="s">
        <v>332</v>
      </c>
      <c r="C282" t="s">
        <v>18</v>
      </c>
      <c r="D282">
        <v>50</v>
      </c>
      <c r="E282">
        <v>30</v>
      </c>
    </row>
    <row r="283" spans="1:6" ht="15" customHeight="1" x14ac:dyDescent="0.25">
      <c r="A283">
        <v>1282</v>
      </c>
      <c r="B283" t="s">
        <v>333</v>
      </c>
      <c r="C283" t="s">
        <v>19</v>
      </c>
      <c r="D283">
        <v>200</v>
      </c>
      <c r="E283">
        <v>100</v>
      </c>
      <c r="F283" t="s">
        <v>334</v>
      </c>
    </row>
    <row r="284" spans="1:6" ht="15" customHeight="1" x14ac:dyDescent="0.25">
      <c r="A284">
        <v>1283</v>
      </c>
      <c r="B284" t="s">
        <v>314</v>
      </c>
      <c r="C284" t="s">
        <v>20</v>
      </c>
      <c r="D284">
        <v>500</v>
      </c>
      <c r="E284">
        <v>200</v>
      </c>
    </row>
    <row r="285" spans="1:6" ht="15" customHeight="1" x14ac:dyDescent="0.25">
      <c r="A285">
        <v>1284</v>
      </c>
      <c r="B285" t="s">
        <v>335</v>
      </c>
      <c r="C285" t="s">
        <v>18</v>
      </c>
      <c r="D285">
        <v>50</v>
      </c>
      <c r="E285">
        <v>30</v>
      </c>
    </row>
    <row r="286" spans="1:6" ht="15" customHeight="1" x14ac:dyDescent="0.25">
      <c r="A286">
        <v>1285</v>
      </c>
      <c r="B286" t="s">
        <v>336</v>
      </c>
      <c r="C286" t="s">
        <v>20</v>
      </c>
      <c r="D286">
        <v>500</v>
      </c>
      <c r="E286">
        <v>200</v>
      </c>
    </row>
    <row r="287" spans="1:6" ht="15" customHeight="1" x14ac:dyDescent="0.25">
      <c r="A287">
        <v>1286</v>
      </c>
      <c r="B287" t="s">
        <v>265</v>
      </c>
      <c r="C287" t="s">
        <v>20</v>
      </c>
      <c r="D287">
        <v>500</v>
      </c>
      <c r="E287">
        <v>200</v>
      </c>
    </row>
    <row r="288" spans="1:6" ht="15" customHeight="1" x14ac:dyDescent="0.25">
      <c r="A288">
        <v>1287</v>
      </c>
      <c r="B288" t="s">
        <v>162</v>
      </c>
      <c r="C288" t="s">
        <v>18</v>
      </c>
      <c r="D288">
        <v>50</v>
      </c>
      <c r="E288">
        <v>30</v>
      </c>
      <c r="F288" t="s">
        <v>337</v>
      </c>
    </row>
    <row r="289" spans="1:6" ht="15" customHeight="1" x14ac:dyDescent="0.25">
      <c r="A289">
        <v>1288</v>
      </c>
      <c r="B289" t="s">
        <v>338</v>
      </c>
      <c r="C289" t="s">
        <v>19</v>
      </c>
      <c r="D289">
        <v>200</v>
      </c>
      <c r="E289">
        <v>100</v>
      </c>
    </row>
    <row r="290" spans="1:6" ht="15" customHeight="1" x14ac:dyDescent="0.25">
      <c r="A290">
        <v>1289</v>
      </c>
      <c r="B290" t="s">
        <v>104</v>
      </c>
      <c r="C290" t="s">
        <v>20</v>
      </c>
      <c r="D290">
        <v>500</v>
      </c>
      <c r="E290">
        <v>200</v>
      </c>
    </row>
    <row r="291" spans="1:6" ht="15" customHeight="1" x14ac:dyDescent="0.25">
      <c r="A291">
        <v>1290</v>
      </c>
      <c r="B291" t="s">
        <v>192</v>
      </c>
      <c r="C291" t="s">
        <v>19</v>
      </c>
      <c r="D291">
        <v>200</v>
      </c>
      <c r="E291">
        <v>100</v>
      </c>
    </row>
    <row r="292" spans="1:6" ht="15" customHeight="1" x14ac:dyDescent="0.25">
      <c r="A292">
        <v>1291</v>
      </c>
      <c r="B292" t="s">
        <v>339</v>
      </c>
      <c r="C292" t="s">
        <v>18</v>
      </c>
      <c r="D292">
        <v>50</v>
      </c>
      <c r="E292">
        <v>30</v>
      </c>
      <c r="F292" t="s">
        <v>340</v>
      </c>
    </row>
    <row r="293" spans="1:6" ht="15" customHeight="1" x14ac:dyDescent="0.25">
      <c r="A293">
        <v>1292</v>
      </c>
      <c r="B293" t="s">
        <v>341</v>
      </c>
      <c r="C293" t="s">
        <v>18</v>
      </c>
      <c r="D293">
        <v>50</v>
      </c>
      <c r="E293">
        <v>30</v>
      </c>
      <c r="F293" t="s">
        <v>160</v>
      </c>
    </row>
    <row r="294" spans="1:6" ht="15" customHeight="1" x14ac:dyDescent="0.25">
      <c r="A294">
        <v>1293</v>
      </c>
      <c r="B294" t="s">
        <v>195</v>
      </c>
      <c r="C294" t="s">
        <v>18</v>
      </c>
      <c r="D294">
        <v>50</v>
      </c>
      <c r="E294">
        <v>30</v>
      </c>
    </row>
    <row r="295" spans="1:6" ht="15" customHeight="1" x14ac:dyDescent="0.25">
      <c r="A295">
        <v>1294</v>
      </c>
      <c r="B295" t="s">
        <v>269</v>
      </c>
      <c r="C295" t="s">
        <v>20</v>
      </c>
      <c r="D295">
        <v>500</v>
      </c>
      <c r="E295">
        <v>200</v>
      </c>
      <c r="F295" t="s">
        <v>342</v>
      </c>
    </row>
    <row r="296" spans="1:6" ht="15" customHeight="1" x14ac:dyDescent="0.25">
      <c r="A296">
        <v>1295</v>
      </c>
      <c r="B296" t="s">
        <v>209</v>
      </c>
      <c r="C296" t="s">
        <v>19</v>
      </c>
      <c r="D296">
        <v>200</v>
      </c>
      <c r="E296">
        <v>100</v>
      </c>
    </row>
    <row r="297" spans="1:6" ht="15" customHeight="1" x14ac:dyDescent="0.25">
      <c r="A297">
        <v>1296</v>
      </c>
      <c r="B297" t="s">
        <v>219</v>
      </c>
      <c r="C297" t="s">
        <v>18</v>
      </c>
      <c r="D297">
        <v>50</v>
      </c>
      <c r="E297">
        <v>30</v>
      </c>
    </row>
    <row r="298" spans="1:6" ht="15" customHeight="1" x14ac:dyDescent="0.25">
      <c r="A298">
        <v>1297</v>
      </c>
      <c r="B298" t="s">
        <v>252</v>
      </c>
      <c r="C298" t="s">
        <v>18</v>
      </c>
      <c r="D298">
        <v>50</v>
      </c>
      <c r="E298">
        <v>30</v>
      </c>
    </row>
    <row r="299" spans="1:6" ht="15" customHeight="1" x14ac:dyDescent="0.25">
      <c r="A299">
        <v>1298</v>
      </c>
      <c r="B299" t="s">
        <v>343</v>
      </c>
      <c r="C299" t="s">
        <v>19</v>
      </c>
      <c r="D299">
        <v>200</v>
      </c>
      <c r="E299">
        <v>100</v>
      </c>
    </row>
    <row r="300" spans="1:6" ht="15" customHeight="1" x14ac:dyDescent="0.25">
      <c r="A300">
        <v>1299</v>
      </c>
      <c r="B300" t="s">
        <v>233</v>
      </c>
      <c r="C300" t="s">
        <v>20</v>
      </c>
      <c r="D300">
        <v>500</v>
      </c>
      <c r="E300">
        <v>200</v>
      </c>
    </row>
    <row r="301" spans="1:6" ht="15" customHeight="1" x14ac:dyDescent="0.25">
      <c r="A301">
        <v>1300</v>
      </c>
      <c r="B301" t="s">
        <v>344</v>
      </c>
      <c r="C301" t="s">
        <v>20</v>
      </c>
      <c r="D301">
        <v>500</v>
      </c>
      <c r="E301">
        <v>200</v>
      </c>
    </row>
    <row r="302" spans="1:6" ht="15" customHeight="1" x14ac:dyDescent="0.25">
      <c r="A302">
        <v>1301</v>
      </c>
      <c r="B302" t="s">
        <v>125</v>
      </c>
      <c r="C302" t="s">
        <v>18</v>
      </c>
      <c r="D302">
        <v>50</v>
      </c>
      <c r="E302">
        <v>30</v>
      </c>
    </row>
    <row r="303" spans="1:6" ht="15" customHeight="1" x14ac:dyDescent="0.25">
      <c r="A303">
        <v>1302</v>
      </c>
      <c r="B303" t="s">
        <v>345</v>
      </c>
      <c r="C303" t="s">
        <v>19</v>
      </c>
      <c r="D303">
        <v>200</v>
      </c>
      <c r="E303">
        <v>100</v>
      </c>
    </row>
    <row r="304" spans="1:6" ht="15" customHeight="1" x14ac:dyDescent="0.25">
      <c r="A304">
        <v>1303</v>
      </c>
      <c r="B304" t="s">
        <v>346</v>
      </c>
      <c r="C304" t="s">
        <v>20</v>
      </c>
      <c r="D304">
        <v>500</v>
      </c>
      <c r="E304">
        <v>200</v>
      </c>
    </row>
    <row r="305" spans="1:6" ht="15" customHeight="1" x14ac:dyDescent="0.25">
      <c r="A305">
        <v>1304</v>
      </c>
      <c r="B305" t="s">
        <v>267</v>
      </c>
      <c r="C305" t="s">
        <v>18</v>
      </c>
      <c r="D305">
        <v>50</v>
      </c>
      <c r="E305">
        <v>30</v>
      </c>
    </row>
    <row r="306" spans="1:6" ht="15" customHeight="1" x14ac:dyDescent="0.25">
      <c r="A306">
        <v>1305</v>
      </c>
      <c r="B306" t="s">
        <v>231</v>
      </c>
      <c r="C306" t="s">
        <v>18</v>
      </c>
      <c r="D306">
        <v>50</v>
      </c>
      <c r="E306">
        <v>30</v>
      </c>
    </row>
    <row r="307" spans="1:6" ht="15" customHeight="1" x14ac:dyDescent="0.25">
      <c r="A307">
        <v>1306</v>
      </c>
      <c r="B307" t="s">
        <v>347</v>
      </c>
      <c r="C307" t="s">
        <v>19</v>
      </c>
      <c r="D307">
        <v>200</v>
      </c>
      <c r="E307">
        <v>100</v>
      </c>
    </row>
    <row r="308" spans="1:6" ht="15" customHeight="1" x14ac:dyDescent="0.25">
      <c r="A308">
        <v>1307</v>
      </c>
      <c r="B308" t="s">
        <v>249</v>
      </c>
      <c r="C308" t="s">
        <v>20</v>
      </c>
      <c r="D308">
        <v>500</v>
      </c>
      <c r="E308">
        <v>200</v>
      </c>
    </row>
    <row r="309" spans="1:6" ht="15" customHeight="1" x14ac:dyDescent="0.25">
      <c r="A309">
        <v>1308</v>
      </c>
      <c r="B309" t="s">
        <v>348</v>
      </c>
      <c r="C309" t="s">
        <v>18</v>
      </c>
      <c r="D309">
        <v>50</v>
      </c>
      <c r="E309">
        <v>30</v>
      </c>
      <c r="F309" t="s">
        <v>103</v>
      </c>
    </row>
    <row r="310" spans="1:6" ht="15" customHeight="1" x14ac:dyDescent="0.25">
      <c r="A310">
        <v>1309</v>
      </c>
      <c r="B310" t="s">
        <v>349</v>
      </c>
      <c r="C310" t="s">
        <v>18</v>
      </c>
      <c r="D310">
        <v>50</v>
      </c>
      <c r="E310">
        <v>30</v>
      </c>
      <c r="F310" t="s">
        <v>350</v>
      </c>
    </row>
    <row r="311" spans="1:6" ht="15" customHeight="1" x14ac:dyDescent="0.25">
      <c r="A311">
        <v>1310</v>
      </c>
      <c r="B311" t="s">
        <v>351</v>
      </c>
      <c r="C311" t="s">
        <v>18</v>
      </c>
      <c r="D311">
        <v>50</v>
      </c>
      <c r="E311">
        <v>30</v>
      </c>
    </row>
    <row r="312" spans="1:6" ht="15" customHeight="1" x14ac:dyDescent="0.25">
      <c r="A312">
        <v>1311</v>
      </c>
      <c r="B312" t="s">
        <v>208</v>
      </c>
      <c r="C312" t="s">
        <v>18</v>
      </c>
      <c r="D312">
        <v>50</v>
      </c>
      <c r="E312">
        <v>30</v>
      </c>
    </row>
    <row r="313" spans="1:6" ht="15" customHeight="1" x14ac:dyDescent="0.25">
      <c r="A313">
        <v>1312</v>
      </c>
      <c r="B313" t="s">
        <v>294</v>
      </c>
      <c r="C313" t="s">
        <v>18</v>
      </c>
      <c r="D313">
        <v>50</v>
      </c>
      <c r="E313">
        <v>30</v>
      </c>
      <c r="F313" t="s">
        <v>289</v>
      </c>
    </row>
    <row r="314" spans="1:6" ht="15" customHeight="1" x14ac:dyDescent="0.25">
      <c r="A314">
        <v>1313</v>
      </c>
      <c r="B314" t="s">
        <v>352</v>
      </c>
      <c r="C314" t="s">
        <v>20</v>
      </c>
      <c r="D314">
        <v>500</v>
      </c>
      <c r="E314">
        <v>200</v>
      </c>
      <c r="F314" t="s">
        <v>100</v>
      </c>
    </row>
    <row r="315" spans="1:6" ht="15" customHeight="1" x14ac:dyDescent="0.25">
      <c r="A315">
        <v>1314</v>
      </c>
      <c r="B315" t="s">
        <v>353</v>
      </c>
      <c r="C315" t="s">
        <v>19</v>
      </c>
      <c r="D315">
        <v>200</v>
      </c>
      <c r="E315">
        <v>100</v>
      </c>
    </row>
    <row r="316" spans="1:6" ht="15" customHeight="1" x14ac:dyDescent="0.25">
      <c r="A316">
        <v>1315</v>
      </c>
      <c r="B316" t="s">
        <v>273</v>
      </c>
      <c r="C316" t="s">
        <v>18</v>
      </c>
      <c r="D316">
        <v>50</v>
      </c>
      <c r="E316">
        <v>30</v>
      </c>
    </row>
    <row r="317" spans="1:6" ht="15" customHeight="1" x14ac:dyDescent="0.25">
      <c r="A317">
        <v>1316</v>
      </c>
      <c r="B317" t="s">
        <v>354</v>
      </c>
      <c r="C317" t="s">
        <v>20</v>
      </c>
      <c r="D317">
        <v>500</v>
      </c>
      <c r="E317">
        <v>200</v>
      </c>
    </row>
    <row r="318" spans="1:6" ht="15" customHeight="1" x14ac:dyDescent="0.25">
      <c r="A318">
        <v>1317</v>
      </c>
      <c r="B318" t="s">
        <v>166</v>
      </c>
      <c r="C318" t="s">
        <v>20</v>
      </c>
      <c r="D318">
        <v>500</v>
      </c>
      <c r="E318">
        <v>200</v>
      </c>
    </row>
    <row r="319" spans="1:6" ht="15" customHeight="1" x14ac:dyDescent="0.25">
      <c r="A319">
        <v>1318</v>
      </c>
      <c r="B319" t="s">
        <v>355</v>
      </c>
      <c r="C319" t="s">
        <v>20</v>
      </c>
      <c r="D319">
        <v>500</v>
      </c>
      <c r="E319">
        <v>200</v>
      </c>
    </row>
    <row r="320" spans="1:6" ht="15" customHeight="1" x14ac:dyDescent="0.25">
      <c r="A320">
        <v>1319</v>
      </c>
      <c r="B320" t="s">
        <v>150</v>
      </c>
      <c r="C320" t="s">
        <v>18</v>
      </c>
      <c r="D320">
        <v>50</v>
      </c>
      <c r="E320">
        <v>30</v>
      </c>
    </row>
    <row r="321" spans="1:6" ht="15" customHeight="1" x14ac:dyDescent="0.25">
      <c r="A321">
        <v>1320</v>
      </c>
      <c r="B321" t="s">
        <v>356</v>
      </c>
      <c r="C321" t="s">
        <v>20</v>
      </c>
      <c r="D321">
        <v>500</v>
      </c>
      <c r="E321">
        <v>200</v>
      </c>
    </row>
    <row r="322" spans="1:6" ht="15" customHeight="1" x14ac:dyDescent="0.25">
      <c r="A322">
        <v>1321</v>
      </c>
      <c r="B322" t="s">
        <v>357</v>
      </c>
      <c r="C322" t="s">
        <v>20</v>
      </c>
      <c r="D322">
        <v>500</v>
      </c>
      <c r="E322">
        <v>200</v>
      </c>
    </row>
    <row r="323" spans="1:6" ht="15" customHeight="1" x14ac:dyDescent="0.25">
      <c r="A323">
        <v>1322</v>
      </c>
      <c r="B323" t="s">
        <v>304</v>
      </c>
      <c r="C323" t="s">
        <v>20</v>
      </c>
      <c r="D323">
        <v>500</v>
      </c>
      <c r="E323">
        <v>200</v>
      </c>
    </row>
    <row r="324" spans="1:6" ht="15" customHeight="1" x14ac:dyDescent="0.25">
      <c r="A324">
        <v>1323</v>
      </c>
      <c r="B324" t="s">
        <v>302</v>
      </c>
      <c r="C324" t="s">
        <v>19</v>
      </c>
      <c r="D324">
        <v>200</v>
      </c>
      <c r="E324">
        <v>100</v>
      </c>
    </row>
    <row r="325" spans="1:6" ht="15" customHeight="1" x14ac:dyDescent="0.25">
      <c r="A325">
        <v>1324</v>
      </c>
      <c r="B325" t="s">
        <v>358</v>
      </c>
      <c r="C325" t="s">
        <v>20</v>
      </c>
      <c r="D325">
        <v>500</v>
      </c>
      <c r="E325">
        <v>200</v>
      </c>
    </row>
    <row r="326" spans="1:6" ht="15" customHeight="1" x14ac:dyDescent="0.25">
      <c r="A326">
        <v>1325</v>
      </c>
      <c r="B326" t="s">
        <v>359</v>
      </c>
      <c r="C326" t="s">
        <v>18</v>
      </c>
      <c r="D326">
        <v>50</v>
      </c>
      <c r="E326">
        <v>30</v>
      </c>
    </row>
    <row r="327" spans="1:6" ht="15" customHeight="1" x14ac:dyDescent="0.25">
      <c r="A327">
        <v>1326</v>
      </c>
      <c r="B327" t="s">
        <v>98</v>
      </c>
      <c r="C327" t="s">
        <v>20</v>
      </c>
      <c r="D327">
        <v>500</v>
      </c>
      <c r="E327">
        <v>200</v>
      </c>
    </row>
    <row r="328" spans="1:6" ht="15" customHeight="1" x14ac:dyDescent="0.25">
      <c r="A328">
        <v>1327</v>
      </c>
      <c r="B328" t="s">
        <v>113</v>
      </c>
      <c r="C328" t="s">
        <v>20</v>
      </c>
      <c r="D328">
        <v>500</v>
      </c>
      <c r="E328">
        <v>200</v>
      </c>
    </row>
    <row r="329" spans="1:6" ht="15" customHeight="1" x14ac:dyDescent="0.25">
      <c r="A329">
        <v>1328</v>
      </c>
      <c r="B329" t="s">
        <v>270</v>
      </c>
      <c r="C329" t="s">
        <v>20</v>
      </c>
      <c r="D329">
        <v>500</v>
      </c>
      <c r="E329">
        <v>200</v>
      </c>
    </row>
    <row r="330" spans="1:6" ht="15" customHeight="1" x14ac:dyDescent="0.25">
      <c r="A330">
        <v>1329</v>
      </c>
      <c r="B330" t="s">
        <v>360</v>
      </c>
      <c r="C330" t="s">
        <v>20</v>
      </c>
      <c r="D330">
        <v>500</v>
      </c>
      <c r="E330">
        <v>200</v>
      </c>
    </row>
    <row r="331" spans="1:6" ht="15" customHeight="1" x14ac:dyDescent="0.25">
      <c r="A331">
        <v>1330</v>
      </c>
      <c r="B331" t="s">
        <v>283</v>
      </c>
      <c r="C331" t="s">
        <v>20</v>
      </c>
      <c r="D331">
        <v>500</v>
      </c>
      <c r="E331">
        <v>200</v>
      </c>
    </row>
    <row r="332" spans="1:6" ht="15" customHeight="1" x14ac:dyDescent="0.25">
      <c r="A332">
        <v>1331</v>
      </c>
      <c r="B332" t="s">
        <v>222</v>
      </c>
      <c r="C332" t="s">
        <v>19</v>
      </c>
      <c r="D332">
        <v>200</v>
      </c>
      <c r="E332">
        <v>100</v>
      </c>
    </row>
    <row r="333" spans="1:6" ht="15" customHeight="1" x14ac:dyDescent="0.25">
      <c r="A333">
        <v>1332</v>
      </c>
      <c r="B333" t="s">
        <v>190</v>
      </c>
      <c r="C333" t="s">
        <v>19</v>
      </c>
      <c r="D333">
        <v>200</v>
      </c>
      <c r="E333">
        <v>100</v>
      </c>
      <c r="F333" t="s">
        <v>237</v>
      </c>
    </row>
    <row r="334" spans="1:6" ht="15" customHeight="1" x14ac:dyDescent="0.25">
      <c r="A334">
        <v>1333</v>
      </c>
      <c r="B334" t="s">
        <v>361</v>
      </c>
      <c r="C334" t="s">
        <v>20</v>
      </c>
      <c r="D334">
        <v>500</v>
      </c>
      <c r="E334">
        <v>200</v>
      </c>
    </row>
    <row r="335" spans="1:6" ht="15" customHeight="1" x14ac:dyDescent="0.25">
      <c r="A335">
        <v>1334</v>
      </c>
      <c r="B335" t="s">
        <v>362</v>
      </c>
      <c r="C335" t="s">
        <v>20</v>
      </c>
      <c r="D335">
        <v>500</v>
      </c>
      <c r="E335">
        <v>200</v>
      </c>
    </row>
    <row r="336" spans="1:6" ht="15" customHeight="1" x14ac:dyDescent="0.25">
      <c r="A336">
        <v>1335</v>
      </c>
      <c r="B336" t="s">
        <v>98</v>
      </c>
      <c r="C336" t="s">
        <v>19</v>
      </c>
      <c r="D336">
        <v>200</v>
      </c>
      <c r="E336">
        <v>100</v>
      </c>
    </row>
    <row r="337" spans="1:6" ht="15" customHeight="1" x14ac:dyDescent="0.25">
      <c r="A337">
        <v>1336</v>
      </c>
      <c r="B337" t="s">
        <v>93</v>
      </c>
      <c r="C337" t="s">
        <v>20</v>
      </c>
      <c r="D337">
        <v>500</v>
      </c>
      <c r="E337">
        <v>200</v>
      </c>
    </row>
    <row r="338" spans="1:6" ht="15" customHeight="1" x14ac:dyDescent="0.25">
      <c r="A338">
        <v>1337</v>
      </c>
      <c r="B338" t="s">
        <v>363</v>
      </c>
      <c r="C338" t="s">
        <v>18</v>
      </c>
      <c r="D338">
        <v>50</v>
      </c>
      <c r="E338">
        <v>30</v>
      </c>
      <c r="F338" t="s">
        <v>364</v>
      </c>
    </row>
    <row r="339" spans="1:6" ht="15" customHeight="1" x14ac:dyDescent="0.25">
      <c r="A339">
        <v>1338</v>
      </c>
      <c r="B339" t="s">
        <v>365</v>
      </c>
      <c r="C339" t="s">
        <v>18</v>
      </c>
      <c r="D339">
        <v>50</v>
      </c>
      <c r="E339">
        <v>30</v>
      </c>
    </row>
    <row r="340" spans="1:6" ht="15" customHeight="1" x14ac:dyDescent="0.25">
      <c r="A340">
        <v>1339</v>
      </c>
      <c r="B340" t="s">
        <v>366</v>
      </c>
      <c r="C340" t="s">
        <v>18</v>
      </c>
      <c r="D340">
        <v>50</v>
      </c>
      <c r="E340">
        <v>30</v>
      </c>
    </row>
    <row r="341" spans="1:6" ht="15" customHeight="1" x14ac:dyDescent="0.25">
      <c r="A341">
        <v>1340</v>
      </c>
      <c r="B341" t="s">
        <v>367</v>
      </c>
      <c r="C341" t="s">
        <v>18</v>
      </c>
      <c r="D341">
        <v>50</v>
      </c>
      <c r="E341">
        <v>30</v>
      </c>
    </row>
    <row r="342" spans="1:6" ht="15" customHeight="1" x14ac:dyDescent="0.25">
      <c r="A342">
        <v>1341</v>
      </c>
      <c r="B342" t="s">
        <v>305</v>
      </c>
      <c r="C342" t="s">
        <v>18</v>
      </c>
      <c r="D342">
        <v>50</v>
      </c>
      <c r="E342">
        <v>30</v>
      </c>
    </row>
    <row r="343" spans="1:6" ht="15" customHeight="1" x14ac:dyDescent="0.25">
      <c r="A343">
        <v>1342</v>
      </c>
      <c r="B343" t="s">
        <v>132</v>
      </c>
      <c r="C343" t="s">
        <v>18</v>
      </c>
      <c r="D343">
        <v>50</v>
      </c>
      <c r="E343">
        <v>30</v>
      </c>
    </row>
    <row r="344" spans="1:6" ht="15" customHeight="1" x14ac:dyDescent="0.25">
      <c r="A344">
        <v>1343</v>
      </c>
      <c r="B344" t="s">
        <v>368</v>
      </c>
      <c r="C344" t="s">
        <v>19</v>
      </c>
      <c r="D344">
        <v>200</v>
      </c>
      <c r="E344">
        <v>100</v>
      </c>
    </row>
    <row r="345" spans="1:6" ht="15" customHeight="1" x14ac:dyDescent="0.25">
      <c r="A345">
        <v>1344</v>
      </c>
      <c r="B345" t="s">
        <v>369</v>
      </c>
      <c r="C345" t="s">
        <v>20</v>
      </c>
      <c r="D345">
        <v>500</v>
      </c>
      <c r="E345">
        <v>200</v>
      </c>
    </row>
    <row r="346" spans="1:6" ht="15" customHeight="1" x14ac:dyDescent="0.25">
      <c r="A346">
        <v>1345</v>
      </c>
      <c r="B346" t="s">
        <v>370</v>
      </c>
      <c r="C346" t="s">
        <v>20</v>
      </c>
      <c r="D346">
        <v>500</v>
      </c>
      <c r="E346">
        <v>200</v>
      </c>
    </row>
    <row r="347" spans="1:6" ht="15" customHeight="1" x14ac:dyDescent="0.25">
      <c r="A347">
        <v>1346</v>
      </c>
      <c r="B347" t="s">
        <v>112</v>
      </c>
      <c r="C347" t="s">
        <v>19</v>
      </c>
      <c r="D347">
        <v>200</v>
      </c>
      <c r="E347">
        <v>100</v>
      </c>
      <c r="F347" t="s">
        <v>371</v>
      </c>
    </row>
    <row r="348" spans="1:6" ht="15" customHeight="1" x14ac:dyDescent="0.25">
      <c r="A348">
        <v>1347</v>
      </c>
      <c r="B348" t="s">
        <v>372</v>
      </c>
      <c r="C348" t="s">
        <v>18</v>
      </c>
      <c r="D348">
        <v>50</v>
      </c>
      <c r="E348">
        <v>30</v>
      </c>
      <c r="F348" t="s">
        <v>144</v>
      </c>
    </row>
    <row r="349" spans="1:6" ht="15" customHeight="1" x14ac:dyDescent="0.25">
      <c r="A349">
        <v>1348</v>
      </c>
      <c r="B349" t="s">
        <v>121</v>
      </c>
      <c r="C349" t="s">
        <v>20</v>
      </c>
      <c r="D349">
        <v>500</v>
      </c>
      <c r="E349">
        <v>200</v>
      </c>
    </row>
    <row r="350" spans="1:6" ht="15" customHeight="1" x14ac:dyDescent="0.25">
      <c r="A350">
        <v>1349</v>
      </c>
      <c r="B350" t="s">
        <v>373</v>
      </c>
      <c r="C350" t="s">
        <v>19</v>
      </c>
      <c r="D350">
        <v>200</v>
      </c>
      <c r="E350">
        <v>100</v>
      </c>
    </row>
    <row r="351" spans="1:6" ht="15" customHeight="1" x14ac:dyDescent="0.25">
      <c r="A351">
        <v>1350</v>
      </c>
      <c r="B351" t="s">
        <v>268</v>
      </c>
      <c r="C351" t="s">
        <v>19</v>
      </c>
      <c r="D351">
        <v>200</v>
      </c>
      <c r="E351">
        <v>100</v>
      </c>
    </row>
    <row r="352" spans="1:6" ht="15" customHeight="1" x14ac:dyDescent="0.25">
      <c r="A352">
        <v>1351</v>
      </c>
      <c r="B352" t="s">
        <v>374</v>
      </c>
      <c r="C352" t="s">
        <v>20</v>
      </c>
      <c r="D352">
        <v>500</v>
      </c>
      <c r="E352">
        <v>200</v>
      </c>
    </row>
    <row r="353" spans="1:6" ht="15" customHeight="1" x14ac:dyDescent="0.25">
      <c r="A353">
        <v>1352</v>
      </c>
      <c r="B353" t="s">
        <v>308</v>
      </c>
      <c r="C353" t="s">
        <v>20</v>
      </c>
      <c r="D353">
        <v>500</v>
      </c>
      <c r="E353">
        <v>200</v>
      </c>
      <c r="F353" t="s">
        <v>375</v>
      </c>
    </row>
    <row r="354" spans="1:6" ht="15" customHeight="1" x14ac:dyDescent="0.25">
      <c r="A354">
        <v>1353</v>
      </c>
      <c r="B354" t="s">
        <v>185</v>
      </c>
      <c r="C354" t="s">
        <v>20</v>
      </c>
      <c r="D354">
        <v>500</v>
      </c>
      <c r="E354">
        <v>200</v>
      </c>
    </row>
    <row r="355" spans="1:6" ht="15" customHeight="1" x14ac:dyDescent="0.25">
      <c r="A355">
        <v>1354</v>
      </c>
      <c r="B355" t="s">
        <v>376</v>
      </c>
      <c r="C355" t="s">
        <v>20</v>
      </c>
      <c r="D355">
        <v>500</v>
      </c>
      <c r="E355">
        <v>200</v>
      </c>
    </row>
    <row r="356" spans="1:6" ht="15" customHeight="1" x14ac:dyDescent="0.25">
      <c r="A356">
        <v>1355</v>
      </c>
      <c r="B356" t="s">
        <v>377</v>
      </c>
      <c r="C356" t="s">
        <v>20</v>
      </c>
      <c r="D356">
        <v>500</v>
      </c>
      <c r="E356">
        <v>200</v>
      </c>
      <c r="F356" t="s">
        <v>212</v>
      </c>
    </row>
    <row r="357" spans="1:6" ht="15" customHeight="1" x14ac:dyDescent="0.25">
      <c r="A357">
        <v>1356</v>
      </c>
      <c r="B357" t="s">
        <v>378</v>
      </c>
      <c r="C357" t="s">
        <v>19</v>
      </c>
      <c r="D357">
        <v>200</v>
      </c>
      <c r="E357">
        <v>100</v>
      </c>
    </row>
    <row r="358" spans="1:6" ht="15" customHeight="1" x14ac:dyDescent="0.25">
      <c r="A358">
        <v>1357</v>
      </c>
      <c r="B358" t="s">
        <v>267</v>
      </c>
      <c r="C358" t="s">
        <v>20</v>
      </c>
      <c r="D358">
        <v>500</v>
      </c>
      <c r="E358">
        <v>200</v>
      </c>
    </row>
    <row r="359" spans="1:6" ht="15" customHeight="1" x14ac:dyDescent="0.25">
      <c r="A359">
        <v>1358</v>
      </c>
      <c r="B359" t="s">
        <v>379</v>
      </c>
      <c r="C359" t="s">
        <v>20</v>
      </c>
      <c r="D359">
        <v>500</v>
      </c>
      <c r="E359">
        <v>200</v>
      </c>
      <c r="F359" t="s">
        <v>102</v>
      </c>
    </row>
    <row r="360" spans="1:6" ht="15" customHeight="1" x14ac:dyDescent="0.25">
      <c r="A360">
        <v>1359</v>
      </c>
      <c r="B360" t="s">
        <v>227</v>
      </c>
      <c r="C360" t="s">
        <v>18</v>
      </c>
      <c r="D360">
        <v>50</v>
      </c>
      <c r="E360">
        <v>30</v>
      </c>
      <c r="F360" t="s">
        <v>121</v>
      </c>
    </row>
    <row r="361" spans="1:6" ht="15" customHeight="1" x14ac:dyDescent="0.25">
      <c r="A361">
        <v>1360</v>
      </c>
      <c r="B361" t="s">
        <v>380</v>
      </c>
      <c r="C361" t="s">
        <v>18</v>
      </c>
      <c r="D361">
        <v>50</v>
      </c>
      <c r="E361">
        <v>30</v>
      </c>
    </row>
    <row r="362" spans="1:6" ht="15" customHeight="1" x14ac:dyDescent="0.25">
      <c r="A362">
        <v>1361</v>
      </c>
      <c r="B362" t="s">
        <v>381</v>
      </c>
      <c r="C362" t="s">
        <v>20</v>
      </c>
      <c r="D362">
        <v>500</v>
      </c>
      <c r="E362">
        <v>200</v>
      </c>
    </row>
    <row r="363" spans="1:6" ht="15" customHeight="1" x14ac:dyDescent="0.25">
      <c r="A363">
        <v>1362</v>
      </c>
      <c r="B363" t="s">
        <v>316</v>
      </c>
      <c r="C363" t="s">
        <v>20</v>
      </c>
      <c r="D363">
        <v>500</v>
      </c>
      <c r="E363">
        <v>200</v>
      </c>
    </row>
    <row r="364" spans="1:6" ht="15" customHeight="1" x14ac:dyDescent="0.25">
      <c r="A364">
        <v>1363</v>
      </c>
      <c r="B364" t="s">
        <v>127</v>
      </c>
      <c r="C364" t="s">
        <v>19</v>
      </c>
      <c r="D364">
        <v>200</v>
      </c>
      <c r="E364">
        <v>100</v>
      </c>
    </row>
    <row r="365" spans="1:6" ht="15" customHeight="1" x14ac:dyDescent="0.25">
      <c r="A365">
        <v>1364</v>
      </c>
      <c r="B365" t="s">
        <v>230</v>
      </c>
      <c r="C365" t="s">
        <v>18</v>
      </c>
      <c r="D365">
        <v>50</v>
      </c>
      <c r="E365">
        <v>30</v>
      </c>
    </row>
    <row r="366" spans="1:6" ht="15" customHeight="1" x14ac:dyDescent="0.25">
      <c r="A366">
        <v>1365</v>
      </c>
      <c r="B366" t="s">
        <v>101</v>
      </c>
      <c r="C366" t="s">
        <v>19</v>
      </c>
      <c r="D366">
        <v>200</v>
      </c>
      <c r="E366">
        <v>100</v>
      </c>
    </row>
    <row r="367" spans="1:6" ht="15" customHeight="1" x14ac:dyDescent="0.25">
      <c r="A367">
        <v>1366</v>
      </c>
      <c r="B367" t="s">
        <v>382</v>
      </c>
      <c r="C367" t="s">
        <v>18</v>
      </c>
      <c r="D367">
        <v>50</v>
      </c>
      <c r="E367">
        <v>30</v>
      </c>
    </row>
    <row r="368" spans="1:6" ht="15" customHeight="1" x14ac:dyDescent="0.25">
      <c r="A368">
        <v>1367</v>
      </c>
      <c r="B368" t="s">
        <v>383</v>
      </c>
      <c r="C368" t="s">
        <v>19</v>
      </c>
      <c r="D368">
        <v>200</v>
      </c>
      <c r="E368">
        <v>100</v>
      </c>
    </row>
    <row r="369" spans="1:6" ht="15" customHeight="1" x14ac:dyDescent="0.25">
      <c r="A369">
        <v>1368</v>
      </c>
      <c r="B369" t="s">
        <v>161</v>
      </c>
      <c r="C369" t="s">
        <v>18</v>
      </c>
      <c r="D369">
        <v>50</v>
      </c>
      <c r="E369">
        <v>30</v>
      </c>
    </row>
    <row r="370" spans="1:6" ht="15" customHeight="1" x14ac:dyDescent="0.25">
      <c r="A370">
        <v>1369</v>
      </c>
      <c r="B370" t="s">
        <v>384</v>
      </c>
      <c r="C370" t="s">
        <v>19</v>
      </c>
      <c r="D370">
        <v>200</v>
      </c>
      <c r="E370">
        <v>100</v>
      </c>
    </row>
    <row r="371" spans="1:6" ht="15" customHeight="1" x14ac:dyDescent="0.25">
      <c r="A371">
        <v>1370</v>
      </c>
      <c r="B371" t="s">
        <v>385</v>
      </c>
      <c r="C371" t="s">
        <v>19</v>
      </c>
      <c r="D371">
        <v>200</v>
      </c>
      <c r="E371">
        <v>100</v>
      </c>
    </row>
    <row r="372" spans="1:6" ht="15" customHeight="1" x14ac:dyDescent="0.25">
      <c r="A372">
        <v>1371</v>
      </c>
      <c r="B372" t="s">
        <v>386</v>
      </c>
      <c r="C372" t="s">
        <v>20</v>
      </c>
      <c r="D372">
        <v>500</v>
      </c>
      <c r="E372">
        <v>200</v>
      </c>
    </row>
    <row r="373" spans="1:6" ht="15" customHeight="1" x14ac:dyDescent="0.25">
      <c r="A373">
        <v>1372</v>
      </c>
      <c r="B373" t="s">
        <v>306</v>
      </c>
      <c r="C373" t="s">
        <v>18</v>
      </c>
      <c r="D373">
        <v>50</v>
      </c>
      <c r="E373">
        <v>30</v>
      </c>
    </row>
    <row r="374" spans="1:6" ht="15" customHeight="1" x14ac:dyDescent="0.25">
      <c r="A374">
        <v>1373</v>
      </c>
      <c r="B374" t="s">
        <v>387</v>
      </c>
      <c r="C374" t="s">
        <v>20</v>
      </c>
      <c r="D374">
        <v>500</v>
      </c>
      <c r="E374">
        <v>200</v>
      </c>
    </row>
    <row r="375" spans="1:6" ht="15" customHeight="1" x14ac:dyDescent="0.25">
      <c r="A375">
        <v>1374</v>
      </c>
      <c r="B375" t="s">
        <v>179</v>
      </c>
      <c r="C375" t="s">
        <v>18</v>
      </c>
      <c r="D375">
        <v>50</v>
      </c>
      <c r="E375">
        <v>30</v>
      </c>
    </row>
    <row r="376" spans="1:6" ht="15" customHeight="1" x14ac:dyDescent="0.25">
      <c r="A376">
        <v>1375</v>
      </c>
      <c r="B376" t="s">
        <v>111</v>
      </c>
      <c r="C376" t="s">
        <v>18</v>
      </c>
      <c r="D376">
        <v>50</v>
      </c>
      <c r="E376">
        <v>30</v>
      </c>
    </row>
    <row r="377" spans="1:6" ht="15" customHeight="1" x14ac:dyDescent="0.25">
      <c r="A377">
        <v>1376</v>
      </c>
      <c r="B377" t="s">
        <v>388</v>
      </c>
      <c r="C377" t="s">
        <v>20</v>
      </c>
      <c r="D377">
        <v>500</v>
      </c>
      <c r="E377">
        <v>200</v>
      </c>
    </row>
    <row r="378" spans="1:6" ht="15" customHeight="1" x14ac:dyDescent="0.25">
      <c r="A378">
        <v>1377</v>
      </c>
      <c r="B378" t="s">
        <v>126</v>
      </c>
      <c r="C378" t="s">
        <v>20</v>
      </c>
      <c r="D378">
        <v>500</v>
      </c>
      <c r="E378">
        <v>200</v>
      </c>
    </row>
    <row r="379" spans="1:6" ht="15" customHeight="1" x14ac:dyDescent="0.25">
      <c r="A379">
        <v>1378</v>
      </c>
      <c r="B379" t="s">
        <v>336</v>
      </c>
      <c r="C379" t="s">
        <v>19</v>
      </c>
      <c r="D379">
        <v>200</v>
      </c>
      <c r="E379">
        <v>100</v>
      </c>
    </row>
    <row r="380" spans="1:6" ht="15" customHeight="1" x14ac:dyDescent="0.25">
      <c r="A380">
        <v>1379</v>
      </c>
      <c r="B380" t="s">
        <v>278</v>
      </c>
      <c r="C380" t="s">
        <v>18</v>
      </c>
      <c r="D380">
        <v>50</v>
      </c>
      <c r="E380">
        <v>30</v>
      </c>
      <c r="F380" t="s">
        <v>389</v>
      </c>
    </row>
    <row r="381" spans="1:6" ht="15" customHeight="1" x14ac:dyDescent="0.25">
      <c r="A381">
        <v>1380</v>
      </c>
      <c r="B381" t="s">
        <v>151</v>
      </c>
      <c r="C381" t="s">
        <v>19</v>
      </c>
      <c r="D381">
        <v>200</v>
      </c>
      <c r="E381">
        <v>100</v>
      </c>
      <c r="F381" t="s">
        <v>299</v>
      </c>
    </row>
    <row r="382" spans="1:6" ht="15" customHeight="1" x14ac:dyDescent="0.25">
      <c r="A382">
        <v>1381</v>
      </c>
      <c r="B382" t="s">
        <v>283</v>
      </c>
      <c r="C382" t="s">
        <v>18</v>
      </c>
      <c r="D382">
        <v>50</v>
      </c>
      <c r="E382">
        <v>30</v>
      </c>
    </row>
    <row r="383" spans="1:6" ht="15" customHeight="1" x14ac:dyDescent="0.25">
      <c r="A383">
        <v>1382</v>
      </c>
      <c r="B383" t="s">
        <v>209</v>
      </c>
      <c r="C383" t="s">
        <v>19</v>
      </c>
      <c r="D383">
        <v>200</v>
      </c>
      <c r="E383">
        <v>100</v>
      </c>
      <c r="F383" t="s">
        <v>390</v>
      </c>
    </row>
    <row r="384" spans="1:6" ht="15" customHeight="1" x14ac:dyDescent="0.25">
      <c r="A384">
        <v>1383</v>
      </c>
      <c r="B384" t="s">
        <v>146</v>
      </c>
      <c r="C384" t="s">
        <v>18</v>
      </c>
      <c r="D384">
        <v>50</v>
      </c>
      <c r="E384">
        <v>30</v>
      </c>
    </row>
    <row r="385" spans="1:6" ht="15" customHeight="1" x14ac:dyDescent="0.25">
      <c r="A385">
        <v>1384</v>
      </c>
      <c r="B385" t="s">
        <v>391</v>
      </c>
      <c r="C385" t="s">
        <v>18</v>
      </c>
      <c r="D385">
        <v>50</v>
      </c>
      <c r="E385">
        <v>30</v>
      </c>
    </row>
    <row r="386" spans="1:6" ht="15" customHeight="1" x14ac:dyDescent="0.25">
      <c r="A386">
        <v>1385</v>
      </c>
      <c r="B386" t="s">
        <v>284</v>
      </c>
      <c r="C386" t="s">
        <v>18</v>
      </c>
      <c r="D386">
        <v>50</v>
      </c>
      <c r="E386">
        <v>30</v>
      </c>
    </row>
    <row r="387" spans="1:6" ht="15" customHeight="1" x14ac:dyDescent="0.25">
      <c r="A387">
        <v>1386</v>
      </c>
      <c r="B387" t="s">
        <v>392</v>
      </c>
      <c r="C387" t="s">
        <v>20</v>
      </c>
      <c r="D387">
        <v>500</v>
      </c>
      <c r="E387">
        <v>200</v>
      </c>
      <c r="F387" t="s">
        <v>393</v>
      </c>
    </row>
    <row r="388" spans="1:6" ht="15" customHeight="1" x14ac:dyDescent="0.25">
      <c r="A388">
        <v>1387</v>
      </c>
      <c r="B388" t="s">
        <v>188</v>
      </c>
      <c r="C388" t="s">
        <v>20</v>
      </c>
      <c r="D388">
        <v>500</v>
      </c>
      <c r="E388">
        <v>200</v>
      </c>
    </row>
    <row r="389" spans="1:6" ht="15" customHeight="1" x14ac:dyDescent="0.25">
      <c r="A389">
        <v>1388</v>
      </c>
      <c r="B389" t="s">
        <v>394</v>
      </c>
      <c r="C389" t="s">
        <v>18</v>
      </c>
      <c r="D389">
        <v>50</v>
      </c>
      <c r="E389">
        <v>30</v>
      </c>
    </row>
    <row r="390" spans="1:6" ht="15" customHeight="1" x14ac:dyDescent="0.25">
      <c r="A390">
        <v>1389</v>
      </c>
      <c r="B390" t="s">
        <v>395</v>
      </c>
      <c r="C390" t="s">
        <v>18</v>
      </c>
      <c r="D390">
        <v>50</v>
      </c>
      <c r="E390">
        <v>30</v>
      </c>
    </row>
    <row r="391" spans="1:6" ht="15" customHeight="1" x14ac:dyDescent="0.25">
      <c r="A391">
        <v>1390</v>
      </c>
      <c r="B391" t="s">
        <v>102</v>
      </c>
      <c r="C391" t="s">
        <v>19</v>
      </c>
      <c r="D391">
        <v>200</v>
      </c>
      <c r="E391">
        <v>100</v>
      </c>
    </row>
    <row r="392" spans="1:6" ht="15" customHeight="1" x14ac:dyDescent="0.25">
      <c r="A392">
        <v>1391</v>
      </c>
      <c r="B392" t="s">
        <v>396</v>
      </c>
      <c r="C392" t="s">
        <v>19</v>
      </c>
      <c r="D392">
        <v>200</v>
      </c>
      <c r="E392">
        <v>100</v>
      </c>
    </row>
    <row r="393" spans="1:6" ht="15" customHeight="1" x14ac:dyDescent="0.25">
      <c r="A393">
        <v>1392</v>
      </c>
      <c r="B393" t="s">
        <v>397</v>
      </c>
      <c r="C393" t="s">
        <v>19</v>
      </c>
      <c r="D393">
        <v>200</v>
      </c>
      <c r="E393">
        <v>100</v>
      </c>
    </row>
    <row r="394" spans="1:6" ht="15" customHeight="1" x14ac:dyDescent="0.25">
      <c r="A394">
        <v>1393</v>
      </c>
      <c r="B394" t="s">
        <v>245</v>
      </c>
      <c r="C394" t="s">
        <v>20</v>
      </c>
      <c r="D394">
        <v>500</v>
      </c>
      <c r="E394">
        <v>200</v>
      </c>
      <c r="F394" t="s">
        <v>331</v>
      </c>
    </row>
    <row r="395" spans="1:6" ht="15" customHeight="1" x14ac:dyDescent="0.25">
      <c r="A395">
        <v>1394</v>
      </c>
      <c r="B395" t="s">
        <v>352</v>
      </c>
      <c r="C395" t="s">
        <v>18</v>
      </c>
      <c r="D395">
        <v>50</v>
      </c>
      <c r="E395">
        <v>30</v>
      </c>
    </row>
    <row r="396" spans="1:6" ht="15" customHeight="1" x14ac:dyDescent="0.25">
      <c r="A396">
        <v>1395</v>
      </c>
      <c r="B396" t="s">
        <v>398</v>
      </c>
      <c r="C396" t="s">
        <v>20</v>
      </c>
      <c r="D396">
        <v>500</v>
      </c>
      <c r="E396">
        <v>200</v>
      </c>
    </row>
    <row r="397" spans="1:6" ht="15" customHeight="1" x14ac:dyDescent="0.25">
      <c r="A397">
        <v>1396</v>
      </c>
      <c r="B397" t="s">
        <v>399</v>
      </c>
      <c r="C397" t="s">
        <v>20</v>
      </c>
      <c r="D397">
        <v>500</v>
      </c>
      <c r="E397">
        <v>200</v>
      </c>
    </row>
    <row r="398" spans="1:6" ht="15" customHeight="1" x14ac:dyDescent="0.25">
      <c r="A398">
        <v>1397</v>
      </c>
      <c r="B398" t="s">
        <v>135</v>
      </c>
      <c r="C398" t="s">
        <v>18</v>
      </c>
      <c r="D398">
        <v>50</v>
      </c>
      <c r="E398">
        <v>30</v>
      </c>
      <c r="F398" t="s">
        <v>329</v>
      </c>
    </row>
    <row r="399" spans="1:6" ht="15" customHeight="1" x14ac:dyDescent="0.25">
      <c r="A399">
        <v>1398</v>
      </c>
      <c r="B399" t="s">
        <v>400</v>
      </c>
      <c r="C399" t="s">
        <v>19</v>
      </c>
      <c r="D399">
        <v>200</v>
      </c>
      <c r="E399">
        <v>100</v>
      </c>
    </row>
    <row r="400" spans="1:6" ht="15" customHeight="1" x14ac:dyDescent="0.25">
      <c r="A400">
        <v>1399</v>
      </c>
      <c r="B400" t="s">
        <v>265</v>
      </c>
      <c r="C400" t="s">
        <v>19</v>
      </c>
      <c r="D400">
        <v>200</v>
      </c>
      <c r="E400">
        <v>100</v>
      </c>
    </row>
    <row r="401" spans="1:6" ht="15" customHeight="1" x14ac:dyDescent="0.25">
      <c r="A401">
        <v>1400</v>
      </c>
      <c r="B401" t="s">
        <v>220</v>
      </c>
      <c r="C401" t="s">
        <v>20</v>
      </c>
      <c r="D401">
        <v>500</v>
      </c>
      <c r="E401">
        <v>200</v>
      </c>
    </row>
    <row r="402" spans="1:6" ht="15" customHeight="1" x14ac:dyDescent="0.25">
      <c r="A402">
        <v>1401</v>
      </c>
      <c r="B402" t="s">
        <v>383</v>
      </c>
      <c r="C402" t="s">
        <v>20</v>
      </c>
      <c r="D402">
        <v>500</v>
      </c>
      <c r="E402">
        <v>200</v>
      </c>
      <c r="F402" t="s">
        <v>286</v>
      </c>
    </row>
    <row r="403" spans="1:6" ht="15" customHeight="1" x14ac:dyDescent="0.25">
      <c r="A403">
        <v>1402</v>
      </c>
      <c r="B403" t="s">
        <v>337</v>
      </c>
      <c r="C403" t="s">
        <v>18</v>
      </c>
      <c r="D403">
        <v>50</v>
      </c>
      <c r="E403">
        <v>30</v>
      </c>
    </row>
    <row r="404" spans="1:6" ht="15" customHeight="1" x14ac:dyDescent="0.25">
      <c r="A404">
        <v>1403</v>
      </c>
      <c r="B404" t="s">
        <v>401</v>
      </c>
      <c r="C404" t="s">
        <v>19</v>
      </c>
      <c r="D404">
        <v>200</v>
      </c>
      <c r="E404">
        <v>100</v>
      </c>
      <c r="F404" t="s">
        <v>329</v>
      </c>
    </row>
    <row r="405" spans="1:6" ht="15" customHeight="1" x14ac:dyDescent="0.25">
      <c r="A405">
        <v>1404</v>
      </c>
      <c r="B405" t="s">
        <v>402</v>
      </c>
      <c r="C405" t="s">
        <v>18</v>
      </c>
      <c r="D405">
        <v>50</v>
      </c>
      <c r="E405">
        <v>30</v>
      </c>
      <c r="F405" t="s">
        <v>403</v>
      </c>
    </row>
    <row r="406" spans="1:6" ht="15" customHeight="1" x14ac:dyDescent="0.25">
      <c r="A406">
        <v>1405</v>
      </c>
      <c r="B406" t="s">
        <v>404</v>
      </c>
      <c r="C406" t="s">
        <v>20</v>
      </c>
      <c r="D406">
        <v>500</v>
      </c>
      <c r="E406">
        <v>200</v>
      </c>
    </row>
    <row r="407" spans="1:6" ht="15" customHeight="1" x14ac:dyDescent="0.25">
      <c r="A407">
        <v>1406</v>
      </c>
      <c r="B407" t="s">
        <v>156</v>
      </c>
      <c r="C407" t="s">
        <v>18</v>
      </c>
      <c r="D407">
        <v>50</v>
      </c>
      <c r="E407">
        <v>30</v>
      </c>
    </row>
    <row r="408" spans="1:6" ht="15" customHeight="1" x14ac:dyDescent="0.25">
      <c r="A408">
        <v>1407</v>
      </c>
      <c r="B408" t="s">
        <v>90</v>
      </c>
      <c r="C408" t="s">
        <v>20</v>
      </c>
      <c r="D408">
        <v>500</v>
      </c>
      <c r="E408">
        <v>200</v>
      </c>
    </row>
    <row r="409" spans="1:6" ht="15" customHeight="1" x14ac:dyDescent="0.25">
      <c r="A409">
        <v>1408</v>
      </c>
      <c r="B409" t="s">
        <v>405</v>
      </c>
      <c r="C409" t="s">
        <v>19</v>
      </c>
      <c r="D409">
        <v>200</v>
      </c>
      <c r="E409">
        <v>100</v>
      </c>
    </row>
    <row r="410" spans="1:6" ht="15" customHeight="1" x14ac:dyDescent="0.25">
      <c r="A410">
        <v>1409</v>
      </c>
      <c r="B410" t="s">
        <v>406</v>
      </c>
      <c r="C410" t="s">
        <v>18</v>
      </c>
      <c r="D410">
        <v>50</v>
      </c>
      <c r="E410">
        <v>30</v>
      </c>
    </row>
    <row r="411" spans="1:6" ht="15" customHeight="1" x14ac:dyDescent="0.25">
      <c r="A411">
        <v>1410</v>
      </c>
      <c r="B411" t="s">
        <v>230</v>
      </c>
      <c r="C411" t="s">
        <v>19</v>
      </c>
      <c r="D411">
        <v>200</v>
      </c>
      <c r="E411">
        <v>100</v>
      </c>
    </row>
    <row r="412" spans="1:6" ht="15" customHeight="1" x14ac:dyDescent="0.25">
      <c r="A412">
        <v>1411</v>
      </c>
      <c r="B412" t="s">
        <v>407</v>
      </c>
      <c r="C412" t="s">
        <v>19</v>
      </c>
      <c r="D412">
        <v>200</v>
      </c>
      <c r="E412">
        <v>100</v>
      </c>
    </row>
    <row r="413" spans="1:6" ht="15" customHeight="1" x14ac:dyDescent="0.25">
      <c r="A413">
        <v>1412</v>
      </c>
      <c r="B413" t="s">
        <v>342</v>
      </c>
      <c r="C413" t="s">
        <v>19</v>
      </c>
      <c r="D413">
        <v>200</v>
      </c>
      <c r="E413">
        <v>100</v>
      </c>
    </row>
    <row r="414" spans="1:6" ht="15" customHeight="1" x14ac:dyDescent="0.25">
      <c r="A414">
        <v>1413</v>
      </c>
      <c r="B414" t="s">
        <v>408</v>
      </c>
      <c r="C414" t="s">
        <v>19</v>
      </c>
      <c r="D414">
        <v>200</v>
      </c>
      <c r="E414">
        <v>100</v>
      </c>
    </row>
    <row r="415" spans="1:6" ht="15" customHeight="1" x14ac:dyDescent="0.25">
      <c r="A415">
        <v>1414</v>
      </c>
      <c r="B415" t="s">
        <v>140</v>
      </c>
      <c r="C415" t="s">
        <v>20</v>
      </c>
      <c r="D415">
        <v>500</v>
      </c>
      <c r="E415">
        <v>200</v>
      </c>
      <c r="F415" t="s">
        <v>409</v>
      </c>
    </row>
    <row r="416" spans="1:6" ht="15" customHeight="1" x14ac:dyDescent="0.25">
      <c r="A416">
        <v>1415</v>
      </c>
      <c r="B416" t="s">
        <v>410</v>
      </c>
      <c r="C416" t="s">
        <v>18</v>
      </c>
      <c r="D416">
        <v>50</v>
      </c>
      <c r="E416">
        <v>30</v>
      </c>
    </row>
    <row r="417" spans="1:6" ht="15" customHeight="1" x14ac:dyDescent="0.25">
      <c r="A417">
        <v>1416</v>
      </c>
      <c r="B417" t="s">
        <v>411</v>
      </c>
      <c r="C417" t="s">
        <v>19</v>
      </c>
      <c r="D417">
        <v>200</v>
      </c>
      <c r="E417">
        <v>100</v>
      </c>
    </row>
    <row r="418" spans="1:6" ht="15" customHeight="1" x14ac:dyDescent="0.25">
      <c r="A418">
        <v>1417</v>
      </c>
      <c r="B418" t="s">
        <v>412</v>
      </c>
      <c r="C418" t="s">
        <v>19</v>
      </c>
      <c r="D418">
        <v>200</v>
      </c>
      <c r="E418">
        <v>100</v>
      </c>
    </row>
    <row r="419" spans="1:6" ht="15" customHeight="1" x14ac:dyDescent="0.25">
      <c r="A419">
        <v>1418</v>
      </c>
      <c r="B419" t="s">
        <v>413</v>
      </c>
      <c r="C419" t="s">
        <v>19</v>
      </c>
      <c r="D419">
        <v>200</v>
      </c>
      <c r="E419">
        <v>100</v>
      </c>
    </row>
    <row r="420" spans="1:6" ht="15" customHeight="1" x14ac:dyDescent="0.25">
      <c r="A420">
        <v>1419</v>
      </c>
      <c r="B420" t="s">
        <v>414</v>
      </c>
      <c r="C420" t="s">
        <v>19</v>
      </c>
      <c r="D420">
        <v>200</v>
      </c>
      <c r="E420">
        <v>100</v>
      </c>
      <c r="F420" t="s">
        <v>99</v>
      </c>
    </row>
    <row r="421" spans="1:6" ht="15" customHeight="1" x14ac:dyDescent="0.25">
      <c r="A421">
        <v>1420</v>
      </c>
      <c r="B421" t="s">
        <v>415</v>
      </c>
      <c r="C421" t="s">
        <v>18</v>
      </c>
      <c r="D421">
        <v>50</v>
      </c>
      <c r="E421">
        <v>30</v>
      </c>
    </row>
    <row r="422" spans="1:6" ht="15" customHeight="1" x14ac:dyDescent="0.25">
      <c r="A422">
        <v>1421</v>
      </c>
      <c r="B422" t="s">
        <v>239</v>
      </c>
      <c r="C422" t="s">
        <v>20</v>
      </c>
      <c r="D422">
        <v>500</v>
      </c>
      <c r="E422">
        <v>200</v>
      </c>
    </row>
    <row r="423" spans="1:6" ht="15" customHeight="1" x14ac:dyDescent="0.25">
      <c r="A423">
        <v>1422</v>
      </c>
      <c r="B423" t="s">
        <v>309</v>
      </c>
      <c r="C423" t="s">
        <v>20</v>
      </c>
      <c r="D423">
        <v>500</v>
      </c>
      <c r="E423">
        <v>200</v>
      </c>
    </row>
    <row r="424" spans="1:6" ht="15" customHeight="1" x14ac:dyDescent="0.25">
      <c r="A424">
        <v>1423</v>
      </c>
      <c r="B424" t="s">
        <v>339</v>
      </c>
      <c r="C424" t="s">
        <v>18</v>
      </c>
      <c r="D424">
        <v>50</v>
      </c>
      <c r="E424">
        <v>30</v>
      </c>
    </row>
    <row r="425" spans="1:6" ht="15" customHeight="1" x14ac:dyDescent="0.25">
      <c r="A425">
        <v>1424</v>
      </c>
      <c r="B425" t="s">
        <v>233</v>
      </c>
      <c r="C425" t="s">
        <v>20</v>
      </c>
      <c r="D425">
        <v>500</v>
      </c>
      <c r="E425">
        <v>200</v>
      </c>
      <c r="F425" t="s">
        <v>118</v>
      </c>
    </row>
    <row r="426" spans="1:6" ht="15" customHeight="1" x14ac:dyDescent="0.25">
      <c r="A426">
        <v>1425</v>
      </c>
      <c r="B426" t="s">
        <v>265</v>
      </c>
      <c r="C426" t="s">
        <v>20</v>
      </c>
      <c r="D426">
        <v>500</v>
      </c>
      <c r="E426">
        <v>200</v>
      </c>
    </row>
    <row r="427" spans="1:6" ht="15" customHeight="1" x14ac:dyDescent="0.25">
      <c r="A427">
        <v>1426</v>
      </c>
      <c r="B427" t="s">
        <v>247</v>
      </c>
      <c r="C427" t="s">
        <v>20</v>
      </c>
      <c r="D427">
        <v>500</v>
      </c>
      <c r="E427">
        <v>200</v>
      </c>
    </row>
    <row r="428" spans="1:6" ht="15" customHeight="1" x14ac:dyDescent="0.25">
      <c r="A428">
        <v>1427</v>
      </c>
      <c r="B428" t="s">
        <v>131</v>
      </c>
      <c r="C428" t="s">
        <v>19</v>
      </c>
      <c r="D428">
        <v>200</v>
      </c>
      <c r="E428">
        <v>100</v>
      </c>
    </row>
    <row r="429" spans="1:6" ht="15" customHeight="1" x14ac:dyDescent="0.25">
      <c r="A429">
        <v>1428</v>
      </c>
      <c r="B429" t="s">
        <v>416</v>
      </c>
      <c r="C429" t="s">
        <v>20</v>
      </c>
      <c r="D429">
        <v>500</v>
      </c>
      <c r="E429">
        <v>200</v>
      </c>
      <c r="F429" t="s">
        <v>100</v>
      </c>
    </row>
    <row r="430" spans="1:6" ht="15" customHeight="1" x14ac:dyDescent="0.25">
      <c r="A430">
        <v>1429</v>
      </c>
      <c r="B430" t="s">
        <v>216</v>
      </c>
      <c r="C430" t="s">
        <v>18</v>
      </c>
      <c r="D430">
        <v>50</v>
      </c>
      <c r="E430">
        <v>30</v>
      </c>
    </row>
    <row r="431" spans="1:6" ht="15" customHeight="1" x14ac:dyDescent="0.25">
      <c r="A431">
        <v>1430</v>
      </c>
      <c r="B431" t="s">
        <v>417</v>
      </c>
      <c r="C431" t="s">
        <v>18</v>
      </c>
      <c r="D431">
        <v>50</v>
      </c>
      <c r="E431">
        <v>30</v>
      </c>
    </row>
    <row r="432" spans="1:6" ht="15" customHeight="1" x14ac:dyDescent="0.25">
      <c r="A432">
        <v>1431</v>
      </c>
      <c r="B432" t="s">
        <v>418</v>
      </c>
      <c r="C432" t="s">
        <v>19</v>
      </c>
      <c r="D432">
        <v>200</v>
      </c>
      <c r="E432">
        <v>100</v>
      </c>
    </row>
    <row r="433" spans="1:6" ht="15" customHeight="1" x14ac:dyDescent="0.25">
      <c r="A433">
        <v>1432</v>
      </c>
      <c r="B433" t="s">
        <v>160</v>
      </c>
      <c r="C433" t="s">
        <v>19</v>
      </c>
      <c r="D433">
        <v>200</v>
      </c>
      <c r="E433">
        <v>100</v>
      </c>
    </row>
    <row r="434" spans="1:6" ht="15" customHeight="1" x14ac:dyDescent="0.25">
      <c r="A434">
        <v>1433</v>
      </c>
      <c r="B434" t="s">
        <v>419</v>
      </c>
      <c r="C434" t="s">
        <v>19</v>
      </c>
      <c r="D434">
        <v>200</v>
      </c>
      <c r="E434">
        <v>100</v>
      </c>
    </row>
    <row r="435" spans="1:6" ht="15" customHeight="1" x14ac:dyDescent="0.25">
      <c r="A435">
        <v>1434</v>
      </c>
      <c r="B435" t="s">
        <v>420</v>
      </c>
      <c r="C435" t="s">
        <v>19</v>
      </c>
      <c r="D435">
        <v>200</v>
      </c>
      <c r="E435">
        <v>100</v>
      </c>
    </row>
    <row r="436" spans="1:6" ht="15" customHeight="1" x14ac:dyDescent="0.25">
      <c r="A436">
        <v>1435</v>
      </c>
      <c r="B436" t="s">
        <v>355</v>
      </c>
      <c r="C436" t="s">
        <v>19</v>
      </c>
      <c r="D436">
        <v>200</v>
      </c>
      <c r="E436">
        <v>100</v>
      </c>
    </row>
    <row r="437" spans="1:6" ht="15" customHeight="1" x14ac:dyDescent="0.25">
      <c r="A437">
        <v>1436</v>
      </c>
      <c r="B437" t="s">
        <v>421</v>
      </c>
      <c r="C437" t="s">
        <v>20</v>
      </c>
      <c r="D437">
        <v>500</v>
      </c>
      <c r="E437">
        <v>200</v>
      </c>
    </row>
    <row r="438" spans="1:6" ht="15" customHeight="1" x14ac:dyDescent="0.25">
      <c r="A438">
        <v>1437</v>
      </c>
      <c r="B438" t="s">
        <v>422</v>
      </c>
      <c r="C438" t="s">
        <v>18</v>
      </c>
      <c r="D438">
        <v>50</v>
      </c>
      <c r="E438">
        <v>30</v>
      </c>
    </row>
    <row r="439" spans="1:6" ht="15" customHeight="1" x14ac:dyDescent="0.25">
      <c r="A439">
        <v>1438</v>
      </c>
      <c r="B439" t="s">
        <v>263</v>
      </c>
      <c r="C439" t="s">
        <v>19</v>
      </c>
      <c r="D439">
        <v>200</v>
      </c>
      <c r="E439">
        <v>100</v>
      </c>
      <c r="F439" t="s">
        <v>423</v>
      </c>
    </row>
    <row r="440" spans="1:6" ht="15" customHeight="1" x14ac:dyDescent="0.25">
      <c r="A440">
        <v>1439</v>
      </c>
      <c r="B440" t="s">
        <v>424</v>
      </c>
      <c r="C440" t="s">
        <v>20</v>
      </c>
      <c r="D440">
        <v>500</v>
      </c>
      <c r="E440">
        <v>200</v>
      </c>
    </row>
    <row r="441" spans="1:6" ht="15" customHeight="1" x14ac:dyDescent="0.25">
      <c r="A441">
        <v>1440</v>
      </c>
      <c r="B441" t="s">
        <v>221</v>
      </c>
      <c r="C441" t="s">
        <v>20</v>
      </c>
      <c r="D441">
        <v>500</v>
      </c>
      <c r="E441">
        <v>200</v>
      </c>
    </row>
    <row r="442" spans="1:6" ht="15" customHeight="1" x14ac:dyDescent="0.25">
      <c r="A442">
        <v>1441</v>
      </c>
      <c r="B442" t="s">
        <v>425</v>
      </c>
      <c r="C442" t="s">
        <v>19</v>
      </c>
      <c r="D442">
        <v>200</v>
      </c>
      <c r="E442">
        <v>100</v>
      </c>
    </row>
    <row r="443" spans="1:6" ht="15" customHeight="1" x14ac:dyDescent="0.25">
      <c r="A443">
        <v>1442</v>
      </c>
      <c r="B443" t="s">
        <v>195</v>
      </c>
      <c r="C443" t="s">
        <v>18</v>
      </c>
      <c r="D443">
        <v>50</v>
      </c>
      <c r="E443">
        <v>30</v>
      </c>
      <c r="F443" t="s">
        <v>209</v>
      </c>
    </row>
    <row r="444" spans="1:6" ht="15" customHeight="1" x14ac:dyDescent="0.25">
      <c r="A444">
        <v>1443</v>
      </c>
      <c r="B444" t="s">
        <v>156</v>
      </c>
      <c r="C444" t="s">
        <v>20</v>
      </c>
      <c r="D444">
        <v>500</v>
      </c>
      <c r="E444">
        <v>200</v>
      </c>
      <c r="F444" t="s">
        <v>426</v>
      </c>
    </row>
    <row r="445" spans="1:6" ht="15" customHeight="1" x14ac:dyDescent="0.25">
      <c r="A445">
        <v>1444</v>
      </c>
      <c r="B445" t="s">
        <v>427</v>
      </c>
      <c r="C445" t="s">
        <v>18</v>
      </c>
      <c r="D445">
        <v>50</v>
      </c>
      <c r="E445">
        <v>30</v>
      </c>
    </row>
    <row r="446" spans="1:6" ht="15" customHeight="1" x14ac:dyDescent="0.25">
      <c r="A446">
        <v>1445</v>
      </c>
      <c r="B446" t="s">
        <v>428</v>
      </c>
      <c r="C446" t="s">
        <v>19</v>
      </c>
      <c r="D446">
        <v>200</v>
      </c>
      <c r="E446">
        <v>100</v>
      </c>
    </row>
    <row r="447" spans="1:6" ht="15" customHeight="1" x14ac:dyDescent="0.25">
      <c r="A447">
        <v>1446</v>
      </c>
      <c r="B447" t="s">
        <v>130</v>
      </c>
      <c r="C447" t="s">
        <v>19</v>
      </c>
      <c r="D447">
        <v>200</v>
      </c>
      <c r="E447">
        <v>100</v>
      </c>
    </row>
    <row r="448" spans="1:6" ht="15" customHeight="1" x14ac:dyDescent="0.25">
      <c r="A448">
        <v>1447</v>
      </c>
      <c r="B448" t="s">
        <v>337</v>
      </c>
      <c r="C448" t="s">
        <v>19</v>
      </c>
      <c r="D448">
        <v>200</v>
      </c>
      <c r="E448">
        <v>100</v>
      </c>
    </row>
    <row r="449" spans="1:6" ht="15" customHeight="1" x14ac:dyDescent="0.25">
      <c r="A449">
        <v>1448</v>
      </c>
      <c r="B449" t="s">
        <v>147</v>
      </c>
      <c r="C449" t="s">
        <v>19</v>
      </c>
      <c r="D449">
        <v>200</v>
      </c>
      <c r="E449">
        <v>100</v>
      </c>
      <c r="F449" t="s">
        <v>278</v>
      </c>
    </row>
    <row r="450" spans="1:6" ht="15" customHeight="1" x14ac:dyDescent="0.25">
      <c r="A450">
        <v>1449</v>
      </c>
      <c r="B450" t="s">
        <v>105</v>
      </c>
      <c r="C450" t="s">
        <v>20</v>
      </c>
      <c r="D450">
        <v>500</v>
      </c>
      <c r="E450">
        <v>200</v>
      </c>
    </row>
    <row r="451" spans="1:6" ht="15" customHeight="1" x14ac:dyDescent="0.25">
      <c r="A451">
        <v>1450</v>
      </c>
      <c r="B451" t="s">
        <v>398</v>
      </c>
      <c r="C451" t="s">
        <v>18</v>
      </c>
      <c r="D451">
        <v>50</v>
      </c>
      <c r="E451">
        <v>30</v>
      </c>
      <c r="F451" t="s">
        <v>233</v>
      </c>
    </row>
    <row r="452" spans="1:6" ht="15" customHeight="1" x14ac:dyDescent="0.25">
      <c r="A452">
        <v>1451</v>
      </c>
      <c r="B452" t="s">
        <v>303</v>
      </c>
      <c r="C452" t="s">
        <v>18</v>
      </c>
      <c r="D452">
        <v>50</v>
      </c>
      <c r="E452">
        <v>30</v>
      </c>
    </row>
    <row r="453" spans="1:6" ht="15" customHeight="1" x14ac:dyDescent="0.25">
      <c r="A453">
        <v>1452</v>
      </c>
      <c r="B453" t="s">
        <v>113</v>
      </c>
      <c r="C453" t="s">
        <v>19</v>
      </c>
      <c r="D453">
        <v>200</v>
      </c>
      <c r="E453">
        <v>100</v>
      </c>
    </row>
    <row r="454" spans="1:6" ht="15" customHeight="1" x14ac:dyDescent="0.25">
      <c r="A454">
        <v>1453</v>
      </c>
      <c r="B454" t="s">
        <v>227</v>
      </c>
      <c r="C454" t="s">
        <v>20</v>
      </c>
      <c r="D454">
        <v>500</v>
      </c>
      <c r="E454">
        <v>200</v>
      </c>
      <c r="F454" t="s">
        <v>254</v>
      </c>
    </row>
    <row r="455" spans="1:6" ht="15" customHeight="1" x14ac:dyDescent="0.25">
      <c r="A455">
        <v>1454</v>
      </c>
      <c r="B455" t="s">
        <v>174</v>
      </c>
      <c r="C455" t="s">
        <v>20</v>
      </c>
      <c r="D455">
        <v>500</v>
      </c>
      <c r="E455">
        <v>200</v>
      </c>
    </row>
    <row r="456" spans="1:6" ht="15" customHeight="1" x14ac:dyDescent="0.25">
      <c r="A456">
        <v>1455</v>
      </c>
      <c r="B456" t="s">
        <v>122</v>
      </c>
      <c r="C456" t="s">
        <v>20</v>
      </c>
      <c r="D456">
        <v>500</v>
      </c>
      <c r="E456">
        <v>200</v>
      </c>
    </row>
    <row r="457" spans="1:6" ht="15" customHeight="1" x14ac:dyDescent="0.25">
      <c r="A457">
        <v>1456</v>
      </c>
      <c r="B457" t="s">
        <v>203</v>
      </c>
      <c r="C457" t="s">
        <v>20</v>
      </c>
      <c r="D457">
        <v>500</v>
      </c>
      <c r="E457">
        <v>200</v>
      </c>
    </row>
    <row r="458" spans="1:6" ht="15" customHeight="1" x14ac:dyDescent="0.25">
      <c r="A458">
        <v>1457</v>
      </c>
      <c r="B458" t="s">
        <v>248</v>
      </c>
      <c r="C458" t="s">
        <v>20</v>
      </c>
      <c r="D458">
        <v>500</v>
      </c>
      <c r="E458">
        <v>200</v>
      </c>
      <c r="F458" t="s">
        <v>154</v>
      </c>
    </row>
    <row r="459" spans="1:6" ht="15" customHeight="1" x14ac:dyDescent="0.25">
      <c r="A459">
        <v>1458</v>
      </c>
      <c r="B459" t="s">
        <v>429</v>
      </c>
      <c r="C459" t="s">
        <v>20</v>
      </c>
      <c r="D459">
        <v>500</v>
      </c>
      <c r="E459">
        <v>200</v>
      </c>
    </row>
    <row r="460" spans="1:6" ht="15" customHeight="1" x14ac:dyDescent="0.25">
      <c r="A460">
        <v>1459</v>
      </c>
      <c r="B460" t="s">
        <v>357</v>
      </c>
      <c r="C460" t="s">
        <v>18</v>
      </c>
      <c r="D460">
        <v>50</v>
      </c>
      <c r="E460">
        <v>30</v>
      </c>
    </row>
    <row r="461" spans="1:6" ht="15" customHeight="1" x14ac:dyDescent="0.25">
      <c r="A461">
        <v>1460</v>
      </c>
      <c r="B461" t="s">
        <v>194</v>
      </c>
      <c r="C461" t="s">
        <v>18</v>
      </c>
      <c r="D461">
        <v>50</v>
      </c>
      <c r="E461">
        <v>30</v>
      </c>
    </row>
    <row r="462" spans="1:6" ht="15" customHeight="1" x14ac:dyDescent="0.25">
      <c r="A462">
        <v>1461</v>
      </c>
      <c r="B462" t="s">
        <v>390</v>
      </c>
      <c r="C462" t="s">
        <v>20</v>
      </c>
      <c r="D462">
        <v>500</v>
      </c>
      <c r="E462">
        <v>200</v>
      </c>
    </row>
    <row r="463" spans="1:6" ht="15" customHeight="1" x14ac:dyDescent="0.25">
      <c r="A463">
        <v>1462</v>
      </c>
      <c r="B463" t="s">
        <v>106</v>
      </c>
      <c r="C463" t="s">
        <v>19</v>
      </c>
      <c r="D463">
        <v>200</v>
      </c>
      <c r="E463">
        <v>100</v>
      </c>
    </row>
    <row r="464" spans="1:6" ht="15" customHeight="1" x14ac:dyDescent="0.25">
      <c r="A464">
        <v>1463</v>
      </c>
      <c r="B464" t="s">
        <v>430</v>
      </c>
      <c r="C464" t="s">
        <v>19</v>
      </c>
      <c r="D464">
        <v>200</v>
      </c>
      <c r="E464">
        <v>100</v>
      </c>
    </row>
    <row r="465" spans="1:6" ht="15" customHeight="1" x14ac:dyDescent="0.25">
      <c r="A465">
        <v>1464</v>
      </c>
      <c r="B465" t="s">
        <v>330</v>
      </c>
      <c r="C465" t="s">
        <v>18</v>
      </c>
      <c r="D465">
        <v>50</v>
      </c>
      <c r="E465">
        <v>30</v>
      </c>
    </row>
    <row r="466" spans="1:6" ht="15" customHeight="1" x14ac:dyDescent="0.25">
      <c r="A466">
        <v>1465</v>
      </c>
      <c r="B466" t="s">
        <v>431</v>
      </c>
      <c r="C466" t="s">
        <v>18</v>
      </c>
      <c r="D466">
        <v>50</v>
      </c>
      <c r="E466">
        <v>30</v>
      </c>
      <c r="F466" t="s">
        <v>197</v>
      </c>
    </row>
    <row r="467" spans="1:6" ht="15" customHeight="1" x14ac:dyDescent="0.25">
      <c r="A467">
        <v>1466</v>
      </c>
      <c r="B467" t="s">
        <v>273</v>
      </c>
      <c r="C467" t="s">
        <v>18</v>
      </c>
      <c r="D467">
        <v>50</v>
      </c>
      <c r="E467">
        <v>30</v>
      </c>
    </row>
    <row r="468" spans="1:6" ht="15" customHeight="1" x14ac:dyDescent="0.25">
      <c r="A468">
        <v>1467</v>
      </c>
      <c r="B468" t="s">
        <v>432</v>
      </c>
      <c r="C468" t="s">
        <v>19</v>
      </c>
      <c r="D468">
        <v>200</v>
      </c>
      <c r="E468">
        <v>100</v>
      </c>
    </row>
    <row r="469" spans="1:6" ht="15" customHeight="1" x14ac:dyDescent="0.25">
      <c r="A469">
        <v>1468</v>
      </c>
      <c r="B469" t="s">
        <v>101</v>
      </c>
      <c r="C469" t="s">
        <v>20</v>
      </c>
      <c r="D469">
        <v>500</v>
      </c>
      <c r="E469">
        <v>200</v>
      </c>
    </row>
    <row r="470" spans="1:6" ht="15" customHeight="1" x14ac:dyDescent="0.25">
      <c r="A470">
        <v>1469</v>
      </c>
      <c r="B470" t="s">
        <v>433</v>
      </c>
      <c r="C470" t="s">
        <v>18</v>
      </c>
      <c r="D470">
        <v>50</v>
      </c>
      <c r="E470">
        <v>30</v>
      </c>
    </row>
    <row r="471" spans="1:6" ht="15" customHeight="1" x14ac:dyDescent="0.25">
      <c r="A471">
        <v>1470</v>
      </c>
      <c r="B471" t="s">
        <v>434</v>
      </c>
      <c r="C471" t="s">
        <v>20</v>
      </c>
      <c r="D471">
        <v>500</v>
      </c>
      <c r="E471">
        <v>200</v>
      </c>
    </row>
    <row r="472" spans="1:6" ht="15" customHeight="1" x14ac:dyDescent="0.25">
      <c r="A472">
        <v>1471</v>
      </c>
      <c r="B472" t="s">
        <v>435</v>
      </c>
      <c r="C472" t="s">
        <v>19</v>
      </c>
      <c r="D472">
        <v>200</v>
      </c>
      <c r="E472">
        <v>100</v>
      </c>
      <c r="F472" t="s">
        <v>188</v>
      </c>
    </row>
    <row r="473" spans="1:6" ht="15" customHeight="1" x14ac:dyDescent="0.25">
      <c r="A473">
        <v>1472</v>
      </c>
      <c r="B473" t="s">
        <v>436</v>
      </c>
      <c r="C473" t="s">
        <v>19</v>
      </c>
      <c r="D473">
        <v>200</v>
      </c>
      <c r="E473">
        <v>100</v>
      </c>
    </row>
    <row r="474" spans="1:6" ht="15" customHeight="1" x14ac:dyDescent="0.25">
      <c r="A474">
        <v>1473</v>
      </c>
      <c r="B474" t="s">
        <v>112</v>
      </c>
      <c r="C474" t="s">
        <v>18</v>
      </c>
      <c r="D474">
        <v>50</v>
      </c>
      <c r="E474">
        <v>30</v>
      </c>
    </row>
    <row r="475" spans="1:6" ht="15" customHeight="1" x14ac:dyDescent="0.25">
      <c r="A475">
        <v>1474</v>
      </c>
      <c r="B475" t="s">
        <v>434</v>
      </c>
      <c r="C475" t="s">
        <v>18</v>
      </c>
      <c r="D475">
        <v>50</v>
      </c>
      <c r="E475">
        <v>30</v>
      </c>
    </row>
    <row r="476" spans="1:6" ht="15" customHeight="1" x14ac:dyDescent="0.25">
      <c r="A476">
        <v>1475</v>
      </c>
      <c r="B476" t="s">
        <v>203</v>
      </c>
      <c r="C476" t="s">
        <v>19</v>
      </c>
      <c r="D476">
        <v>200</v>
      </c>
      <c r="E476">
        <v>100</v>
      </c>
      <c r="F476" t="s">
        <v>117</v>
      </c>
    </row>
    <row r="477" spans="1:6" ht="15" customHeight="1" x14ac:dyDescent="0.25">
      <c r="A477">
        <v>1476</v>
      </c>
      <c r="B477" t="s">
        <v>437</v>
      </c>
      <c r="C477" t="s">
        <v>19</v>
      </c>
      <c r="D477">
        <v>200</v>
      </c>
      <c r="E477">
        <v>100</v>
      </c>
    </row>
    <row r="478" spans="1:6" ht="15" customHeight="1" x14ac:dyDescent="0.25">
      <c r="A478">
        <v>1477</v>
      </c>
      <c r="B478" t="s">
        <v>361</v>
      </c>
      <c r="C478" t="s">
        <v>19</v>
      </c>
      <c r="D478">
        <v>200</v>
      </c>
      <c r="E478">
        <v>100</v>
      </c>
    </row>
    <row r="479" spans="1:6" ht="15" customHeight="1" x14ac:dyDescent="0.25">
      <c r="A479">
        <v>1478</v>
      </c>
      <c r="B479" t="s">
        <v>173</v>
      </c>
      <c r="C479" t="s">
        <v>19</v>
      </c>
      <c r="D479">
        <v>200</v>
      </c>
      <c r="E479">
        <v>100</v>
      </c>
      <c r="F479" t="s">
        <v>152</v>
      </c>
    </row>
    <row r="480" spans="1:6" ht="15" customHeight="1" x14ac:dyDescent="0.25">
      <c r="A480">
        <v>1479</v>
      </c>
      <c r="B480" t="s">
        <v>110</v>
      </c>
      <c r="C480" t="s">
        <v>18</v>
      </c>
      <c r="D480">
        <v>50</v>
      </c>
      <c r="E480">
        <v>30</v>
      </c>
    </row>
    <row r="481" spans="1:5" ht="15" customHeight="1" x14ac:dyDescent="0.25">
      <c r="A481">
        <v>1480</v>
      </c>
      <c r="B481" t="s">
        <v>101</v>
      </c>
      <c r="C481" t="s">
        <v>20</v>
      </c>
      <c r="D481">
        <v>500</v>
      </c>
      <c r="E481">
        <v>200</v>
      </c>
    </row>
    <row r="482" spans="1:5" ht="15" customHeight="1" x14ac:dyDescent="0.25">
      <c r="A482">
        <v>1481</v>
      </c>
      <c r="B482" t="s">
        <v>336</v>
      </c>
      <c r="C482" t="s">
        <v>20</v>
      </c>
      <c r="D482">
        <v>500</v>
      </c>
      <c r="E482">
        <v>200</v>
      </c>
    </row>
    <row r="483" spans="1:5" ht="15" customHeight="1" x14ac:dyDescent="0.25">
      <c r="A483">
        <v>1482</v>
      </c>
      <c r="B483" t="s">
        <v>282</v>
      </c>
      <c r="C483" t="s">
        <v>18</v>
      </c>
      <c r="D483">
        <v>50</v>
      </c>
      <c r="E483">
        <v>30</v>
      </c>
    </row>
    <row r="484" spans="1:5" ht="15" customHeight="1" x14ac:dyDescent="0.25">
      <c r="A484">
        <v>1483</v>
      </c>
      <c r="B484" t="s">
        <v>397</v>
      </c>
      <c r="C484" t="s">
        <v>19</v>
      </c>
      <c r="D484">
        <v>200</v>
      </c>
      <c r="E484">
        <v>100</v>
      </c>
    </row>
    <row r="485" spans="1:5" ht="15" customHeight="1" x14ac:dyDescent="0.25">
      <c r="A485">
        <v>1484</v>
      </c>
      <c r="B485" t="s">
        <v>285</v>
      </c>
      <c r="C485" t="s">
        <v>18</v>
      </c>
      <c r="D485">
        <v>50</v>
      </c>
      <c r="E485">
        <v>30</v>
      </c>
    </row>
    <row r="486" spans="1:5" ht="15" customHeight="1" x14ac:dyDescent="0.25">
      <c r="A486">
        <v>1485</v>
      </c>
      <c r="B486" t="s">
        <v>155</v>
      </c>
      <c r="C486" t="s">
        <v>19</v>
      </c>
      <c r="D486">
        <v>200</v>
      </c>
      <c r="E486">
        <v>100</v>
      </c>
    </row>
    <row r="487" spans="1:5" ht="15" customHeight="1" x14ac:dyDescent="0.25">
      <c r="A487">
        <v>1486</v>
      </c>
      <c r="B487" t="s">
        <v>438</v>
      </c>
      <c r="C487" t="s">
        <v>19</v>
      </c>
      <c r="D487">
        <v>200</v>
      </c>
      <c r="E487">
        <v>100</v>
      </c>
    </row>
    <row r="488" spans="1:5" ht="15" customHeight="1" x14ac:dyDescent="0.25">
      <c r="A488">
        <v>1487</v>
      </c>
      <c r="B488" t="s">
        <v>110</v>
      </c>
      <c r="C488" t="s">
        <v>19</v>
      </c>
      <c r="D488">
        <v>200</v>
      </c>
      <c r="E488">
        <v>100</v>
      </c>
    </row>
    <row r="489" spans="1:5" ht="15" customHeight="1" x14ac:dyDescent="0.25">
      <c r="A489">
        <v>1488</v>
      </c>
      <c r="B489" t="s">
        <v>252</v>
      </c>
      <c r="C489" t="s">
        <v>20</v>
      </c>
      <c r="D489">
        <v>500</v>
      </c>
      <c r="E489">
        <v>200</v>
      </c>
    </row>
    <row r="490" spans="1:5" ht="15" customHeight="1" x14ac:dyDescent="0.25">
      <c r="A490">
        <v>1489</v>
      </c>
      <c r="B490" t="s">
        <v>439</v>
      </c>
      <c r="C490" t="s">
        <v>19</v>
      </c>
      <c r="D490">
        <v>200</v>
      </c>
      <c r="E490">
        <v>100</v>
      </c>
    </row>
    <row r="491" spans="1:5" ht="15" customHeight="1" x14ac:dyDescent="0.25">
      <c r="A491">
        <v>1490</v>
      </c>
      <c r="B491" t="s">
        <v>440</v>
      </c>
      <c r="C491" t="s">
        <v>19</v>
      </c>
      <c r="D491">
        <v>200</v>
      </c>
      <c r="E491">
        <v>100</v>
      </c>
    </row>
    <row r="492" spans="1:5" ht="15" customHeight="1" x14ac:dyDescent="0.25">
      <c r="A492">
        <v>1491</v>
      </c>
      <c r="B492" t="s">
        <v>107</v>
      </c>
      <c r="C492" t="s">
        <v>19</v>
      </c>
      <c r="D492">
        <v>200</v>
      </c>
      <c r="E492">
        <v>100</v>
      </c>
    </row>
    <row r="493" spans="1:5" ht="15" customHeight="1" x14ac:dyDescent="0.25">
      <c r="A493">
        <v>1492</v>
      </c>
      <c r="B493" t="s">
        <v>127</v>
      </c>
      <c r="C493" t="s">
        <v>19</v>
      </c>
      <c r="D493">
        <v>200</v>
      </c>
      <c r="E493">
        <v>100</v>
      </c>
    </row>
    <row r="494" spans="1:5" ht="15" customHeight="1" x14ac:dyDescent="0.25">
      <c r="A494">
        <v>1493</v>
      </c>
      <c r="B494" t="s">
        <v>441</v>
      </c>
      <c r="C494" t="s">
        <v>20</v>
      </c>
      <c r="D494">
        <v>500</v>
      </c>
      <c r="E494">
        <v>200</v>
      </c>
    </row>
    <row r="495" spans="1:5" ht="15" customHeight="1" x14ac:dyDescent="0.25">
      <c r="A495">
        <v>1494</v>
      </c>
      <c r="B495" t="s">
        <v>442</v>
      </c>
      <c r="C495" t="s">
        <v>20</v>
      </c>
      <c r="D495">
        <v>500</v>
      </c>
      <c r="E495">
        <v>200</v>
      </c>
    </row>
    <row r="496" spans="1:5" ht="15" customHeight="1" x14ac:dyDescent="0.25">
      <c r="A496">
        <v>1495</v>
      </c>
      <c r="B496" t="s">
        <v>363</v>
      </c>
      <c r="C496" t="s">
        <v>18</v>
      </c>
      <c r="D496">
        <v>50</v>
      </c>
      <c r="E496">
        <v>30</v>
      </c>
    </row>
    <row r="497" spans="1:6" ht="15" customHeight="1" x14ac:dyDescent="0.25">
      <c r="A497">
        <v>1496</v>
      </c>
      <c r="B497" t="s">
        <v>216</v>
      </c>
      <c r="C497" t="s">
        <v>18</v>
      </c>
      <c r="D497">
        <v>50</v>
      </c>
      <c r="E497">
        <v>30</v>
      </c>
    </row>
    <row r="498" spans="1:6" ht="15" customHeight="1" x14ac:dyDescent="0.25">
      <c r="A498">
        <v>1497</v>
      </c>
      <c r="B498" t="s">
        <v>443</v>
      </c>
      <c r="C498" t="s">
        <v>18</v>
      </c>
      <c r="D498">
        <v>50</v>
      </c>
      <c r="E498">
        <v>30</v>
      </c>
    </row>
    <row r="499" spans="1:6" ht="15" customHeight="1" x14ac:dyDescent="0.25">
      <c r="A499">
        <v>1498</v>
      </c>
      <c r="B499" t="s">
        <v>444</v>
      </c>
      <c r="C499" t="s">
        <v>19</v>
      </c>
      <c r="D499">
        <v>200</v>
      </c>
      <c r="E499">
        <v>100</v>
      </c>
    </row>
    <row r="500" spans="1:6" ht="15" customHeight="1" x14ac:dyDescent="0.25">
      <c r="A500">
        <v>1499</v>
      </c>
      <c r="B500" t="s">
        <v>198</v>
      </c>
      <c r="C500" t="s">
        <v>20</v>
      </c>
      <c r="D500">
        <v>500</v>
      </c>
      <c r="E500">
        <v>200</v>
      </c>
    </row>
    <row r="501" spans="1:6" ht="15" customHeight="1" x14ac:dyDescent="0.25">
      <c r="A501">
        <v>1500</v>
      </c>
      <c r="B501" t="s">
        <v>445</v>
      </c>
      <c r="C501" t="s">
        <v>18</v>
      </c>
      <c r="D501">
        <v>50</v>
      </c>
      <c r="E501">
        <v>30</v>
      </c>
    </row>
    <row r="502" spans="1:6" ht="15" customHeight="1" x14ac:dyDescent="0.25">
      <c r="A502">
        <v>1501</v>
      </c>
      <c r="B502" t="s">
        <v>446</v>
      </c>
      <c r="C502" t="s">
        <v>20</v>
      </c>
      <c r="D502">
        <v>500</v>
      </c>
      <c r="E502">
        <v>200</v>
      </c>
      <c r="F502" t="s">
        <v>200</v>
      </c>
    </row>
    <row r="503" spans="1:6" ht="15" customHeight="1" x14ac:dyDescent="0.25">
      <c r="A503">
        <v>1502</v>
      </c>
      <c r="B503" t="s">
        <v>316</v>
      </c>
      <c r="C503" t="s">
        <v>18</v>
      </c>
      <c r="D503">
        <v>50</v>
      </c>
      <c r="E503">
        <v>30</v>
      </c>
    </row>
    <row r="504" spans="1:6" ht="15" customHeight="1" x14ac:dyDescent="0.25">
      <c r="A504">
        <v>1503</v>
      </c>
      <c r="B504" t="s">
        <v>278</v>
      </c>
      <c r="C504" t="s">
        <v>18</v>
      </c>
      <c r="D504">
        <v>50</v>
      </c>
      <c r="E504">
        <v>30</v>
      </c>
    </row>
    <row r="505" spans="1:6" ht="15" customHeight="1" x14ac:dyDescent="0.25">
      <c r="A505">
        <v>1504</v>
      </c>
      <c r="B505" t="s">
        <v>131</v>
      </c>
      <c r="C505" t="s">
        <v>19</v>
      </c>
      <c r="D505">
        <v>200</v>
      </c>
      <c r="E505">
        <v>100</v>
      </c>
    </row>
    <row r="506" spans="1:6" ht="15" customHeight="1" x14ac:dyDescent="0.25">
      <c r="A506">
        <v>1505</v>
      </c>
      <c r="B506" t="s">
        <v>428</v>
      </c>
      <c r="C506" t="s">
        <v>19</v>
      </c>
      <c r="D506">
        <v>200</v>
      </c>
      <c r="E506">
        <v>100</v>
      </c>
    </row>
    <row r="507" spans="1:6" ht="15" customHeight="1" x14ac:dyDescent="0.25">
      <c r="A507">
        <v>1506</v>
      </c>
      <c r="B507" t="s">
        <v>430</v>
      </c>
      <c r="C507" t="s">
        <v>18</v>
      </c>
      <c r="D507">
        <v>50</v>
      </c>
      <c r="E507">
        <v>30</v>
      </c>
    </row>
    <row r="508" spans="1:6" ht="15" customHeight="1" x14ac:dyDescent="0.25">
      <c r="A508">
        <v>1507</v>
      </c>
      <c r="B508" t="s">
        <v>152</v>
      </c>
      <c r="C508" t="s">
        <v>20</v>
      </c>
      <c r="D508">
        <v>500</v>
      </c>
      <c r="E508">
        <v>200</v>
      </c>
    </row>
    <row r="509" spans="1:6" ht="15" customHeight="1" x14ac:dyDescent="0.25">
      <c r="A509">
        <v>1508</v>
      </c>
      <c r="B509" t="s">
        <v>447</v>
      </c>
      <c r="C509" t="s">
        <v>19</v>
      </c>
      <c r="D509">
        <v>200</v>
      </c>
      <c r="E509">
        <v>100</v>
      </c>
    </row>
    <row r="510" spans="1:6" ht="15" customHeight="1" x14ac:dyDescent="0.25">
      <c r="A510">
        <v>1509</v>
      </c>
      <c r="B510" t="s">
        <v>359</v>
      </c>
      <c r="C510" t="s">
        <v>20</v>
      </c>
      <c r="D510">
        <v>500</v>
      </c>
      <c r="E510">
        <v>200</v>
      </c>
    </row>
    <row r="511" spans="1:6" ht="15" customHeight="1" x14ac:dyDescent="0.25">
      <c r="A511">
        <v>1510</v>
      </c>
      <c r="B511" t="s">
        <v>252</v>
      </c>
      <c r="C511" t="s">
        <v>20</v>
      </c>
      <c r="D511">
        <v>500</v>
      </c>
      <c r="E511">
        <v>200</v>
      </c>
      <c r="F511" t="s">
        <v>448</v>
      </c>
    </row>
    <row r="512" spans="1:6" ht="15" customHeight="1" x14ac:dyDescent="0.25">
      <c r="A512">
        <v>1511</v>
      </c>
      <c r="B512" t="s">
        <v>398</v>
      </c>
      <c r="C512" t="s">
        <v>19</v>
      </c>
      <c r="D512">
        <v>200</v>
      </c>
      <c r="E512">
        <v>100</v>
      </c>
    </row>
    <row r="513" spans="1:6" ht="15" customHeight="1" x14ac:dyDescent="0.25">
      <c r="A513">
        <v>1512</v>
      </c>
      <c r="B513" t="s">
        <v>449</v>
      </c>
      <c r="C513" t="s">
        <v>19</v>
      </c>
      <c r="D513">
        <v>200</v>
      </c>
      <c r="E513">
        <v>100</v>
      </c>
    </row>
    <row r="514" spans="1:6" ht="15" customHeight="1" x14ac:dyDescent="0.25">
      <c r="A514">
        <v>1513</v>
      </c>
      <c r="B514" t="s">
        <v>358</v>
      </c>
      <c r="C514" t="s">
        <v>19</v>
      </c>
      <c r="D514">
        <v>200</v>
      </c>
      <c r="E514">
        <v>100</v>
      </c>
    </row>
    <row r="515" spans="1:6" ht="15" customHeight="1" x14ac:dyDescent="0.25">
      <c r="A515">
        <v>1514</v>
      </c>
      <c r="B515" t="s">
        <v>99</v>
      </c>
      <c r="C515" t="s">
        <v>19</v>
      </c>
      <c r="D515">
        <v>200</v>
      </c>
      <c r="E515">
        <v>100</v>
      </c>
    </row>
    <row r="516" spans="1:6" ht="15" customHeight="1" x14ac:dyDescent="0.25">
      <c r="A516">
        <v>1515</v>
      </c>
      <c r="B516" t="s">
        <v>101</v>
      </c>
      <c r="C516" t="s">
        <v>20</v>
      </c>
      <c r="D516">
        <v>500</v>
      </c>
      <c r="E516">
        <v>200</v>
      </c>
    </row>
    <row r="517" spans="1:6" ht="15" customHeight="1" x14ac:dyDescent="0.25">
      <c r="A517">
        <v>1516</v>
      </c>
      <c r="B517" t="s">
        <v>343</v>
      </c>
      <c r="C517" t="s">
        <v>20</v>
      </c>
      <c r="D517">
        <v>500</v>
      </c>
      <c r="E517">
        <v>200</v>
      </c>
    </row>
    <row r="518" spans="1:6" ht="15" customHeight="1" x14ac:dyDescent="0.25">
      <c r="A518">
        <v>1517</v>
      </c>
      <c r="B518" t="s">
        <v>96</v>
      </c>
      <c r="C518" t="s">
        <v>18</v>
      </c>
      <c r="D518">
        <v>50</v>
      </c>
      <c r="E518">
        <v>30</v>
      </c>
    </row>
    <row r="519" spans="1:6" ht="15" customHeight="1" x14ac:dyDescent="0.25">
      <c r="A519">
        <v>1518</v>
      </c>
      <c r="B519" t="s">
        <v>450</v>
      </c>
      <c r="C519" t="s">
        <v>18</v>
      </c>
      <c r="D519">
        <v>50</v>
      </c>
      <c r="E519">
        <v>30</v>
      </c>
    </row>
    <row r="520" spans="1:6" ht="15" customHeight="1" x14ac:dyDescent="0.25">
      <c r="A520">
        <v>1519</v>
      </c>
      <c r="B520" t="s">
        <v>211</v>
      </c>
      <c r="C520" t="s">
        <v>20</v>
      </c>
      <c r="D520">
        <v>500</v>
      </c>
      <c r="E520">
        <v>200</v>
      </c>
      <c r="F520" t="s">
        <v>154</v>
      </c>
    </row>
    <row r="521" spans="1:6" ht="15" customHeight="1" x14ac:dyDescent="0.25">
      <c r="A521">
        <v>1520</v>
      </c>
      <c r="B521" t="s">
        <v>373</v>
      </c>
      <c r="C521" t="s">
        <v>18</v>
      </c>
      <c r="D521">
        <v>50</v>
      </c>
      <c r="E521">
        <v>30</v>
      </c>
    </row>
    <row r="522" spans="1:6" ht="15" customHeight="1" x14ac:dyDescent="0.25">
      <c r="A522">
        <v>1521</v>
      </c>
      <c r="B522" t="s">
        <v>361</v>
      </c>
      <c r="C522" t="s">
        <v>19</v>
      </c>
      <c r="D522">
        <v>200</v>
      </c>
      <c r="E522">
        <v>100</v>
      </c>
    </row>
    <row r="523" spans="1:6" ht="15" customHeight="1" x14ac:dyDescent="0.25">
      <c r="A523">
        <v>1522</v>
      </c>
      <c r="B523" t="s">
        <v>186</v>
      </c>
      <c r="C523" t="s">
        <v>19</v>
      </c>
      <c r="D523">
        <v>200</v>
      </c>
      <c r="E523">
        <v>100</v>
      </c>
    </row>
    <row r="524" spans="1:6" ht="15" customHeight="1" x14ac:dyDescent="0.25">
      <c r="A524">
        <v>1523</v>
      </c>
      <c r="B524" t="s">
        <v>97</v>
      </c>
      <c r="C524" t="s">
        <v>19</v>
      </c>
      <c r="D524">
        <v>200</v>
      </c>
      <c r="E524">
        <v>100</v>
      </c>
    </row>
    <row r="525" spans="1:6" ht="15" customHeight="1" x14ac:dyDescent="0.25">
      <c r="A525">
        <v>1524</v>
      </c>
      <c r="B525" t="s">
        <v>451</v>
      </c>
      <c r="C525" t="s">
        <v>19</v>
      </c>
      <c r="D525">
        <v>200</v>
      </c>
      <c r="E525">
        <v>100</v>
      </c>
    </row>
    <row r="526" spans="1:6" ht="15" customHeight="1" x14ac:dyDescent="0.25">
      <c r="A526">
        <v>1525</v>
      </c>
      <c r="B526" t="s">
        <v>452</v>
      </c>
      <c r="C526" t="s">
        <v>20</v>
      </c>
      <c r="D526">
        <v>500</v>
      </c>
      <c r="E526">
        <v>200</v>
      </c>
      <c r="F526" t="s">
        <v>157</v>
      </c>
    </row>
    <row r="527" spans="1:6" ht="15" customHeight="1" x14ac:dyDescent="0.25">
      <c r="A527">
        <v>1526</v>
      </c>
      <c r="B527" t="s">
        <v>453</v>
      </c>
      <c r="C527" t="s">
        <v>20</v>
      </c>
      <c r="D527">
        <v>500</v>
      </c>
      <c r="E527">
        <v>200</v>
      </c>
    </row>
    <row r="528" spans="1:6" ht="15" customHeight="1" x14ac:dyDescent="0.25">
      <c r="A528">
        <v>1527</v>
      </c>
      <c r="B528" t="s">
        <v>454</v>
      </c>
      <c r="C528" t="s">
        <v>19</v>
      </c>
      <c r="D528">
        <v>200</v>
      </c>
      <c r="E528">
        <v>100</v>
      </c>
    </row>
    <row r="529" spans="1:5" ht="15" customHeight="1" x14ac:dyDescent="0.25">
      <c r="A529">
        <v>1528</v>
      </c>
      <c r="B529" t="s">
        <v>390</v>
      </c>
      <c r="C529" t="s">
        <v>19</v>
      </c>
      <c r="D529">
        <v>200</v>
      </c>
      <c r="E529">
        <v>100</v>
      </c>
    </row>
    <row r="530" spans="1:5" ht="15" customHeight="1" x14ac:dyDescent="0.25">
      <c r="A530">
        <v>1529</v>
      </c>
      <c r="B530" t="s">
        <v>455</v>
      </c>
      <c r="C530" t="s">
        <v>19</v>
      </c>
      <c r="D530">
        <v>200</v>
      </c>
      <c r="E530">
        <v>100</v>
      </c>
    </row>
    <row r="531" spans="1:5" ht="15" customHeight="1" x14ac:dyDescent="0.25">
      <c r="A531">
        <v>1530</v>
      </c>
      <c r="B531" t="s">
        <v>456</v>
      </c>
      <c r="C531" t="s">
        <v>18</v>
      </c>
      <c r="D531">
        <v>50</v>
      </c>
      <c r="E531">
        <v>30</v>
      </c>
    </row>
    <row r="532" spans="1:5" ht="15" customHeight="1" x14ac:dyDescent="0.25">
      <c r="A532">
        <v>1531</v>
      </c>
      <c r="B532" t="s">
        <v>402</v>
      </c>
      <c r="C532" t="s">
        <v>20</v>
      </c>
      <c r="D532">
        <v>500</v>
      </c>
      <c r="E532">
        <v>200</v>
      </c>
    </row>
    <row r="533" spans="1:5" ht="15" customHeight="1" x14ac:dyDescent="0.25">
      <c r="A533">
        <v>1532</v>
      </c>
      <c r="B533" t="s">
        <v>341</v>
      </c>
      <c r="C533" t="s">
        <v>20</v>
      </c>
      <c r="D533">
        <v>500</v>
      </c>
      <c r="E533">
        <v>200</v>
      </c>
    </row>
    <row r="534" spans="1:5" ht="15" customHeight="1" x14ac:dyDescent="0.25">
      <c r="A534">
        <v>1533</v>
      </c>
      <c r="B534" t="s">
        <v>457</v>
      </c>
      <c r="C534" t="s">
        <v>19</v>
      </c>
      <c r="D534">
        <v>200</v>
      </c>
      <c r="E534">
        <v>100</v>
      </c>
    </row>
    <row r="535" spans="1:5" ht="15" customHeight="1" x14ac:dyDescent="0.25">
      <c r="A535">
        <v>1534</v>
      </c>
      <c r="B535" t="s">
        <v>458</v>
      </c>
      <c r="C535" t="s">
        <v>20</v>
      </c>
      <c r="D535">
        <v>500</v>
      </c>
      <c r="E535">
        <v>200</v>
      </c>
    </row>
    <row r="536" spans="1:5" ht="15" customHeight="1" x14ac:dyDescent="0.25">
      <c r="A536">
        <v>1535</v>
      </c>
      <c r="B536" t="s">
        <v>459</v>
      </c>
      <c r="C536" t="s">
        <v>19</v>
      </c>
      <c r="D536">
        <v>200</v>
      </c>
      <c r="E536">
        <v>100</v>
      </c>
    </row>
    <row r="537" spans="1:5" ht="15" customHeight="1" x14ac:dyDescent="0.25">
      <c r="A537">
        <v>1536</v>
      </c>
      <c r="B537" t="s">
        <v>278</v>
      </c>
      <c r="C537" t="s">
        <v>19</v>
      </c>
      <c r="D537">
        <v>200</v>
      </c>
      <c r="E537">
        <v>100</v>
      </c>
    </row>
    <row r="538" spans="1:5" ht="15" customHeight="1" x14ac:dyDescent="0.25">
      <c r="A538">
        <v>1537</v>
      </c>
      <c r="B538" t="s">
        <v>256</v>
      </c>
      <c r="C538" t="s">
        <v>20</v>
      </c>
      <c r="D538">
        <v>500</v>
      </c>
      <c r="E538">
        <v>200</v>
      </c>
    </row>
    <row r="539" spans="1:5" ht="15" customHeight="1" x14ac:dyDescent="0.25">
      <c r="A539">
        <v>1538</v>
      </c>
      <c r="B539" t="s">
        <v>460</v>
      </c>
      <c r="C539" t="s">
        <v>19</v>
      </c>
      <c r="D539">
        <v>200</v>
      </c>
      <c r="E539">
        <v>100</v>
      </c>
    </row>
    <row r="540" spans="1:5" ht="15" customHeight="1" x14ac:dyDescent="0.25">
      <c r="A540">
        <v>1539</v>
      </c>
      <c r="B540" t="s">
        <v>139</v>
      </c>
      <c r="C540" t="s">
        <v>19</v>
      </c>
      <c r="D540">
        <v>200</v>
      </c>
      <c r="E540">
        <v>100</v>
      </c>
    </row>
    <row r="541" spans="1:5" ht="15" customHeight="1" x14ac:dyDescent="0.25">
      <c r="A541">
        <v>1540</v>
      </c>
      <c r="B541" t="s">
        <v>214</v>
      </c>
      <c r="C541" t="s">
        <v>19</v>
      </c>
      <c r="D541">
        <v>200</v>
      </c>
      <c r="E541">
        <v>100</v>
      </c>
    </row>
    <row r="542" spans="1:5" ht="15" customHeight="1" x14ac:dyDescent="0.25">
      <c r="A542">
        <v>1541</v>
      </c>
      <c r="B542" t="s">
        <v>461</v>
      </c>
      <c r="C542" t="s">
        <v>19</v>
      </c>
      <c r="D542">
        <v>200</v>
      </c>
      <c r="E542">
        <v>100</v>
      </c>
    </row>
    <row r="543" spans="1:5" ht="15" customHeight="1" x14ac:dyDescent="0.25">
      <c r="A543">
        <v>1542</v>
      </c>
      <c r="B543" t="s">
        <v>379</v>
      </c>
      <c r="C543" t="s">
        <v>18</v>
      </c>
      <c r="D543">
        <v>50</v>
      </c>
      <c r="E543">
        <v>30</v>
      </c>
    </row>
    <row r="544" spans="1:5" ht="15" customHeight="1" x14ac:dyDescent="0.25">
      <c r="A544">
        <v>1543</v>
      </c>
      <c r="B544" t="s">
        <v>462</v>
      </c>
      <c r="C544" t="s">
        <v>20</v>
      </c>
      <c r="D544">
        <v>500</v>
      </c>
      <c r="E544">
        <v>200</v>
      </c>
    </row>
    <row r="545" spans="1:6" ht="15" customHeight="1" x14ac:dyDescent="0.25">
      <c r="A545">
        <v>1544</v>
      </c>
      <c r="B545" t="s">
        <v>350</v>
      </c>
      <c r="C545" t="s">
        <v>19</v>
      </c>
      <c r="D545">
        <v>200</v>
      </c>
      <c r="E545">
        <v>100</v>
      </c>
      <c r="F545" t="s">
        <v>331</v>
      </c>
    </row>
    <row r="546" spans="1:6" ht="15" customHeight="1" x14ac:dyDescent="0.25">
      <c r="A546">
        <v>1545</v>
      </c>
      <c r="B546" t="s">
        <v>268</v>
      </c>
      <c r="C546" t="s">
        <v>18</v>
      </c>
      <c r="D546">
        <v>50</v>
      </c>
      <c r="E546">
        <v>30</v>
      </c>
    </row>
    <row r="547" spans="1:6" ht="15" customHeight="1" x14ac:dyDescent="0.25">
      <c r="A547">
        <v>1546</v>
      </c>
      <c r="B547" t="s">
        <v>456</v>
      </c>
      <c r="C547" t="s">
        <v>19</v>
      </c>
      <c r="D547">
        <v>200</v>
      </c>
      <c r="E547">
        <v>100</v>
      </c>
    </row>
    <row r="548" spans="1:6" ht="15" customHeight="1" x14ac:dyDescent="0.25">
      <c r="A548">
        <v>1547</v>
      </c>
      <c r="B548" t="s">
        <v>463</v>
      </c>
      <c r="C548" t="s">
        <v>20</v>
      </c>
      <c r="D548">
        <v>500</v>
      </c>
      <c r="E548">
        <v>200</v>
      </c>
    </row>
    <row r="549" spans="1:6" ht="15" customHeight="1" x14ac:dyDescent="0.25">
      <c r="A549">
        <v>1548</v>
      </c>
      <c r="B549" t="s">
        <v>239</v>
      </c>
      <c r="C549" t="s">
        <v>18</v>
      </c>
      <c r="D549">
        <v>50</v>
      </c>
      <c r="E549">
        <v>30</v>
      </c>
    </row>
    <row r="550" spans="1:6" ht="15" customHeight="1" x14ac:dyDescent="0.25">
      <c r="A550">
        <v>1549</v>
      </c>
      <c r="B550" t="s">
        <v>443</v>
      </c>
      <c r="C550" t="s">
        <v>19</v>
      </c>
      <c r="D550">
        <v>200</v>
      </c>
      <c r="E550">
        <v>100</v>
      </c>
    </row>
    <row r="551" spans="1:6" ht="15" customHeight="1" x14ac:dyDescent="0.25">
      <c r="A551">
        <v>1550</v>
      </c>
      <c r="B551" t="s">
        <v>274</v>
      </c>
      <c r="C551" t="s">
        <v>18</v>
      </c>
      <c r="D551">
        <v>50</v>
      </c>
      <c r="E551">
        <v>30</v>
      </c>
    </row>
    <row r="552" spans="1:6" ht="15" customHeight="1" x14ac:dyDescent="0.25">
      <c r="A552">
        <v>1551</v>
      </c>
      <c r="B552" t="s">
        <v>464</v>
      </c>
      <c r="C552" t="s">
        <v>18</v>
      </c>
      <c r="D552">
        <v>50</v>
      </c>
      <c r="E552">
        <v>30</v>
      </c>
    </row>
    <row r="553" spans="1:6" ht="15" customHeight="1" x14ac:dyDescent="0.25">
      <c r="A553">
        <v>1552</v>
      </c>
      <c r="B553" t="s">
        <v>399</v>
      </c>
      <c r="C553" t="s">
        <v>20</v>
      </c>
      <c r="D553">
        <v>500</v>
      </c>
      <c r="E553">
        <v>200</v>
      </c>
      <c r="F553" t="s">
        <v>465</v>
      </c>
    </row>
    <row r="554" spans="1:6" ht="15" customHeight="1" x14ac:dyDescent="0.25">
      <c r="A554">
        <v>1553</v>
      </c>
      <c r="B554" t="s">
        <v>466</v>
      </c>
      <c r="C554" t="s">
        <v>20</v>
      </c>
      <c r="D554">
        <v>500</v>
      </c>
      <c r="E554">
        <v>200</v>
      </c>
    </row>
    <row r="555" spans="1:6" ht="15" customHeight="1" x14ac:dyDescent="0.25">
      <c r="A555">
        <v>1554</v>
      </c>
      <c r="B555" t="s">
        <v>338</v>
      </c>
      <c r="C555" t="s">
        <v>19</v>
      </c>
      <c r="D555">
        <v>200</v>
      </c>
      <c r="E555">
        <v>100</v>
      </c>
    </row>
    <row r="556" spans="1:6" ht="15" customHeight="1" x14ac:dyDescent="0.25">
      <c r="A556">
        <v>1555</v>
      </c>
      <c r="B556" t="s">
        <v>222</v>
      </c>
      <c r="C556" t="s">
        <v>20</v>
      </c>
      <c r="D556">
        <v>500</v>
      </c>
      <c r="E556">
        <v>200</v>
      </c>
    </row>
    <row r="557" spans="1:6" ht="15" customHeight="1" x14ac:dyDescent="0.25">
      <c r="A557">
        <v>1556</v>
      </c>
      <c r="B557" t="s">
        <v>467</v>
      </c>
      <c r="C557" t="s">
        <v>20</v>
      </c>
      <c r="D557">
        <v>500</v>
      </c>
      <c r="E557">
        <v>200</v>
      </c>
    </row>
    <row r="558" spans="1:6" ht="15" customHeight="1" x14ac:dyDescent="0.25">
      <c r="A558">
        <v>1557</v>
      </c>
      <c r="B558" t="s">
        <v>465</v>
      </c>
      <c r="C558" t="s">
        <v>20</v>
      </c>
      <c r="D558">
        <v>500</v>
      </c>
      <c r="E558">
        <v>200</v>
      </c>
      <c r="F558" t="s">
        <v>315</v>
      </c>
    </row>
    <row r="559" spans="1:6" ht="15" customHeight="1" x14ac:dyDescent="0.25">
      <c r="A559">
        <v>1558</v>
      </c>
      <c r="B559" t="s">
        <v>468</v>
      </c>
      <c r="C559" t="s">
        <v>20</v>
      </c>
      <c r="D559">
        <v>500</v>
      </c>
      <c r="E559">
        <v>200</v>
      </c>
      <c r="F559" t="s">
        <v>469</v>
      </c>
    </row>
    <row r="560" spans="1:6" ht="15" customHeight="1" x14ac:dyDescent="0.25">
      <c r="A560">
        <v>1559</v>
      </c>
      <c r="B560" t="s">
        <v>248</v>
      </c>
      <c r="C560" t="s">
        <v>19</v>
      </c>
      <c r="D560">
        <v>200</v>
      </c>
      <c r="E560">
        <v>100</v>
      </c>
    </row>
    <row r="561" spans="1:6" ht="15" customHeight="1" x14ac:dyDescent="0.25">
      <c r="A561">
        <v>1560</v>
      </c>
      <c r="B561" t="s">
        <v>162</v>
      </c>
      <c r="C561" t="s">
        <v>19</v>
      </c>
      <c r="D561">
        <v>200</v>
      </c>
      <c r="E561">
        <v>100</v>
      </c>
    </row>
    <row r="562" spans="1:6" ht="15" customHeight="1" x14ac:dyDescent="0.25">
      <c r="A562">
        <v>1561</v>
      </c>
      <c r="B562" t="s">
        <v>411</v>
      </c>
      <c r="C562" t="s">
        <v>20</v>
      </c>
      <c r="D562">
        <v>500</v>
      </c>
      <c r="E562">
        <v>200</v>
      </c>
    </row>
    <row r="563" spans="1:6" ht="15" customHeight="1" x14ac:dyDescent="0.25">
      <c r="A563">
        <v>1562</v>
      </c>
      <c r="B563" t="s">
        <v>470</v>
      </c>
      <c r="C563" t="s">
        <v>20</v>
      </c>
      <c r="D563">
        <v>500</v>
      </c>
      <c r="E563">
        <v>200</v>
      </c>
    </row>
    <row r="564" spans="1:6" ht="15" customHeight="1" x14ac:dyDescent="0.25">
      <c r="A564">
        <v>1563</v>
      </c>
      <c r="B564" t="s">
        <v>253</v>
      </c>
      <c r="C564" t="s">
        <v>18</v>
      </c>
      <c r="D564">
        <v>50</v>
      </c>
      <c r="E564">
        <v>30</v>
      </c>
    </row>
    <row r="565" spans="1:6" ht="15" customHeight="1" x14ac:dyDescent="0.25">
      <c r="A565">
        <v>1564</v>
      </c>
      <c r="B565" t="s">
        <v>334</v>
      </c>
      <c r="C565" t="s">
        <v>20</v>
      </c>
      <c r="D565">
        <v>500</v>
      </c>
      <c r="E565">
        <v>200</v>
      </c>
    </row>
    <row r="566" spans="1:6" ht="15" customHeight="1" x14ac:dyDescent="0.25">
      <c r="A566">
        <v>1565</v>
      </c>
      <c r="B566" t="s">
        <v>151</v>
      </c>
      <c r="C566" t="s">
        <v>19</v>
      </c>
      <c r="D566">
        <v>200</v>
      </c>
      <c r="E566">
        <v>100</v>
      </c>
      <c r="F566" t="s">
        <v>395</v>
      </c>
    </row>
    <row r="567" spans="1:6" ht="15" customHeight="1" x14ac:dyDescent="0.25">
      <c r="A567">
        <v>1566</v>
      </c>
      <c r="B567" t="s">
        <v>395</v>
      </c>
      <c r="C567" t="s">
        <v>18</v>
      </c>
      <c r="D567">
        <v>50</v>
      </c>
      <c r="E567">
        <v>30</v>
      </c>
    </row>
    <row r="568" spans="1:6" ht="15" customHeight="1" x14ac:dyDescent="0.25">
      <c r="A568">
        <v>1567</v>
      </c>
      <c r="B568" t="s">
        <v>471</v>
      </c>
      <c r="C568" t="s">
        <v>20</v>
      </c>
      <c r="D568">
        <v>500</v>
      </c>
      <c r="E568">
        <v>200</v>
      </c>
    </row>
    <row r="569" spans="1:6" ht="15" customHeight="1" x14ac:dyDescent="0.25">
      <c r="A569">
        <v>1568</v>
      </c>
      <c r="B569" t="s">
        <v>472</v>
      </c>
      <c r="C569" t="s">
        <v>18</v>
      </c>
      <c r="D569">
        <v>50</v>
      </c>
      <c r="E569">
        <v>30</v>
      </c>
    </row>
    <row r="570" spans="1:6" ht="15" customHeight="1" x14ac:dyDescent="0.25">
      <c r="A570">
        <v>1569</v>
      </c>
      <c r="B570" t="s">
        <v>473</v>
      </c>
      <c r="C570" t="s">
        <v>18</v>
      </c>
      <c r="D570">
        <v>50</v>
      </c>
      <c r="E570">
        <v>30</v>
      </c>
    </row>
    <row r="571" spans="1:6" ht="15" customHeight="1" x14ac:dyDescent="0.25">
      <c r="A571">
        <v>1570</v>
      </c>
      <c r="B571" t="s">
        <v>246</v>
      </c>
      <c r="C571" t="s">
        <v>20</v>
      </c>
      <c r="D571">
        <v>500</v>
      </c>
      <c r="E571">
        <v>200</v>
      </c>
      <c r="F571" t="s">
        <v>474</v>
      </c>
    </row>
    <row r="572" spans="1:6" ht="15" customHeight="1" x14ac:dyDescent="0.25">
      <c r="A572">
        <v>1571</v>
      </c>
      <c r="B572" t="s">
        <v>475</v>
      </c>
      <c r="C572" t="s">
        <v>20</v>
      </c>
      <c r="D572">
        <v>500</v>
      </c>
      <c r="E572">
        <v>200</v>
      </c>
    </row>
    <row r="573" spans="1:6" ht="15" customHeight="1" x14ac:dyDescent="0.25">
      <c r="A573">
        <v>1572</v>
      </c>
      <c r="B573" t="s">
        <v>276</v>
      </c>
      <c r="C573" t="s">
        <v>19</v>
      </c>
      <c r="D573">
        <v>200</v>
      </c>
      <c r="E573">
        <v>100</v>
      </c>
    </row>
    <row r="574" spans="1:6" ht="15" customHeight="1" x14ac:dyDescent="0.25">
      <c r="A574">
        <v>1573</v>
      </c>
      <c r="B574" t="s">
        <v>226</v>
      </c>
      <c r="C574" t="s">
        <v>20</v>
      </c>
      <c r="D574">
        <v>500</v>
      </c>
      <c r="E574">
        <v>200</v>
      </c>
    </row>
    <row r="575" spans="1:6" ht="15" customHeight="1" x14ac:dyDescent="0.25">
      <c r="A575">
        <v>1574</v>
      </c>
      <c r="B575" t="s">
        <v>476</v>
      </c>
      <c r="C575" t="s">
        <v>20</v>
      </c>
      <c r="D575">
        <v>500</v>
      </c>
      <c r="E575">
        <v>200</v>
      </c>
    </row>
    <row r="576" spans="1:6" ht="15" customHeight="1" x14ac:dyDescent="0.25">
      <c r="A576">
        <v>1575</v>
      </c>
      <c r="B576" t="s">
        <v>436</v>
      </c>
      <c r="C576" t="s">
        <v>20</v>
      </c>
      <c r="D576">
        <v>500</v>
      </c>
      <c r="E576">
        <v>200</v>
      </c>
    </row>
    <row r="577" spans="1:6" ht="15" customHeight="1" x14ac:dyDescent="0.25">
      <c r="A577">
        <v>1576</v>
      </c>
      <c r="B577" t="s">
        <v>332</v>
      </c>
      <c r="C577" t="s">
        <v>19</v>
      </c>
      <c r="D577">
        <v>200</v>
      </c>
      <c r="E577">
        <v>100</v>
      </c>
      <c r="F577" t="s">
        <v>99</v>
      </c>
    </row>
    <row r="578" spans="1:6" ht="15" customHeight="1" x14ac:dyDescent="0.25">
      <c r="A578">
        <v>1577</v>
      </c>
      <c r="B578" t="s">
        <v>134</v>
      </c>
      <c r="C578" t="s">
        <v>18</v>
      </c>
      <c r="D578">
        <v>50</v>
      </c>
      <c r="E578">
        <v>30</v>
      </c>
    </row>
    <row r="579" spans="1:6" ht="15" customHeight="1" x14ac:dyDescent="0.25">
      <c r="A579">
        <v>1578</v>
      </c>
      <c r="B579" t="s">
        <v>388</v>
      </c>
      <c r="C579" t="s">
        <v>18</v>
      </c>
      <c r="D579">
        <v>50</v>
      </c>
      <c r="E579">
        <v>30</v>
      </c>
    </row>
    <row r="580" spans="1:6" ht="15" customHeight="1" x14ac:dyDescent="0.25">
      <c r="A580">
        <v>1579</v>
      </c>
      <c r="B580" t="s">
        <v>360</v>
      </c>
      <c r="C580" t="s">
        <v>18</v>
      </c>
      <c r="D580">
        <v>50</v>
      </c>
      <c r="E580">
        <v>30</v>
      </c>
      <c r="F580" t="s">
        <v>157</v>
      </c>
    </row>
    <row r="581" spans="1:6" ht="15" customHeight="1" x14ac:dyDescent="0.25">
      <c r="A581">
        <v>1580</v>
      </c>
      <c r="B581" t="s">
        <v>323</v>
      </c>
      <c r="C581" t="s">
        <v>19</v>
      </c>
      <c r="D581">
        <v>200</v>
      </c>
      <c r="E581">
        <v>100</v>
      </c>
    </row>
    <row r="582" spans="1:6" ht="15" customHeight="1" x14ac:dyDescent="0.25">
      <c r="A582">
        <v>1581</v>
      </c>
      <c r="B582" t="s">
        <v>250</v>
      </c>
      <c r="C582" t="s">
        <v>18</v>
      </c>
      <c r="D582">
        <v>50</v>
      </c>
      <c r="E582">
        <v>30</v>
      </c>
    </row>
    <row r="583" spans="1:6" ht="15" customHeight="1" x14ac:dyDescent="0.25">
      <c r="A583">
        <v>1582</v>
      </c>
      <c r="B583" t="s">
        <v>130</v>
      </c>
      <c r="C583" t="s">
        <v>20</v>
      </c>
      <c r="D583">
        <v>500</v>
      </c>
      <c r="E583">
        <v>200</v>
      </c>
    </row>
    <row r="584" spans="1:6" ht="15" customHeight="1" x14ac:dyDescent="0.25">
      <c r="A584">
        <v>1583</v>
      </c>
      <c r="B584" t="s">
        <v>180</v>
      </c>
      <c r="C584" t="s">
        <v>18</v>
      </c>
      <c r="D584">
        <v>50</v>
      </c>
      <c r="E584">
        <v>30</v>
      </c>
    </row>
    <row r="585" spans="1:6" ht="15" customHeight="1" x14ac:dyDescent="0.25">
      <c r="A585">
        <v>1584</v>
      </c>
      <c r="B585" t="s">
        <v>209</v>
      </c>
      <c r="C585" t="s">
        <v>20</v>
      </c>
      <c r="D585">
        <v>500</v>
      </c>
      <c r="E585">
        <v>200</v>
      </c>
    </row>
    <row r="586" spans="1:6" ht="15" customHeight="1" x14ac:dyDescent="0.25">
      <c r="A586">
        <v>1585</v>
      </c>
      <c r="B586" t="s">
        <v>477</v>
      </c>
      <c r="C586" t="s">
        <v>19</v>
      </c>
      <c r="D586">
        <v>200</v>
      </c>
      <c r="E586">
        <v>100</v>
      </c>
    </row>
    <row r="587" spans="1:6" ht="15" customHeight="1" x14ac:dyDescent="0.25">
      <c r="A587">
        <v>1586</v>
      </c>
      <c r="B587" t="s">
        <v>478</v>
      </c>
      <c r="C587" t="s">
        <v>19</v>
      </c>
      <c r="D587">
        <v>200</v>
      </c>
      <c r="E587">
        <v>100</v>
      </c>
      <c r="F587" t="s">
        <v>141</v>
      </c>
    </row>
    <row r="588" spans="1:6" ht="15" customHeight="1" x14ac:dyDescent="0.25">
      <c r="A588">
        <v>1587</v>
      </c>
      <c r="B588" t="s">
        <v>222</v>
      </c>
      <c r="C588" t="s">
        <v>19</v>
      </c>
      <c r="D588">
        <v>200</v>
      </c>
      <c r="E588">
        <v>100</v>
      </c>
    </row>
    <row r="589" spans="1:6" ht="15" customHeight="1" x14ac:dyDescent="0.25">
      <c r="A589">
        <v>1588</v>
      </c>
      <c r="B589" t="s">
        <v>348</v>
      </c>
      <c r="C589" t="s">
        <v>18</v>
      </c>
      <c r="D589">
        <v>50</v>
      </c>
      <c r="E589">
        <v>30</v>
      </c>
    </row>
    <row r="590" spans="1:6" ht="15" customHeight="1" x14ac:dyDescent="0.25">
      <c r="A590">
        <v>1589</v>
      </c>
      <c r="B590" t="s">
        <v>378</v>
      </c>
      <c r="C590" t="s">
        <v>20</v>
      </c>
      <c r="D590">
        <v>500</v>
      </c>
      <c r="E590">
        <v>200</v>
      </c>
    </row>
    <row r="591" spans="1:6" ht="15" customHeight="1" x14ac:dyDescent="0.25">
      <c r="A591">
        <v>1590</v>
      </c>
      <c r="B591" t="s">
        <v>282</v>
      </c>
      <c r="C591" t="s">
        <v>20</v>
      </c>
      <c r="D591">
        <v>500</v>
      </c>
      <c r="E591">
        <v>200</v>
      </c>
    </row>
    <row r="592" spans="1:6" ht="15" customHeight="1" x14ac:dyDescent="0.25">
      <c r="A592">
        <v>1591</v>
      </c>
      <c r="B592" t="s">
        <v>197</v>
      </c>
      <c r="C592" t="s">
        <v>20</v>
      </c>
      <c r="D592">
        <v>500</v>
      </c>
      <c r="E592">
        <v>200</v>
      </c>
    </row>
    <row r="593" spans="1:6" ht="15" customHeight="1" x14ac:dyDescent="0.25">
      <c r="A593">
        <v>1592</v>
      </c>
      <c r="B593" t="s">
        <v>281</v>
      </c>
      <c r="C593" t="s">
        <v>19</v>
      </c>
      <c r="D593">
        <v>200</v>
      </c>
      <c r="E593">
        <v>100</v>
      </c>
    </row>
    <row r="594" spans="1:6" ht="15" customHeight="1" x14ac:dyDescent="0.25">
      <c r="A594">
        <v>1593</v>
      </c>
      <c r="B594" t="s">
        <v>130</v>
      </c>
      <c r="C594" t="s">
        <v>18</v>
      </c>
      <c r="D594">
        <v>50</v>
      </c>
      <c r="E594">
        <v>30</v>
      </c>
      <c r="F594" t="s">
        <v>403</v>
      </c>
    </row>
    <row r="595" spans="1:6" ht="15" customHeight="1" x14ac:dyDescent="0.25">
      <c r="A595">
        <v>1594</v>
      </c>
      <c r="B595" t="s">
        <v>351</v>
      </c>
      <c r="C595" t="s">
        <v>19</v>
      </c>
      <c r="D595">
        <v>200</v>
      </c>
      <c r="E595">
        <v>100</v>
      </c>
    </row>
    <row r="596" spans="1:6" ht="15" customHeight="1" x14ac:dyDescent="0.25">
      <c r="A596">
        <v>1595</v>
      </c>
      <c r="B596" t="s">
        <v>479</v>
      </c>
      <c r="C596" t="s">
        <v>19</v>
      </c>
      <c r="D596">
        <v>200</v>
      </c>
      <c r="E596">
        <v>100</v>
      </c>
      <c r="F596" t="s">
        <v>363</v>
      </c>
    </row>
    <row r="597" spans="1:6" ht="15" customHeight="1" x14ac:dyDescent="0.25">
      <c r="A597">
        <v>1596</v>
      </c>
      <c r="B597" t="s">
        <v>357</v>
      </c>
      <c r="C597" t="s">
        <v>19</v>
      </c>
      <c r="D597">
        <v>200</v>
      </c>
      <c r="E597">
        <v>100</v>
      </c>
    </row>
    <row r="598" spans="1:6" ht="15" customHeight="1" x14ac:dyDescent="0.25">
      <c r="A598">
        <v>1597</v>
      </c>
      <c r="B598" t="s">
        <v>377</v>
      </c>
      <c r="C598" t="s">
        <v>18</v>
      </c>
      <c r="D598">
        <v>50</v>
      </c>
      <c r="E598">
        <v>30</v>
      </c>
    </row>
    <row r="599" spans="1:6" ht="15" customHeight="1" x14ac:dyDescent="0.25">
      <c r="A599">
        <v>1598</v>
      </c>
      <c r="B599" t="s">
        <v>480</v>
      </c>
      <c r="C599" t="s">
        <v>18</v>
      </c>
      <c r="D599">
        <v>50</v>
      </c>
      <c r="E599">
        <v>30</v>
      </c>
    </row>
    <row r="600" spans="1:6" ht="15" customHeight="1" x14ac:dyDescent="0.25">
      <c r="A600">
        <v>1599</v>
      </c>
      <c r="B600" t="s">
        <v>386</v>
      </c>
      <c r="C600" t="s">
        <v>19</v>
      </c>
      <c r="D600">
        <v>200</v>
      </c>
      <c r="E600">
        <v>100</v>
      </c>
      <c r="F600" t="s">
        <v>481</v>
      </c>
    </row>
    <row r="601" spans="1:6" ht="15" customHeight="1" x14ac:dyDescent="0.25">
      <c r="A601">
        <v>1600</v>
      </c>
      <c r="B601" t="s">
        <v>482</v>
      </c>
      <c r="C601" t="s">
        <v>20</v>
      </c>
      <c r="D601">
        <v>500</v>
      </c>
      <c r="E601">
        <v>200</v>
      </c>
    </row>
    <row r="602" spans="1:6" ht="15" customHeight="1" x14ac:dyDescent="0.25">
      <c r="A602">
        <v>1601</v>
      </c>
      <c r="B602" t="s">
        <v>360</v>
      </c>
      <c r="C602" t="s">
        <v>19</v>
      </c>
      <c r="D602">
        <v>200</v>
      </c>
      <c r="E602">
        <v>100</v>
      </c>
    </row>
    <row r="603" spans="1:6" ht="15" customHeight="1" x14ac:dyDescent="0.25">
      <c r="A603">
        <v>1602</v>
      </c>
      <c r="B603" t="s">
        <v>403</v>
      </c>
      <c r="C603" t="s">
        <v>18</v>
      </c>
      <c r="D603">
        <v>50</v>
      </c>
      <c r="E603">
        <v>30</v>
      </c>
      <c r="F603" t="s">
        <v>141</v>
      </c>
    </row>
    <row r="604" spans="1:6" ht="15" customHeight="1" x14ac:dyDescent="0.25">
      <c r="A604">
        <v>1603</v>
      </c>
      <c r="B604" t="s">
        <v>483</v>
      </c>
      <c r="C604" t="s">
        <v>20</v>
      </c>
      <c r="D604">
        <v>500</v>
      </c>
      <c r="E604">
        <v>200</v>
      </c>
    </row>
    <row r="605" spans="1:6" ht="15" customHeight="1" x14ac:dyDescent="0.25">
      <c r="A605">
        <v>1604</v>
      </c>
      <c r="B605" t="s">
        <v>484</v>
      </c>
      <c r="C605" t="s">
        <v>20</v>
      </c>
      <c r="D605">
        <v>500</v>
      </c>
      <c r="E605">
        <v>200</v>
      </c>
    </row>
    <row r="606" spans="1:6" ht="15" customHeight="1" x14ac:dyDescent="0.25">
      <c r="A606">
        <v>1605</v>
      </c>
      <c r="B606" t="s">
        <v>485</v>
      </c>
      <c r="C606" t="s">
        <v>19</v>
      </c>
      <c r="D606">
        <v>200</v>
      </c>
      <c r="E606">
        <v>100</v>
      </c>
    </row>
    <row r="607" spans="1:6" ht="15" customHeight="1" x14ac:dyDescent="0.25">
      <c r="A607">
        <v>1606</v>
      </c>
      <c r="B607" t="s">
        <v>453</v>
      </c>
      <c r="C607" t="s">
        <v>18</v>
      </c>
      <c r="D607">
        <v>50</v>
      </c>
      <c r="E607">
        <v>30</v>
      </c>
    </row>
    <row r="608" spans="1:6" ht="15" customHeight="1" x14ac:dyDescent="0.25">
      <c r="A608">
        <v>1607</v>
      </c>
      <c r="B608" t="s">
        <v>486</v>
      </c>
      <c r="C608" t="s">
        <v>19</v>
      </c>
      <c r="D608">
        <v>200</v>
      </c>
      <c r="E608">
        <v>100</v>
      </c>
      <c r="F608" t="s">
        <v>413</v>
      </c>
    </row>
    <row r="609" spans="1:6" ht="15" customHeight="1" x14ac:dyDescent="0.25">
      <c r="A609">
        <v>1608</v>
      </c>
      <c r="B609" t="s">
        <v>329</v>
      </c>
      <c r="C609" t="s">
        <v>20</v>
      </c>
      <c r="D609">
        <v>500</v>
      </c>
      <c r="E609">
        <v>200</v>
      </c>
    </row>
    <row r="610" spans="1:6" ht="15" customHeight="1" x14ac:dyDescent="0.25">
      <c r="A610">
        <v>1609</v>
      </c>
      <c r="B610" t="s">
        <v>211</v>
      </c>
      <c r="C610" t="s">
        <v>18</v>
      </c>
      <c r="D610">
        <v>50</v>
      </c>
      <c r="E610">
        <v>30</v>
      </c>
    </row>
    <row r="611" spans="1:6" ht="15" customHeight="1" x14ac:dyDescent="0.25">
      <c r="A611">
        <v>1610</v>
      </c>
      <c r="B611" t="s">
        <v>423</v>
      </c>
      <c r="C611" t="s">
        <v>20</v>
      </c>
      <c r="D611">
        <v>500</v>
      </c>
      <c r="E611">
        <v>200</v>
      </c>
    </row>
    <row r="612" spans="1:6" ht="15" customHeight="1" x14ac:dyDescent="0.25">
      <c r="A612">
        <v>1611</v>
      </c>
      <c r="B612" t="s">
        <v>461</v>
      </c>
      <c r="C612" t="s">
        <v>19</v>
      </c>
      <c r="D612">
        <v>200</v>
      </c>
      <c r="E612">
        <v>100</v>
      </c>
    </row>
    <row r="613" spans="1:6" ht="15" customHeight="1" x14ac:dyDescent="0.25">
      <c r="A613">
        <v>1612</v>
      </c>
      <c r="B613" t="s">
        <v>210</v>
      </c>
      <c r="C613" t="s">
        <v>19</v>
      </c>
      <c r="D613">
        <v>200</v>
      </c>
      <c r="E613">
        <v>100</v>
      </c>
    </row>
    <row r="614" spans="1:6" ht="15" customHeight="1" x14ac:dyDescent="0.25">
      <c r="A614">
        <v>1613</v>
      </c>
      <c r="B614" t="s">
        <v>487</v>
      </c>
      <c r="C614" t="s">
        <v>20</v>
      </c>
      <c r="D614">
        <v>500</v>
      </c>
      <c r="E614">
        <v>200</v>
      </c>
    </row>
    <row r="615" spans="1:6" ht="15" customHeight="1" x14ac:dyDescent="0.25">
      <c r="A615">
        <v>1614</v>
      </c>
      <c r="B615" t="s">
        <v>488</v>
      </c>
      <c r="C615" t="s">
        <v>19</v>
      </c>
      <c r="D615">
        <v>200</v>
      </c>
      <c r="E615">
        <v>100</v>
      </c>
    </row>
    <row r="616" spans="1:6" ht="15" customHeight="1" x14ac:dyDescent="0.25">
      <c r="A616">
        <v>1615</v>
      </c>
      <c r="B616" t="s">
        <v>302</v>
      </c>
      <c r="C616" t="s">
        <v>19</v>
      </c>
      <c r="D616">
        <v>200</v>
      </c>
      <c r="E616">
        <v>100</v>
      </c>
    </row>
    <row r="617" spans="1:6" ht="15" customHeight="1" x14ac:dyDescent="0.25">
      <c r="A617">
        <v>1616</v>
      </c>
      <c r="B617" t="s">
        <v>341</v>
      </c>
      <c r="C617" t="s">
        <v>20</v>
      </c>
      <c r="D617">
        <v>500</v>
      </c>
      <c r="E617">
        <v>200</v>
      </c>
      <c r="F617" t="s">
        <v>263</v>
      </c>
    </row>
    <row r="618" spans="1:6" ht="15" customHeight="1" x14ac:dyDescent="0.25">
      <c r="A618">
        <v>1617</v>
      </c>
      <c r="B618" t="s">
        <v>489</v>
      </c>
      <c r="C618" t="s">
        <v>18</v>
      </c>
      <c r="D618">
        <v>50</v>
      </c>
      <c r="E618">
        <v>30</v>
      </c>
      <c r="F618" t="s">
        <v>465</v>
      </c>
    </row>
    <row r="619" spans="1:6" ht="15" customHeight="1" x14ac:dyDescent="0.25">
      <c r="A619">
        <v>1618</v>
      </c>
      <c r="B619" t="s">
        <v>100</v>
      </c>
      <c r="C619" t="s">
        <v>18</v>
      </c>
      <c r="D619">
        <v>50</v>
      </c>
      <c r="E619">
        <v>30</v>
      </c>
    </row>
    <row r="620" spans="1:6" ht="15" customHeight="1" x14ac:dyDescent="0.25">
      <c r="A620">
        <v>1619</v>
      </c>
      <c r="B620" t="s">
        <v>157</v>
      </c>
      <c r="C620" t="s">
        <v>20</v>
      </c>
      <c r="D620">
        <v>500</v>
      </c>
      <c r="E620">
        <v>200</v>
      </c>
    </row>
    <row r="621" spans="1:6" ht="15" customHeight="1" x14ac:dyDescent="0.25">
      <c r="A621">
        <v>1620</v>
      </c>
      <c r="B621" t="s">
        <v>490</v>
      </c>
      <c r="C621" t="s">
        <v>19</v>
      </c>
      <c r="D621">
        <v>200</v>
      </c>
      <c r="E621">
        <v>100</v>
      </c>
    </row>
    <row r="622" spans="1:6" ht="15" customHeight="1" x14ac:dyDescent="0.25">
      <c r="A622">
        <v>1621</v>
      </c>
      <c r="B622" t="s">
        <v>469</v>
      </c>
      <c r="C622" t="s">
        <v>18</v>
      </c>
      <c r="D622">
        <v>50</v>
      </c>
      <c r="E622">
        <v>30</v>
      </c>
    </row>
    <row r="623" spans="1:6" ht="15" customHeight="1" x14ac:dyDescent="0.25">
      <c r="A623">
        <v>1622</v>
      </c>
      <c r="B623" t="s">
        <v>464</v>
      </c>
      <c r="C623" t="s">
        <v>20</v>
      </c>
      <c r="D623">
        <v>500</v>
      </c>
      <c r="E623">
        <v>200</v>
      </c>
    </row>
    <row r="624" spans="1:6" ht="15" customHeight="1" x14ac:dyDescent="0.25">
      <c r="A624">
        <v>1623</v>
      </c>
      <c r="B624" t="s">
        <v>336</v>
      </c>
      <c r="C624" t="s">
        <v>20</v>
      </c>
      <c r="D624">
        <v>500</v>
      </c>
      <c r="E624">
        <v>200</v>
      </c>
    </row>
    <row r="625" spans="1:6" ht="15" customHeight="1" x14ac:dyDescent="0.25">
      <c r="A625">
        <v>1624</v>
      </c>
      <c r="B625" t="s">
        <v>491</v>
      </c>
      <c r="C625" t="s">
        <v>20</v>
      </c>
      <c r="D625">
        <v>500</v>
      </c>
      <c r="E625">
        <v>200</v>
      </c>
      <c r="F625" t="s">
        <v>492</v>
      </c>
    </row>
    <row r="626" spans="1:6" ht="15" customHeight="1" x14ac:dyDescent="0.25">
      <c r="A626">
        <v>1625</v>
      </c>
      <c r="B626" t="s">
        <v>277</v>
      </c>
      <c r="C626" t="s">
        <v>18</v>
      </c>
      <c r="D626">
        <v>50</v>
      </c>
      <c r="E626">
        <v>30</v>
      </c>
    </row>
    <row r="627" spans="1:6" ht="15" customHeight="1" x14ac:dyDescent="0.25">
      <c r="A627">
        <v>1626</v>
      </c>
      <c r="B627" t="s">
        <v>234</v>
      </c>
      <c r="C627" t="s">
        <v>18</v>
      </c>
      <c r="D627">
        <v>50</v>
      </c>
      <c r="E627">
        <v>30</v>
      </c>
    </row>
    <row r="628" spans="1:6" ht="15" customHeight="1" x14ac:dyDescent="0.25">
      <c r="A628">
        <v>1627</v>
      </c>
      <c r="B628" t="s">
        <v>460</v>
      </c>
      <c r="C628" t="s">
        <v>20</v>
      </c>
      <c r="D628">
        <v>500</v>
      </c>
      <c r="E628">
        <v>200</v>
      </c>
    </row>
    <row r="629" spans="1:6" ht="15" customHeight="1" x14ac:dyDescent="0.25">
      <c r="A629">
        <v>1628</v>
      </c>
      <c r="B629" t="s">
        <v>169</v>
      </c>
      <c r="C629" t="s">
        <v>18</v>
      </c>
      <c r="D629">
        <v>50</v>
      </c>
      <c r="E629">
        <v>30</v>
      </c>
    </row>
    <row r="630" spans="1:6" ht="15" customHeight="1" x14ac:dyDescent="0.25">
      <c r="A630">
        <v>1629</v>
      </c>
      <c r="B630" t="s">
        <v>93</v>
      </c>
      <c r="C630" t="s">
        <v>19</v>
      </c>
      <c r="D630">
        <v>200</v>
      </c>
      <c r="E630">
        <v>100</v>
      </c>
      <c r="F630" t="s">
        <v>493</v>
      </c>
    </row>
    <row r="631" spans="1:6" ht="15" customHeight="1" x14ac:dyDescent="0.25">
      <c r="A631">
        <v>1630</v>
      </c>
      <c r="B631" t="s">
        <v>425</v>
      </c>
      <c r="C631" t="s">
        <v>18</v>
      </c>
      <c r="D631">
        <v>50</v>
      </c>
      <c r="E631">
        <v>30</v>
      </c>
    </row>
    <row r="632" spans="1:6" ht="15" customHeight="1" x14ac:dyDescent="0.25">
      <c r="A632">
        <v>1631</v>
      </c>
      <c r="B632" t="s">
        <v>156</v>
      </c>
      <c r="C632" t="s">
        <v>20</v>
      </c>
      <c r="D632">
        <v>500</v>
      </c>
      <c r="E632">
        <v>200</v>
      </c>
    </row>
    <row r="633" spans="1:6" ht="15" customHeight="1" x14ac:dyDescent="0.25">
      <c r="A633">
        <v>1632</v>
      </c>
      <c r="B633" t="s">
        <v>183</v>
      </c>
      <c r="C633" t="s">
        <v>19</v>
      </c>
      <c r="D633">
        <v>200</v>
      </c>
      <c r="E633">
        <v>100</v>
      </c>
    </row>
    <row r="634" spans="1:6" ht="15" customHeight="1" x14ac:dyDescent="0.25">
      <c r="A634">
        <v>1633</v>
      </c>
      <c r="B634" t="s">
        <v>164</v>
      </c>
      <c r="C634" t="s">
        <v>20</v>
      </c>
      <c r="D634">
        <v>500</v>
      </c>
      <c r="E634">
        <v>200</v>
      </c>
    </row>
    <row r="635" spans="1:6" ht="15" customHeight="1" x14ac:dyDescent="0.25">
      <c r="A635">
        <v>1634</v>
      </c>
      <c r="B635" t="s">
        <v>187</v>
      </c>
      <c r="C635" t="s">
        <v>20</v>
      </c>
      <c r="D635">
        <v>500</v>
      </c>
      <c r="E635">
        <v>200</v>
      </c>
    </row>
    <row r="636" spans="1:6" ht="15" customHeight="1" x14ac:dyDescent="0.25">
      <c r="A636">
        <v>1635</v>
      </c>
      <c r="B636" t="s">
        <v>425</v>
      </c>
      <c r="C636" t="s">
        <v>20</v>
      </c>
      <c r="D636">
        <v>500</v>
      </c>
      <c r="E636">
        <v>200</v>
      </c>
    </row>
    <row r="637" spans="1:6" ht="15" customHeight="1" x14ac:dyDescent="0.25">
      <c r="A637">
        <v>1636</v>
      </c>
      <c r="B637" t="s">
        <v>187</v>
      </c>
      <c r="C637" t="s">
        <v>20</v>
      </c>
      <c r="D637">
        <v>500</v>
      </c>
      <c r="E637">
        <v>200</v>
      </c>
    </row>
    <row r="638" spans="1:6" ht="15" customHeight="1" x14ac:dyDescent="0.25">
      <c r="A638">
        <v>1637</v>
      </c>
      <c r="B638" t="s">
        <v>180</v>
      </c>
      <c r="C638" t="s">
        <v>20</v>
      </c>
      <c r="D638">
        <v>500</v>
      </c>
      <c r="E638">
        <v>200</v>
      </c>
    </row>
    <row r="639" spans="1:6" ht="15" customHeight="1" x14ac:dyDescent="0.25">
      <c r="A639">
        <v>1638</v>
      </c>
      <c r="B639" t="s">
        <v>264</v>
      </c>
      <c r="C639" t="s">
        <v>19</v>
      </c>
      <c r="D639">
        <v>200</v>
      </c>
      <c r="E639">
        <v>100</v>
      </c>
    </row>
    <row r="640" spans="1:6" ht="15" customHeight="1" x14ac:dyDescent="0.25">
      <c r="A640">
        <v>1639</v>
      </c>
      <c r="B640" t="s">
        <v>192</v>
      </c>
      <c r="C640" t="s">
        <v>19</v>
      </c>
      <c r="D640">
        <v>200</v>
      </c>
      <c r="E640">
        <v>100</v>
      </c>
    </row>
    <row r="641" spans="1:5" ht="15" customHeight="1" x14ac:dyDescent="0.25">
      <c r="A641">
        <v>1640</v>
      </c>
      <c r="B641" t="s">
        <v>197</v>
      </c>
      <c r="C641" t="s">
        <v>18</v>
      </c>
      <c r="D641">
        <v>50</v>
      </c>
      <c r="E641">
        <v>30</v>
      </c>
    </row>
    <row r="642" spans="1:5" ht="15" customHeight="1" x14ac:dyDescent="0.25">
      <c r="A642">
        <v>1641</v>
      </c>
      <c r="B642" t="s">
        <v>160</v>
      </c>
      <c r="C642" t="s">
        <v>18</v>
      </c>
      <c r="D642">
        <v>50</v>
      </c>
      <c r="E642">
        <v>30</v>
      </c>
    </row>
    <row r="643" spans="1:5" ht="15" customHeight="1" x14ac:dyDescent="0.25">
      <c r="A643">
        <v>1642</v>
      </c>
      <c r="B643" t="s">
        <v>365</v>
      </c>
      <c r="C643" t="s">
        <v>20</v>
      </c>
      <c r="D643">
        <v>500</v>
      </c>
      <c r="E643">
        <v>200</v>
      </c>
    </row>
    <row r="644" spans="1:5" ht="15" customHeight="1" x14ac:dyDescent="0.25">
      <c r="A644">
        <v>1643</v>
      </c>
      <c r="B644" t="s">
        <v>494</v>
      </c>
      <c r="C644" t="s">
        <v>18</v>
      </c>
      <c r="D644">
        <v>50</v>
      </c>
      <c r="E644">
        <v>30</v>
      </c>
    </row>
    <row r="645" spans="1:5" ht="15" customHeight="1" x14ac:dyDescent="0.25">
      <c r="A645">
        <v>1644</v>
      </c>
      <c r="B645" t="s">
        <v>90</v>
      </c>
      <c r="C645" t="s">
        <v>20</v>
      </c>
      <c r="D645">
        <v>500</v>
      </c>
      <c r="E645">
        <v>200</v>
      </c>
    </row>
    <row r="646" spans="1:5" ht="15" customHeight="1" x14ac:dyDescent="0.25">
      <c r="A646">
        <v>1645</v>
      </c>
      <c r="B646" t="s">
        <v>210</v>
      </c>
      <c r="C646" t="s">
        <v>18</v>
      </c>
      <c r="D646">
        <v>50</v>
      </c>
      <c r="E646">
        <v>30</v>
      </c>
    </row>
    <row r="647" spans="1:5" ht="15" customHeight="1" x14ac:dyDescent="0.25">
      <c r="A647">
        <v>1646</v>
      </c>
      <c r="B647" t="s">
        <v>225</v>
      </c>
      <c r="C647" t="s">
        <v>20</v>
      </c>
      <c r="D647">
        <v>500</v>
      </c>
      <c r="E647">
        <v>200</v>
      </c>
    </row>
    <row r="648" spans="1:5" ht="15" customHeight="1" x14ac:dyDescent="0.25">
      <c r="A648">
        <v>1647</v>
      </c>
      <c r="B648" t="s">
        <v>255</v>
      </c>
      <c r="C648" t="s">
        <v>18</v>
      </c>
      <c r="D648">
        <v>50</v>
      </c>
      <c r="E648">
        <v>30</v>
      </c>
    </row>
    <row r="649" spans="1:5" ht="15" customHeight="1" x14ac:dyDescent="0.25">
      <c r="A649">
        <v>1648</v>
      </c>
      <c r="B649" t="s">
        <v>427</v>
      </c>
      <c r="C649" t="s">
        <v>18</v>
      </c>
      <c r="D649">
        <v>50</v>
      </c>
      <c r="E649">
        <v>30</v>
      </c>
    </row>
    <row r="650" spans="1:5" ht="15" customHeight="1" x14ac:dyDescent="0.25">
      <c r="A650">
        <v>1649</v>
      </c>
      <c r="B650" t="s">
        <v>495</v>
      </c>
      <c r="C650" t="s">
        <v>19</v>
      </c>
      <c r="D650">
        <v>200</v>
      </c>
      <c r="E650">
        <v>100</v>
      </c>
    </row>
    <row r="651" spans="1:5" ht="15" customHeight="1" x14ac:dyDescent="0.25">
      <c r="A651">
        <v>1650</v>
      </c>
      <c r="B651" t="s">
        <v>327</v>
      </c>
      <c r="C651" t="s">
        <v>19</v>
      </c>
      <c r="D651">
        <v>200</v>
      </c>
      <c r="E651">
        <v>100</v>
      </c>
    </row>
    <row r="652" spans="1:5" ht="15" customHeight="1" x14ac:dyDescent="0.25">
      <c r="A652">
        <v>1651</v>
      </c>
      <c r="B652" t="s">
        <v>496</v>
      </c>
      <c r="C652" t="s">
        <v>20</v>
      </c>
      <c r="D652">
        <v>500</v>
      </c>
      <c r="E652">
        <v>200</v>
      </c>
    </row>
    <row r="653" spans="1:5" ht="15" customHeight="1" x14ac:dyDescent="0.25">
      <c r="A653">
        <v>1652</v>
      </c>
      <c r="B653" t="s">
        <v>147</v>
      </c>
      <c r="C653" t="s">
        <v>18</v>
      </c>
      <c r="D653">
        <v>50</v>
      </c>
      <c r="E653">
        <v>30</v>
      </c>
    </row>
    <row r="654" spans="1:5" ht="15" customHeight="1" x14ac:dyDescent="0.25">
      <c r="A654">
        <v>1653</v>
      </c>
      <c r="B654" t="s">
        <v>480</v>
      </c>
      <c r="C654" t="s">
        <v>19</v>
      </c>
      <c r="D654">
        <v>200</v>
      </c>
      <c r="E654">
        <v>100</v>
      </c>
    </row>
    <row r="655" spans="1:5" ht="15" customHeight="1" x14ac:dyDescent="0.25">
      <c r="A655">
        <v>1654</v>
      </c>
      <c r="B655" t="s">
        <v>307</v>
      </c>
      <c r="C655" t="s">
        <v>18</v>
      </c>
      <c r="D655">
        <v>50</v>
      </c>
      <c r="E655">
        <v>30</v>
      </c>
    </row>
    <row r="656" spans="1:5" ht="15" customHeight="1" x14ac:dyDescent="0.25">
      <c r="A656">
        <v>1655</v>
      </c>
      <c r="B656" t="s">
        <v>497</v>
      </c>
      <c r="C656" t="s">
        <v>18</v>
      </c>
      <c r="D656">
        <v>50</v>
      </c>
      <c r="E656">
        <v>30</v>
      </c>
    </row>
    <row r="657" spans="1:6" ht="15" customHeight="1" x14ac:dyDescent="0.25">
      <c r="A657">
        <v>1656</v>
      </c>
      <c r="B657" t="s">
        <v>498</v>
      </c>
      <c r="C657" t="s">
        <v>19</v>
      </c>
      <c r="D657">
        <v>200</v>
      </c>
      <c r="E657">
        <v>100</v>
      </c>
      <c r="F657" t="s">
        <v>499</v>
      </c>
    </row>
    <row r="658" spans="1:6" ht="15" customHeight="1" x14ac:dyDescent="0.25">
      <c r="A658">
        <v>1657</v>
      </c>
      <c r="B658" t="s">
        <v>124</v>
      </c>
      <c r="C658" t="s">
        <v>18</v>
      </c>
      <c r="D658">
        <v>50</v>
      </c>
      <c r="E658">
        <v>30</v>
      </c>
    </row>
    <row r="659" spans="1:6" ht="15" customHeight="1" x14ac:dyDescent="0.25">
      <c r="A659">
        <v>1658</v>
      </c>
      <c r="B659" t="s">
        <v>490</v>
      </c>
      <c r="C659" t="s">
        <v>20</v>
      </c>
      <c r="D659">
        <v>500</v>
      </c>
      <c r="E659">
        <v>200</v>
      </c>
    </row>
    <row r="660" spans="1:6" ht="15" customHeight="1" x14ac:dyDescent="0.25">
      <c r="A660">
        <v>1659</v>
      </c>
      <c r="B660" t="s">
        <v>312</v>
      </c>
      <c r="C660" t="s">
        <v>19</v>
      </c>
      <c r="D660">
        <v>200</v>
      </c>
      <c r="E660">
        <v>100</v>
      </c>
    </row>
    <row r="661" spans="1:6" ht="15" customHeight="1" x14ac:dyDescent="0.25">
      <c r="A661">
        <v>1660</v>
      </c>
      <c r="B661" t="s">
        <v>500</v>
      </c>
      <c r="C661" t="s">
        <v>20</v>
      </c>
      <c r="D661">
        <v>500</v>
      </c>
      <c r="E661">
        <v>200</v>
      </c>
    </row>
    <row r="662" spans="1:6" ht="15" customHeight="1" x14ac:dyDescent="0.25">
      <c r="A662">
        <v>1661</v>
      </c>
      <c r="B662" t="s">
        <v>112</v>
      </c>
      <c r="C662" t="s">
        <v>18</v>
      </c>
      <c r="D662">
        <v>50</v>
      </c>
      <c r="E662">
        <v>30</v>
      </c>
    </row>
    <row r="663" spans="1:6" ht="15" customHeight="1" x14ac:dyDescent="0.25">
      <c r="A663">
        <v>1662</v>
      </c>
      <c r="B663" t="s">
        <v>381</v>
      </c>
      <c r="C663" t="s">
        <v>19</v>
      </c>
      <c r="D663">
        <v>200</v>
      </c>
      <c r="E663">
        <v>100</v>
      </c>
    </row>
    <row r="664" spans="1:6" ht="15" customHeight="1" x14ac:dyDescent="0.25">
      <c r="A664">
        <v>1663</v>
      </c>
      <c r="B664" t="s">
        <v>501</v>
      </c>
      <c r="C664" t="s">
        <v>18</v>
      </c>
      <c r="D664">
        <v>50</v>
      </c>
      <c r="E664">
        <v>30</v>
      </c>
    </row>
    <row r="665" spans="1:6" ht="15" customHeight="1" x14ac:dyDescent="0.25">
      <c r="A665">
        <v>1664</v>
      </c>
      <c r="B665" t="s">
        <v>380</v>
      </c>
      <c r="C665" t="s">
        <v>20</v>
      </c>
      <c r="D665">
        <v>500</v>
      </c>
      <c r="E665">
        <v>200</v>
      </c>
    </row>
    <row r="666" spans="1:6" ht="15" customHeight="1" x14ac:dyDescent="0.25">
      <c r="A666">
        <v>1665</v>
      </c>
      <c r="B666" t="s">
        <v>363</v>
      </c>
      <c r="C666" t="s">
        <v>20</v>
      </c>
      <c r="D666">
        <v>500</v>
      </c>
      <c r="E666">
        <v>200</v>
      </c>
    </row>
    <row r="667" spans="1:6" ht="15" customHeight="1" x14ac:dyDescent="0.25">
      <c r="A667">
        <v>1666</v>
      </c>
      <c r="B667" t="s">
        <v>109</v>
      </c>
      <c r="C667" t="s">
        <v>18</v>
      </c>
      <c r="D667">
        <v>50</v>
      </c>
      <c r="E667">
        <v>30</v>
      </c>
    </row>
    <row r="668" spans="1:6" ht="15" customHeight="1" x14ac:dyDescent="0.25">
      <c r="A668">
        <v>1667</v>
      </c>
      <c r="B668" t="s">
        <v>502</v>
      </c>
      <c r="C668" t="s">
        <v>18</v>
      </c>
      <c r="D668">
        <v>50</v>
      </c>
      <c r="E668">
        <v>30</v>
      </c>
    </row>
    <row r="669" spans="1:6" ht="15" customHeight="1" x14ac:dyDescent="0.25">
      <c r="A669">
        <v>1668</v>
      </c>
      <c r="B669" t="s">
        <v>232</v>
      </c>
      <c r="C669" t="s">
        <v>20</v>
      </c>
      <c r="D669">
        <v>500</v>
      </c>
      <c r="E669">
        <v>200</v>
      </c>
    </row>
    <row r="670" spans="1:6" ht="15" customHeight="1" x14ac:dyDescent="0.25">
      <c r="A670">
        <v>1669</v>
      </c>
      <c r="B670" t="s">
        <v>503</v>
      </c>
      <c r="C670" t="s">
        <v>20</v>
      </c>
      <c r="D670">
        <v>500</v>
      </c>
      <c r="E670">
        <v>200</v>
      </c>
    </row>
    <row r="671" spans="1:6" ht="15" customHeight="1" x14ac:dyDescent="0.25">
      <c r="A671">
        <v>1670</v>
      </c>
      <c r="B671" t="s">
        <v>325</v>
      </c>
      <c r="C671" t="s">
        <v>18</v>
      </c>
      <c r="D671">
        <v>50</v>
      </c>
      <c r="E671">
        <v>30</v>
      </c>
    </row>
    <row r="672" spans="1:6" ht="15" customHeight="1" x14ac:dyDescent="0.25">
      <c r="A672">
        <v>1671</v>
      </c>
      <c r="B672" t="s">
        <v>492</v>
      </c>
      <c r="C672" t="s">
        <v>18</v>
      </c>
      <c r="D672">
        <v>50</v>
      </c>
      <c r="E672">
        <v>30</v>
      </c>
    </row>
    <row r="673" spans="1:6" ht="15" customHeight="1" x14ac:dyDescent="0.25">
      <c r="A673">
        <v>1672</v>
      </c>
      <c r="B673" t="s">
        <v>203</v>
      </c>
      <c r="C673" t="s">
        <v>18</v>
      </c>
      <c r="D673">
        <v>50</v>
      </c>
      <c r="E673">
        <v>30</v>
      </c>
      <c r="F673" t="s">
        <v>504</v>
      </c>
    </row>
    <row r="674" spans="1:6" ht="15" customHeight="1" x14ac:dyDescent="0.25">
      <c r="A674">
        <v>1673</v>
      </c>
      <c r="B674" t="s">
        <v>335</v>
      </c>
      <c r="C674" t="s">
        <v>20</v>
      </c>
      <c r="D674">
        <v>500</v>
      </c>
      <c r="E674">
        <v>200</v>
      </c>
    </row>
    <row r="675" spans="1:6" ht="15" customHeight="1" x14ac:dyDescent="0.25">
      <c r="A675">
        <v>1674</v>
      </c>
      <c r="B675" t="s">
        <v>213</v>
      </c>
      <c r="C675" t="s">
        <v>19</v>
      </c>
      <c r="D675">
        <v>200</v>
      </c>
      <c r="E675">
        <v>100</v>
      </c>
    </row>
    <row r="676" spans="1:6" ht="15" customHeight="1" x14ac:dyDescent="0.25">
      <c r="A676">
        <v>1675</v>
      </c>
      <c r="B676" t="s">
        <v>376</v>
      </c>
      <c r="C676" t="s">
        <v>19</v>
      </c>
      <c r="D676">
        <v>200</v>
      </c>
      <c r="E676">
        <v>100</v>
      </c>
    </row>
    <row r="677" spans="1:6" ht="15" customHeight="1" x14ac:dyDescent="0.25">
      <c r="A677">
        <v>1676</v>
      </c>
      <c r="B677" t="s">
        <v>505</v>
      </c>
      <c r="C677" t="s">
        <v>20</v>
      </c>
      <c r="D677">
        <v>500</v>
      </c>
      <c r="E677">
        <v>200</v>
      </c>
    </row>
    <row r="678" spans="1:6" ht="15" customHeight="1" x14ac:dyDescent="0.25">
      <c r="A678">
        <v>1677</v>
      </c>
      <c r="B678" t="s">
        <v>136</v>
      </c>
      <c r="C678" t="s">
        <v>18</v>
      </c>
      <c r="D678">
        <v>50</v>
      </c>
      <c r="E678">
        <v>30</v>
      </c>
    </row>
    <row r="679" spans="1:6" ht="15" customHeight="1" x14ac:dyDescent="0.25">
      <c r="A679">
        <v>1678</v>
      </c>
      <c r="B679" t="s">
        <v>387</v>
      </c>
      <c r="C679" t="s">
        <v>20</v>
      </c>
      <c r="D679">
        <v>500</v>
      </c>
      <c r="E679">
        <v>200</v>
      </c>
    </row>
    <row r="680" spans="1:6" ht="15" customHeight="1" x14ac:dyDescent="0.25">
      <c r="A680">
        <v>1679</v>
      </c>
      <c r="B680" t="s">
        <v>410</v>
      </c>
      <c r="C680" t="s">
        <v>18</v>
      </c>
      <c r="D680">
        <v>50</v>
      </c>
      <c r="E680">
        <v>30</v>
      </c>
    </row>
    <row r="681" spans="1:6" ht="15" customHeight="1" x14ac:dyDescent="0.25">
      <c r="A681">
        <v>1680</v>
      </c>
      <c r="B681" t="s">
        <v>264</v>
      </c>
      <c r="C681" t="s">
        <v>19</v>
      </c>
      <c r="D681">
        <v>200</v>
      </c>
      <c r="E681">
        <v>100</v>
      </c>
    </row>
    <row r="682" spans="1:6" ht="15" customHeight="1" x14ac:dyDescent="0.25">
      <c r="A682">
        <v>1681</v>
      </c>
      <c r="B682" t="s">
        <v>161</v>
      </c>
      <c r="C682" t="s">
        <v>20</v>
      </c>
      <c r="D682">
        <v>500</v>
      </c>
      <c r="E682">
        <v>200</v>
      </c>
    </row>
    <row r="683" spans="1:6" ht="15" customHeight="1" x14ac:dyDescent="0.25">
      <c r="A683">
        <v>1682</v>
      </c>
      <c r="B683" t="s">
        <v>437</v>
      </c>
      <c r="C683" t="s">
        <v>18</v>
      </c>
      <c r="D683">
        <v>50</v>
      </c>
      <c r="E683">
        <v>30</v>
      </c>
    </row>
    <row r="684" spans="1:6" ht="15" customHeight="1" x14ac:dyDescent="0.25">
      <c r="A684">
        <v>1683</v>
      </c>
      <c r="B684" t="s">
        <v>506</v>
      </c>
      <c r="C684" t="s">
        <v>19</v>
      </c>
      <c r="D684">
        <v>200</v>
      </c>
      <c r="E684">
        <v>100</v>
      </c>
      <c r="F684" t="s">
        <v>495</v>
      </c>
    </row>
    <row r="685" spans="1:6" ht="15" customHeight="1" x14ac:dyDescent="0.25">
      <c r="A685">
        <v>1684</v>
      </c>
      <c r="B685" t="s">
        <v>283</v>
      </c>
      <c r="C685" t="s">
        <v>20</v>
      </c>
      <c r="D685">
        <v>500</v>
      </c>
      <c r="E685">
        <v>200</v>
      </c>
    </row>
    <row r="686" spans="1:6" ht="15" customHeight="1" x14ac:dyDescent="0.25">
      <c r="A686">
        <v>1685</v>
      </c>
      <c r="B686" t="s">
        <v>245</v>
      </c>
      <c r="C686" t="s">
        <v>19</v>
      </c>
      <c r="D686">
        <v>200</v>
      </c>
      <c r="E686">
        <v>100</v>
      </c>
    </row>
    <row r="687" spans="1:6" ht="15" customHeight="1" x14ac:dyDescent="0.25">
      <c r="A687">
        <v>1686</v>
      </c>
      <c r="B687" t="s">
        <v>394</v>
      </c>
      <c r="C687" t="s">
        <v>18</v>
      </c>
      <c r="D687">
        <v>50</v>
      </c>
      <c r="E687">
        <v>30</v>
      </c>
      <c r="F687" t="s">
        <v>493</v>
      </c>
    </row>
    <row r="688" spans="1:6" ht="15" customHeight="1" x14ac:dyDescent="0.25">
      <c r="A688">
        <v>1687</v>
      </c>
      <c r="B688" t="s">
        <v>110</v>
      </c>
      <c r="C688" t="s">
        <v>20</v>
      </c>
      <c r="D688">
        <v>500</v>
      </c>
      <c r="E688">
        <v>200</v>
      </c>
    </row>
    <row r="689" spans="1:6" ht="15" customHeight="1" x14ac:dyDescent="0.25">
      <c r="A689">
        <v>1688</v>
      </c>
      <c r="B689" t="s">
        <v>434</v>
      </c>
      <c r="C689" t="s">
        <v>18</v>
      </c>
      <c r="D689">
        <v>50</v>
      </c>
      <c r="E689">
        <v>30</v>
      </c>
    </row>
    <row r="690" spans="1:6" ht="15" customHeight="1" x14ac:dyDescent="0.25">
      <c r="A690">
        <v>1689</v>
      </c>
      <c r="B690" t="s">
        <v>328</v>
      </c>
      <c r="C690" t="s">
        <v>18</v>
      </c>
      <c r="D690">
        <v>50</v>
      </c>
      <c r="E690">
        <v>30</v>
      </c>
    </row>
    <row r="691" spans="1:6" ht="15" customHeight="1" x14ac:dyDescent="0.25">
      <c r="A691">
        <v>1690</v>
      </c>
      <c r="B691" t="s">
        <v>111</v>
      </c>
      <c r="C691" t="s">
        <v>19</v>
      </c>
      <c r="D691">
        <v>200</v>
      </c>
      <c r="E691">
        <v>100</v>
      </c>
    </row>
    <row r="692" spans="1:6" ht="15" customHeight="1" x14ac:dyDescent="0.25">
      <c r="A692">
        <v>1691</v>
      </c>
      <c r="B692" t="s">
        <v>507</v>
      </c>
      <c r="C692" t="s">
        <v>20</v>
      </c>
      <c r="D692">
        <v>500</v>
      </c>
      <c r="E692">
        <v>200</v>
      </c>
    </row>
    <row r="693" spans="1:6" ht="15" customHeight="1" x14ac:dyDescent="0.25">
      <c r="A693">
        <v>1692</v>
      </c>
      <c r="B693" t="s">
        <v>508</v>
      </c>
      <c r="C693" t="s">
        <v>19</v>
      </c>
      <c r="D693">
        <v>200</v>
      </c>
      <c r="E693">
        <v>100</v>
      </c>
    </row>
    <row r="694" spans="1:6" ht="15" customHeight="1" x14ac:dyDescent="0.25">
      <c r="A694">
        <v>1693</v>
      </c>
      <c r="B694" t="s">
        <v>324</v>
      </c>
      <c r="C694" t="s">
        <v>18</v>
      </c>
      <c r="D694">
        <v>50</v>
      </c>
      <c r="E694">
        <v>30</v>
      </c>
    </row>
    <row r="695" spans="1:6" ht="15" customHeight="1" x14ac:dyDescent="0.25">
      <c r="A695">
        <v>1694</v>
      </c>
      <c r="B695" t="s">
        <v>137</v>
      </c>
      <c r="C695" t="s">
        <v>19</v>
      </c>
      <c r="D695">
        <v>200</v>
      </c>
      <c r="E695">
        <v>100</v>
      </c>
    </row>
    <row r="696" spans="1:6" ht="15" customHeight="1" x14ac:dyDescent="0.25">
      <c r="A696">
        <v>1695</v>
      </c>
      <c r="B696" t="s">
        <v>359</v>
      </c>
      <c r="C696" t="s">
        <v>19</v>
      </c>
      <c r="D696">
        <v>200</v>
      </c>
      <c r="E696">
        <v>100</v>
      </c>
    </row>
    <row r="697" spans="1:6" ht="15" customHeight="1" x14ac:dyDescent="0.25">
      <c r="A697">
        <v>1696</v>
      </c>
      <c r="B697" t="s">
        <v>453</v>
      </c>
      <c r="C697" t="s">
        <v>20</v>
      </c>
      <c r="D697">
        <v>500</v>
      </c>
      <c r="E697">
        <v>200</v>
      </c>
    </row>
    <row r="698" spans="1:6" ht="15" customHeight="1" x14ac:dyDescent="0.25">
      <c r="A698">
        <v>1697</v>
      </c>
      <c r="B698" t="s">
        <v>227</v>
      </c>
      <c r="C698" t="s">
        <v>18</v>
      </c>
      <c r="D698">
        <v>50</v>
      </c>
      <c r="E698">
        <v>30</v>
      </c>
      <c r="F698" t="s">
        <v>457</v>
      </c>
    </row>
    <row r="699" spans="1:6" ht="15" customHeight="1" x14ac:dyDescent="0.25">
      <c r="A699">
        <v>1698</v>
      </c>
      <c r="B699" t="s">
        <v>426</v>
      </c>
      <c r="C699" t="s">
        <v>19</v>
      </c>
      <c r="D699">
        <v>200</v>
      </c>
      <c r="E699">
        <v>100</v>
      </c>
    </row>
    <row r="700" spans="1:6" ht="15" customHeight="1" x14ac:dyDescent="0.25">
      <c r="A700">
        <v>1699</v>
      </c>
      <c r="B700" t="s">
        <v>277</v>
      </c>
      <c r="C700" t="s">
        <v>19</v>
      </c>
      <c r="D700">
        <v>200</v>
      </c>
      <c r="E700">
        <v>100</v>
      </c>
    </row>
    <row r="701" spans="1:6" ht="15" customHeight="1" x14ac:dyDescent="0.25">
      <c r="A701">
        <v>1700</v>
      </c>
      <c r="B701" t="s">
        <v>141</v>
      </c>
      <c r="C701" t="s">
        <v>18</v>
      </c>
      <c r="D701">
        <v>50</v>
      </c>
      <c r="E701">
        <v>30</v>
      </c>
    </row>
    <row r="702" spans="1:6" ht="15" customHeight="1" x14ac:dyDescent="0.25">
      <c r="A702">
        <v>1701</v>
      </c>
      <c r="B702" t="s">
        <v>509</v>
      </c>
      <c r="C702" t="s">
        <v>18</v>
      </c>
      <c r="D702">
        <v>50</v>
      </c>
      <c r="E702">
        <v>30</v>
      </c>
    </row>
    <row r="703" spans="1:6" ht="15" customHeight="1" x14ac:dyDescent="0.25">
      <c r="A703">
        <v>1702</v>
      </c>
      <c r="B703" t="s">
        <v>346</v>
      </c>
      <c r="C703" t="s">
        <v>20</v>
      </c>
      <c r="D703">
        <v>500</v>
      </c>
      <c r="E703">
        <v>200</v>
      </c>
    </row>
    <row r="704" spans="1:6" ht="15" customHeight="1" x14ac:dyDescent="0.25">
      <c r="A704">
        <v>1703</v>
      </c>
      <c r="B704" t="s">
        <v>179</v>
      </c>
      <c r="C704" t="s">
        <v>18</v>
      </c>
      <c r="D704">
        <v>50</v>
      </c>
      <c r="E704">
        <v>30</v>
      </c>
    </row>
    <row r="705" spans="1:6" ht="15" customHeight="1" x14ac:dyDescent="0.25">
      <c r="A705">
        <v>1704</v>
      </c>
      <c r="B705" t="s">
        <v>248</v>
      </c>
      <c r="C705" t="s">
        <v>18</v>
      </c>
      <c r="D705">
        <v>50</v>
      </c>
      <c r="E705">
        <v>30</v>
      </c>
    </row>
    <row r="706" spans="1:6" ht="15" customHeight="1" x14ac:dyDescent="0.25">
      <c r="A706">
        <v>1705</v>
      </c>
      <c r="B706" t="s">
        <v>427</v>
      </c>
      <c r="C706" t="s">
        <v>19</v>
      </c>
      <c r="D706">
        <v>200</v>
      </c>
      <c r="E706">
        <v>100</v>
      </c>
    </row>
    <row r="707" spans="1:6" ht="15" customHeight="1" x14ac:dyDescent="0.25">
      <c r="A707">
        <v>1706</v>
      </c>
      <c r="B707" t="s">
        <v>510</v>
      </c>
      <c r="C707" t="s">
        <v>20</v>
      </c>
      <c r="D707">
        <v>500</v>
      </c>
      <c r="E707">
        <v>200</v>
      </c>
    </row>
    <row r="708" spans="1:6" ht="15" customHeight="1" x14ac:dyDescent="0.25">
      <c r="A708">
        <v>1707</v>
      </c>
      <c r="B708" t="s">
        <v>212</v>
      </c>
      <c r="C708" t="s">
        <v>20</v>
      </c>
      <c r="D708">
        <v>500</v>
      </c>
      <c r="E708">
        <v>200</v>
      </c>
    </row>
    <row r="709" spans="1:6" ht="15" customHeight="1" x14ac:dyDescent="0.25">
      <c r="A709">
        <v>1708</v>
      </c>
      <c r="B709" t="s">
        <v>163</v>
      </c>
      <c r="C709" t="s">
        <v>18</v>
      </c>
      <c r="D709">
        <v>50</v>
      </c>
      <c r="E709">
        <v>30</v>
      </c>
    </row>
    <row r="710" spans="1:6" ht="15" customHeight="1" x14ac:dyDescent="0.25">
      <c r="A710">
        <v>1709</v>
      </c>
      <c r="B710" t="s">
        <v>358</v>
      </c>
      <c r="C710" t="s">
        <v>19</v>
      </c>
      <c r="D710">
        <v>200</v>
      </c>
      <c r="E710">
        <v>100</v>
      </c>
      <c r="F710" t="s">
        <v>335</v>
      </c>
    </row>
    <row r="711" spans="1:6" ht="15" customHeight="1" x14ac:dyDescent="0.25">
      <c r="A711">
        <v>1710</v>
      </c>
      <c r="B711" t="s">
        <v>511</v>
      </c>
      <c r="C711" t="s">
        <v>18</v>
      </c>
      <c r="D711">
        <v>50</v>
      </c>
      <c r="E711">
        <v>30</v>
      </c>
    </row>
    <row r="712" spans="1:6" ht="15" customHeight="1" x14ac:dyDescent="0.25">
      <c r="A712">
        <v>1711</v>
      </c>
      <c r="B712" t="s">
        <v>126</v>
      </c>
      <c r="C712" t="s">
        <v>18</v>
      </c>
      <c r="D712">
        <v>50</v>
      </c>
      <c r="E712">
        <v>30</v>
      </c>
    </row>
    <row r="713" spans="1:6" ht="15" customHeight="1" x14ac:dyDescent="0.25">
      <c r="A713">
        <v>1712</v>
      </c>
      <c r="B713" t="s">
        <v>118</v>
      </c>
      <c r="C713" t="s">
        <v>18</v>
      </c>
      <c r="D713">
        <v>50</v>
      </c>
      <c r="E713">
        <v>30</v>
      </c>
    </row>
    <row r="714" spans="1:6" ht="15" customHeight="1" x14ac:dyDescent="0.25">
      <c r="A714">
        <v>1713</v>
      </c>
      <c r="B714" t="s">
        <v>374</v>
      </c>
      <c r="C714" t="s">
        <v>20</v>
      </c>
      <c r="D714">
        <v>500</v>
      </c>
      <c r="E714">
        <v>200</v>
      </c>
      <c r="F714" t="s">
        <v>512</v>
      </c>
    </row>
    <row r="715" spans="1:6" ht="15" customHeight="1" x14ac:dyDescent="0.25">
      <c r="A715">
        <v>1714</v>
      </c>
      <c r="B715" t="s">
        <v>513</v>
      </c>
      <c r="C715" t="s">
        <v>20</v>
      </c>
      <c r="D715">
        <v>500</v>
      </c>
      <c r="E715">
        <v>200</v>
      </c>
      <c r="F715" t="s">
        <v>438</v>
      </c>
    </row>
    <row r="716" spans="1:6" ht="15" customHeight="1" x14ac:dyDescent="0.25">
      <c r="A716">
        <v>1715</v>
      </c>
      <c r="B716" t="s">
        <v>514</v>
      </c>
      <c r="C716" t="s">
        <v>20</v>
      </c>
      <c r="D716">
        <v>500</v>
      </c>
      <c r="E716">
        <v>200</v>
      </c>
    </row>
    <row r="717" spans="1:6" ht="15" customHeight="1" x14ac:dyDescent="0.25">
      <c r="A717">
        <v>1716</v>
      </c>
      <c r="B717" t="s">
        <v>129</v>
      </c>
      <c r="C717" t="s">
        <v>18</v>
      </c>
      <c r="D717">
        <v>50</v>
      </c>
      <c r="E717">
        <v>30</v>
      </c>
    </row>
    <row r="718" spans="1:6" ht="15" customHeight="1" x14ac:dyDescent="0.25">
      <c r="A718">
        <v>1717</v>
      </c>
      <c r="B718" t="s">
        <v>254</v>
      </c>
      <c r="C718" t="s">
        <v>18</v>
      </c>
      <c r="D718">
        <v>50</v>
      </c>
      <c r="E718">
        <v>30</v>
      </c>
      <c r="F718" t="s">
        <v>141</v>
      </c>
    </row>
    <row r="719" spans="1:6" ht="15" customHeight="1" x14ac:dyDescent="0.25">
      <c r="A719">
        <v>1718</v>
      </c>
      <c r="B719" t="s">
        <v>515</v>
      </c>
      <c r="C719" t="s">
        <v>18</v>
      </c>
      <c r="D719">
        <v>50</v>
      </c>
      <c r="E719">
        <v>30</v>
      </c>
    </row>
    <row r="720" spans="1:6" ht="15" customHeight="1" x14ac:dyDescent="0.25">
      <c r="A720">
        <v>1719</v>
      </c>
      <c r="B720" t="s">
        <v>414</v>
      </c>
      <c r="C720" t="s">
        <v>19</v>
      </c>
      <c r="D720">
        <v>200</v>
      </c>
      <c r="E720">
        <v>100</v>
      </c>
    </row>
    <row r="721" spans="1:6" ht="15" customHeight="1" x14ac:dyDescent="0.25">
      <c r="A721">
        <v>1720</v>
      </c>
      <c r="B721" t="s">
        <v>132</v>
      </c>
      <c r="C721" t="s">
        <v>18</v>
      </c>
      <c r="D721">
        <v>50</v>
      </c>
      <c r="E721">
        <v>30</v>
      </c>
    </row>
    <row r="722" spans="1:6" ht="15" customHeight="1" x14ac:dyDescent="0.25">
      <c r="A722">
        <v>1721</v>
      </c>
      <c r="B722" t="s">
        <v>280</v>
      </c>
      <c r="C722" t="s">
        <v>18</v>
      </c>
      <c r="D722">
        <v>50</v>
      </c>
      <c r="E722">
        <v>30</v>
      </c>
      <c r="F722" t="s">
        <v>101</v>
      </c>
    </row>
    <row r="723" spans="1:6" ht="15" customHeight="1" x14ac:dyDescent="0.25">
      <c r="A723">
        <v>1722</v>
      </c>
      <c r="B723" t="s">
        <v>370</v>
      </c>
      <c r="C723" t="s">
        <v>20</v>
      </c>
      <c r="D723">
        <v>500</v>
      </c>
      <c r="E723">
        <v>200</v>
      </c>
    </row>
    <row r="724" spans="1:6" ht="15" customHeight="1" x14ac:dyDescent="0.25">
      <c r="A724">
        <v>1723</v>
      </c>
      <c r="B724" t="s">
        <v>516</v>
      </c>
      <c r="C724" t="s">
        <v>20</v>
      </c>
      <c r="D724">
        <v>500</v>
      </c>
      <c r="E724">
        <v>200</v>
      </c>
    </row>
    <row r="725" spans="1:6" ht="15" customHeight="1" x14ac:dyDescent="0.25">
      <c r="A725">
        <v>1724</v>
      </c>
      <c r="B725" t="s">
        <v>448</v>
      </c>
      <c r="C725" t="s">
        <v>20</v>
      </c>
      <c r="D725">
        <v>500</v>
      </c>
      <c r="E725">
        <v>200</v>
      </c>
      <c r="F725" t="s">
        <v>103</v>
      </c>
    </row>
    <row r="726" spans="1:6" ht="15" customHeight="1" x14ac:dyDescent="0.25">
      <c r="A726">
        <v>1725</v>
      </c>
      <c r="B726" t="s">
        <v>517</v>
      </c>
      <c r="C726" t="s">
        <v>20</v>
      </c>
      <c r="D726">
        <v>500</v>
      </c>
      <c r="E726">
        <v>200</v>
      </c>
    </row>
    <row r="727" spans="1:6" ht="15" customHeight="1" x14ac:dyDescent="0.25">
      <c r="A727">
        <v>1726</v>
      </c>
      <c r="B727" t="s">
        <v>486</v>
      </c>
      <c r="C727" t="s">
        <v>18</v>
      </c>
      <c r="D727">
        <v>50</v>
      </c>
      <c r="E727">
        <v>30</v>
      </c>
      <c r="F727" t="s">
        <v>518</v>
      </c>
    </row>
    <row r="728" spans="1:6" ht="15" customHeight="1" x14ac:dyDescent="0.25">
      <c r="A728">
        <v>1727</v>
      </c>
      <c r="B728" t="s">
        <v>365</v>
      </c>
      <c r="C728" t="s">
        <v>19</v>
      </c>
      <c r="D728">
        <v>200</v>
      </c>
      <c r="E728">
        <v>100</v>
      </c>
      <c r="F728" t="s">
        <v>519</v>
      </c>
    </row>
    <row r="729" spans="1:6" ht="15" customHeight="1" x14ac:dyDescent="0.25">
      <c r="A729">
        <v>1728</v>
      </c>
      <c r="B729" t="s">
        <v>121</v>
      </c>
      <c r="C729" t="s">
        <v>20</v>
      </c>
      <c r="D729">
        <v>500</v>
      </c>
      <c r="E729">
        <v>200</v>
      </c>
    </row>
    <row r="730" spans="1:6" ht="15" customHeight="1" x14ac:dyDescent="0.25">
      <c r="A730">
        <v>1729</v>
      </c>
      <c r="B730" t="s">
        <v>109</v>
      </c>
      <c r="C730" t="s">
        <v>20</v>
      </c>
      <c r="D730">
        <v>500</v>
      </c>
      <c r="E730">
        <v>200</v>
      </c>
    </row>
    <row r="731" spans="1:6" ht="15" customHeight="1" x14ac:dyDescent="0.25">
      <c r="A731">
        <v>1730</v>
      </c>
      <c r="B731" t="s">
        <v>463</v>
      </c>
      <c r="C731" t="s">
        <v>20</v>
      </c>
      <c r="D731">
        <v>500</v>
      </c>
      <c r="E731">
        <v>200</v>
      </c>
    </row>
    <row r="732" spans="1:6" ht="15" customHeight="1" x14ac:dyDescent="0.25">
      <c r="A732">
        <v>1731</v>
      </c>
      <c r="B732" t="s">
        <v>163</v>
      </c>
      <c r="C732" t="s">
        <v>20</v>
      </c>
      <c r="D732">
        <v>500</v>
      </c>
      <c r="E732">
        <v>200</v>
      </c>
    </row>
    <row r="733" spans="1:6" ht="15" customHeight="1" x14ac:dyDescent="0.25">
      <c r="A733">
        <v>1732</v>
      </c>
      <c r="B733" t="s">
        <v>189</v>
      </c>
      <c r="C733" t="s">
        <v>20</v>
      </c>
      <c r="D733">
        <v>500</v>
      </c>
      <c r="E733">
        <v>200</v>
      </c>
    </row>
    <row r="734" spans="1:6" ht="15" customHeight="1" x14ac:dyDescent="0.25">
      <c r="A734">
        <v>1733</v>
      </c>
      <c r="B734" t="s">
        <v>281</v>
      </c>
      <c r="C734" t="s">
        <v>19</v>
      </c>
      <c r="D734">
        <v>200</v>
      </c>
      <c r="E734">
        <v>100</v>
      </c>
    </row>
    <row r="735" spans="1:6" ht="15" customHeight="1" x14ac:dyDescent="0.25">
      <c r="A735">
        <v>1734</v>
      </c>
      <c r="B735" t="s">
        <v>425</v>
      </c>
      <c r="C735" t="s">
        <v>19</v>
      </c>
      <c r="D735">
        <v>200</v>
      </c>
      <c r="E735">
        <v>100</v>
      </c>
    </row>
    <row r="736" spans="1:6" ht="15" customHeight="1" x14ac:dyDescent="0.25">
      <c r="A736">
        <v>1735</v>
      </c>
      <c r="B736" t="s">
        <v>283</v>
      </c>
      <c r="C736" t="s">
        <v>18</v>
      </c>
      <c r="D736">
        <v>50</v>
      </c>
      <c r="E736">
        <v>30</v>
      </c>
    </row>
    <row r="737" spans="1:6" ht="15" customHeight="1" x14ac:dyDescent="0.25">
      <c r="A737">
        <v>1736</v>
      </c>
      <c r="B737" t="s">
        <v>232</v>
      </c>
      <c r="C737" t="s">
        <v>20</v>
      </c>
      <c r="D737">
        <v>500</v>
      </c>
      <c r="E737">
        <v>200</v>
      </c>
      <c r="F737" t="s">
        <v>452</v>
      </c>
    </row>
    <row r="738" spans="1:6" ht="15" customHeight="1" x14ac:dyDescent="0.25">
      <c r="A738">
        <v>1737</v>
      </c>
      <c r="B738" t="s">
        <v>520</v>
      </c>
      <c r="C738" t="s">
        <v>19</v>
      </c>
      <c r="D738">
        <v>200</v>
      </c>
      <c r="E738">
        <v>100</v>
      </c>
      <c r="F738" t="s">
        <v>447</v>
      </c>
    </row>
    <row r="739" spans="1:6" ht="15" customHeight="1" x14ac:dyDescent="0.25">
      <c r="A739">
        <v>1738</v>
      </c>
      <c r="B739" t="s">
        <v>174</v>
      </c>
      <c r="C739" t="s">
        <v>19</v>
      </c>
      <c r="D739">
        <v>200</v>
      </c>
      <c r="E739">
        <v>100</v>
      </c>
    </row>
    <row r="740" spans="1:6" ht="15" customHeight="1" x14ac:dyDescent="0.25">
      <c r="A740">
        <v>1739</v>
      </c>
      <c r="B740" t="s">
        <v>521</v>
      </c>
      <c r="C740" t="s">
        <v>19</v>
      </c>
      <c r="D740">
        <v>200</v>
      </c>
      <c r="E740">
        <v>100</v>
      </c>
    </row>
    <row r="741" spans="1:6" ht="15" customHeight="1" x14ac:dyDescent="0.25">
      <c r="A741">
        <v>1740</v>
      </c>
      <c r="B741" t="s">
        <v>477</v>
      </c>
      <c r="C741" t="s">
        <v>20</v>
      </c>
      <c r="D741">
        <v>500</v>
      </c>
      <c r="E741">
        <v>200</v>
      </c>
    </row>
    <row r="742" spans="1:6" ht="15" customHeight="1" x14ac:dyDescent="0.25">
      <c r="A742">
        <v>1741</v>
      </c>
      <c r="B742" t="s">
        <v>400</v>
      </c>
      <c r="C742" t="s">
        <v>20</v>
      </c>
      <c r="D742">
        <v>500</v>
      </c>
      <c r="E742">
        <v>200</v>
      </c>
    </row>
    <row r="743" spans="1:6" ht="15" customHeight="1" x14ac:dyDescent="0.25">
      <c r="A743">
        <v>1742</v>
      </c>
      <c r="B743" t="s">
        <v>238</v>
      </c>
      <c r="C743" t="s">
        <v>19</v>
      </c>
      <c r="D743">
        <v>200</v>
      </c>
      <c r="E743">
        <v>100</v>
      </c>
    </row>
    <row r="744" spans="1:6" ht="15" customHeight="1" x14ac:dyDescent="0.25">
      <c r="A744">
        <v>1743</v>
      </c>
      <c r="B744" t="s">
        <v>481</v>
      </c>
      <c r="C744" t="s">
        <v>20</v>
      </c>
      <c r="D744">
        <v>500</v>
      </c>
      <c r="E744">
        <v>200</v>
      </c>
    </row>
    <row r="745" spans="1:6" ht="15" customHeight="1" x14ac:dyDescent="0.25">
      <c r="A745">
        <v>1744</v>
      </c>
      <c r="B745" t="s">
        <v>423</v>
      </c>
      <c r="C745" t="s">
        <v>18</v>
      </c>
      <c r="D745">
        <v>50</v>
      </c>
      <c r="E745">
        <v>30</v>
      </c>
    </row>
    <row r="746" spans="1:6" ht="15" customHeight="1" x14ac:dyDescent="0.25">
      <c r="A746">
        <v>1745</v>
      </c>
      <c r="B746" t="s">
        <v>366</v>
      </c>
      <c r="C746" t="s">
        <v>18</v>
      </c>
      <c r="D746">
        <v>50</v>
      </c>
      <c r="E746">
        <v>30</v>
      </c>
    </row>
    <row r="747" spans="1:6" ht="15" customHeight="1" x14ac:dyDescent="0.25">
      <c r="A747">
        <v>1746</v>
      </c>
      <c r="B747" t="s">
        <v>304</v>
      </c>
      <c r="C747" t="s">
        <v>18</v>
      </c>
      <c r="D747">
        <v>50</v>
      </c>
      <c r="E747">
        <v>30</v>
      </c>
    </row>
    <row r="748" spans="1:6" ht="15" customHeight="1" x14ac:dyDescent="0.25">
      <c r="A748">
        <v>1747</v>
      </c>
      <c r="B748" t="s">
        <v>186</v>
      </c>
      <c r="C748" t="s">
        <v>19</v>
      </c>
      <c r="D748">
        <v>200</v>
      </c>
      <c r="E748">
        <v>100</v>
      </c>
      <c r="F748" t="s">
        <v>522</v>
      </c>
    </row>
    <row r="749" spans="1:6" ht="15" customHeight="1" x14ac:dyDescent="0.25">
      <c r="A749">
        <v>1748</v>
      </c>
      <c r="B749" t="s">
        <v>523</v>
      </c>
      <c r="C749" t="s">
        <v>19</v>
      </c>
      <c r="D749">
        <v>200</v>
      </c>
      <c r="E749">
        <v>100</v>
      </c>
    </row>
    <row r="750" spans="1:6" ht="15" customHeight="1" x14ac:dyDescent="0.25">
      <c r="A750">
        <v>1749</v>
      </c>
      <c r="B750" t="s">
        <v>134</v>
      </c>
      <c r="C750" t="s">
        <v>19</v>
      </c>
      <c r="D750">
        <v>200</v>
      </c>
      <c r="E750">
        <v>100</v>
      </c>
    </row>
    <row r="751" spans="1:6" ht="15" customHeight="1" x14ac:dyDescent="0.25">
      <c r="A751">
        <v>1750</v>
      </c>
      <c r="B751" t="s">
        <v>179</v>
      </c>
      <c r="C751" t="s">
        <v>20</v>
      </c>
      <c r="D751">
        <v>500</v>
      </c>
      <c r="E751">
        <v>200</v>
      </c>
      <c r="F751" t="s">
        <v>524</v>
      </c>
    </row>
    <row r="752" spans="1:6" ht="15" customHeight="1" x14ac:dyDescent="0.25">
      <c r="A752">
        <v>1751</v>
      </c>
      <c r="B752" t="s">
        <v>321</v>
      </c>
      <c r="C752" t="s">
        <v>18</v>
      </c>
      <c r="D752">
        <v>50</v>
      </c>
      <c r="E752">
        <v>30</v>
      </c>
    </row>
    <row r="753" spans="1:6" ht="15" customHeight="1" x14ac:dyDescent="0.25">
      <c r="A753">
        <v>1752</v>
      </c>
      <c r="B753" t="s">
        <v>363</v>
      </c>
      <c r="C753" t="s">
        <v>18</v>
      </c>
      <c r="D753">
        <v>50</v>
      </c>
      <c r="E753">
        <v>30</v>
      </c>
    </row>
    <row r="754" spans="1:6" ht="15" customHeight="1" x14ac:dyDescent="0.25">
      <c r="A754">
        <v>1753</v>
      </c>
      <c r="B754" t="s">
        <v>418</v>
      </c>
      <c r="C754" t="s">
        <v>19</v>
      </c>
      <c r="D754">
        <v>200</v>
      </c>
      <c r="E754">
        <v>100</v>
      </c>
    </row>
    <row r="755" spans="1:6" ht="15" customHeight="1" x14ac:dyDescent="0.25">
      <c r="A755">
        <v>1754</v>
      </c>
      <c r="B755" t="s">
        <v>401</v>
      </c>
      <c r="C755" t="s">
        <v>18</v>
      </c>
      <c r="D755">
        <v>50</v>
      </c>
      <c r="E755">
        <v>30</v>
      </c>
    </row>
    <row r="756" spans="1:6" ht="15" customHeight="1" x14ac:dyDescent="0.25">
      <c r="A756">
        <v>1755</v>
      </c>
      <c r="B756" t="s">
        <v>272</v>
      </c>
      <c r="C756" t="s">
        <v>20</v>
      </c>
      <c r="D756">
        <v>500</v>
      </c>
      <c r="E756">
        <v>200</v>
      </c>
    </row>
    <row r="757" spans="1:6" ht="15" customHeight="1" x14ac:dyDescent="0.25">
      <c r="A757">
        <v>1756</v>
      </c>
      <c r="B757" t="s">
        <v>194</v>
      </c>
      <c r="C757" t="s">
        <v>19</v>
      </c>
      <c r="D757">
        <v>200</v>
      </c>
      <c r="E757">
        <v>100</v>
      </c>
    </row>
    <row r="758" spans="1:6" ht="15" customHeight="1" x14ac:dyDescent="0.25">
      <c r="A758">
        <v>1757</v>
      </c>
      <c r="B758" t="s">
        <v>149</v>
      </c>
      <c r="C758" t="s">
        <v>18</v>
      </c>
      <c r="D758">
        <v>50</v>
      </c>
      <c r="E758">
        <v>30</v>
      </c>
    </row>
    <row r="759" spans="1:6" ht="15" customHeight="1" x14ac:dyDescent="0.25">
      <c r="A759">
        <v>1758</v>
      </c>
      <c r="B759" t="s">
        <v>454</v>
      </c>
      <c r="C759" t="s">
        <v>18</v>
      </c>
      <c r="D759">
        <v>50</v>
      </c>
      <c r="E759">
        <v>30</v>
      </c>
    </row>
    <row r="760" spans="1:6" ht="15" customHeight="1" x14ac:dyDescent="0.25">
      <c r="A760">
        <v>1759</v>
      </c>
      <c r="B760" t="s">
        <v>449</v>
      </c>
      <c r="C760" t="s">
        <v>19</v>
      </c>
      <c r="D760">
        <v>200</v>
      </c>
      <c r="E760">
        <v>100</v>
      </c>
      <c r="F760" t="s">
        <v>319</v>
      </c>
    </row>
    <row r="761" spans="1:6" ht="15" customHeight="1" x14ac:dyDescent="0.25">
      <c r="A761">
        <v>1760</v>
      </c>
      <c r="B761" t="s">
        <v>434</v>
      </c>
      <c r="C761" t="s">
        <v>18</v>
      </c>
      <c r="D761">
        <v>50</v>
      </c>
      <c r="E761">
        <v>30</v>
      </c>
    </row>
    <row r="762" spans="1:6" ht="15" customHeight="1" x14ac:dyDescent="0.25">
      <c r="A762">
        <v>1761</v>
      </c>
      <c r="B762" t="s">
        <v>525</v>
      </c>
      <c r="C762" t="s">
        <v>18</v>
      </c>
      <c r="D762">
        <v>50</v>
      </c>
      <c r="E762">
        <v>30</v>
      </c>
    </row>
    <row r="763" spans="1:6" ht="15" customHeight="1" x14ac:dyDescent="0.25">
      <c r="A763">
        <v>1762</v>
      </c>
      <c r="B763" t="s">
        <v>526</v>
      </c>
      <c r="C763" t="s">
        <v>18</v>
      </c>
      <c r="D763">
        <v>50</v>
      </c>
      <c r="E763">
        <v>30</v>
      </c>
    </row>
    <row r="764" spans="1:6" ht="15" customHeight="1" x14ac:dyDescent="0.25">
      <c r="A764">
        <v>1763</v>
      </c>
      <c r="B764" t="s">
        <v>527</v>
      </c>
      <c r="C764" t="s">
        <v>19</v>
      </c>
      <c r="D764">
        <v>200</v>
      </c>
      <c r="E764">
        <v>100</v>
      </c>
    </row>
    <row r="765" spans="1:6" ht="15" customHeight="1" x14ac:dyDescent="0.25">
      <c r="A765">
        <v>1764</v>
      </c>
      <c r="B765" t="s">
        <v>377</v>
      </c>
      <c r="C765" t="s">
        <v>20</v>
      </c>
      <c r="D765">
        <v>500</v>
      </c>
      <c r="E765">
        <v>200</v>
      </c>
      <c r="F765" t="s">
        <v>148</v>
      </c>
    </row>
    <row r="766" spans="1:6" ht="15" customHeight="1" x14ac:dyDescent="0.25">
      <c r="A766">
        <v>1765</v>
      </c>
      <c r="B766" t="s">
        <v>379</v>
      </c>
      <c r="C766" t="s">
        <v>18</v>
      </c>
      <c r="D766">
        <v>50</v>
      </c>
      <c r="E766">
        <v>30</v>
      </c>
      <c r="F766" t="s">
        <v>451</v>
      </c>
    </row>
    <row r="767" spans="1:6" ht="15" customHeight="1" x14ac:dyDescent="0.25">
      <c r="A767">
        <v>1766</v>
      </c>
      <c r="B767" t="s">
        <v>117</v>
      </c>
      <c r="C767" t="s">
        <v>18</v>
      </c>
      <c r="D767">
        <v>50</v>
      </c>
      <c r="E767">
        <v>30</v>
      </c>
    </row>
    <row r="768" spans="1:6" ht="15" customHeight="1" x14ac:dyDescent="0.25">
      <c r="A768">
        <v>1767</v>
      </c>
      <c r="B768" t="s">
        <v>92</v>
      </c>
      <c r="C768" t="s">
        <v>19</v>
      </c>
      <c r="D768">
        <v>200</v>
      </c>
      <c r="E768">
        <v>100</v>
      </c>
      <c r="F768" t="s">
        <v>327</v>
      </c>
    </row>
    <row r="769" spans="1:6" ht="15" customHeight="1" x14ac:dyDescent="0.25">
      <c r="A769">
        <v>1768</v>
      </c>
      <c r="B769" t="s">
        <v>519</v>
      </c>
      <c r="C769" t="s">
        <v>19</v>
      </c>
      <c r="D769">
        <v>200</v>
      </c>
      <c r="E769">
        <v>100</v>
      </c>
      <c r="F769" t="s">
        <v>141</v>
      </c>
    </row>
    <row r="770" spans="1:6" ht="15" customHeight="1" x14ac:dyDescent="0.25">
      <c r="A770">
        <v>1769</v>
      </c>
      <c r="B770" t="s">
        <v>301</v>
      </c>
      <c r="C770" t="s">
        <v>20</v>
      </c>
      <c r="D770">
        <v>500</v>
      </c>
      <c r="E770">
        <v>200</v>
      </c>
    </row>
    <row r="771" spans="1:6" ht="15" customHeight="1" x14ac:dyDescent="0.25">
      <c r="A771">
        <v>1770</v>
      </c>
      <c r="B771" t="s">
        <v>449</v>
      </c>
      <c r="C771" t="s">
        <v>19</v>
      </c>
      <c r="D771">
        <v>200</v>
      </c>
      <c r="E771">
        <v>100</v>
      </c>
    </row>
    <row r="772" spans="1:6" ht="15" customHeight="1" x14ac:dyDescent="0.25">
      <c r="A772">
        <v>1771</v>
      </c>
      <c r="B772" t="s">
        <v>356</v>
      </c>
      <c r="C772" t="s">
        <v>20</v>
      </c>
      <c r="D772">
        <v>500</v>
      </c>
      <c r="E772">
        <v>200</v>
      </c>
    </row>
    <row r="773" spans="1:6" ht="15" customHeight="1" x14ac:dyDescent="0.25">
      <c r="A773">
        <v>1772</v>
      </c>
      <c r="B773" t="s">
        <v>256</v>
      </c>
      <c r="C773" t="s">
        <v>20</v>
      </c>
      <c r="D773">
        <v>500</v>
      </c>
      <c r="E773">
        <v>200</v>
      </c>
    </row>
    <row r="774" spans="1:6" ht="15" customHeight="1" x14ac:dyDescent="0.25">
      <c r="A774">
        <v>1773</v>
      </c>
      <c r="B774" t="s">
        <v>460</v>
      </c>
      <c r="C774" t="s">
        <v>18</v>
      </c>
      <c r="D774">
        <v>50</v>
      </c>
      <c r="E774">
        <v>30</v>
      </c>
    </row>
    <row r="775" spans="1:6" ht="15" customHeight="1" x14ac:dyDescent="0.25">
      <c r="A775">
        <v>1774</v>
      </c>
      <c r="B775" t="s">
        <v>407</v>
      </c>
      <c r="C775" t="s">
        <v>18</v>
      </c>
      <c r="D775">
        <v>50</v>
      </c>
      <c r="E775">
        <v>30</v>
      </c>
    </row>
    <row r="776" spans="1:6" ht="15" customHeight="1" x14ac:dyDescent="0.25">
      <c r="A776">
        <v>1775</v>
      </c>
      <c r="B776" t="s">
        <v>191</v>
      </c>
      <c r="C776" t="s">
        <v>19</v>
      </c>
      <c r="D776">
        <v>200</v>
      </c>
      <c r="E776">
        <v>100</v>
      </c>
    </row>
    <row r="777" spans="1:6" ht="15" customHeight="1" x14ac:dyDescent="0.25">
      <c r="A777">
        <v>1776</v>
      </c>
      <c r="B777" t="s">
        <v>528</v>
      </c>
      <c r="C777" t="s">
        <v>20</v>
      </c>
      <c r="D777">
        <v>500</v>
      </c>
      <c r="E777">
        <v>200</v>
      </c>
    </row>
    <row r="778" spans="1:6" ht="15" customHeight="1" x14ac:dyDescent="0.25">
      <c r="A778">
        <v>1777</v>
      </c>
      <c r="B778" t="s">
        <v>487</v>
      </c>
      <c r="C778" t="s">
        <v>18</v>
      </c>
      <c r="D778">
        <v>50</v>
      </c>
      <c r="E778">
        <v>30</v>
      </c>
    </row>
    <row r="779" spans="1:6" ht="15" customHeight="1" x14ac:dyDescent="0.25">
      <c r="A779">
        <v>1778</v>
      </c>
      <c r="B779" t="s">
        <v>252</v>
      </c>
      <c r="C779" t="s">
        <v>18</v>
      </c>
      <c r="D779">
        <v>50</v>
      </c>
      <c r="E779">
        <v>30</v>
      </c>
    </row>
    <row r="780" spans="1:6" ht="15" customHeight="1" x14ac:dyDescent="0.25">
      <c r="A780">
        <v>1779</v>
      </c>
      <c r="B780" t="s">
        <v>97</v>
      </c>
      <c r="C780" t="s">
        <v>18</v>
      </c>
      <c r="D780">
        <v>50</v>
      </c>
      <c r="E780">
        <v>30</v>
      </c>
    </row>
    <row r="781" spans="1:6" ht="15" customHeight="1" x14ac:dyDescent="0.25">
      <c r="A781">
        <v>1780</v>
      </c>
      <c r="B781" t="s">
        <v>529</v>
      </c>
      <c r="C781" t="s">
        <v>18</v>
      </c>
      <c r="D781">
        <v>50</v>
      </c>
      <c r="E781">
        <v>30</v>
      </c>
    </row>
    <row r="782" spans="1:6" ht="15" customHeight="1" x14ac:dyDescent="0.25">
      <c r="A782">
        <v>1781</v>
      </c>
      <c r="B782" t="s">
        <v>530</v>
      </c>
      <c r="C782" t="s">
        <v>18</v>
      </c>
      <c r="D782">
        <v>50</v>
      </c>
      <c r="E782">
        <v>30</v>
      </c>
    </row>
    <row r="783" spans="1:6" ht="15" customHeight="1" x14ac:dyDescent="0.25">
      <c r="A783">
        <v>1782</v>
      </c>
      <c r="B783" t="s">
        <v>227</v>
      </c>
      <c r="C783" t="s">
        <v>19</v>
      </c>
      <c r="D783">
        <v>200</v>
      </c>
      <c r="E783">
        <v>100</v>
      </c>
    </row>
    <row r="784" spans="1:6" ht="15" customHeight="1" x14ac:dyDescent="0.25">
      <c r="A784">
        <v>1783</v>
      </c>
      <c r="B784" t="s">
        <v>418</v>
      </c>
      <c r="C784" t="s">
        <v>19</v>
      </c>
      <c r="D784">
        <v>200</v>
      </c>
      <c r="E784">
        <v>100</v>
      </c>
    </row>
    <row r="785" spans="1:6" ht="15" customHeight="1" x14ac:dyDescent="0.25">
      <c r="A785">
        <v>1784</v>
      </c>
      <c r="B785" t="s">
        <v>407</v>
      </c>
      <c r="C785" t="s">
        <v>19</v>
      </c>
      <c r="D785">
        <v>200</v>
      </c>
      <c r="E785">
        <v>100</v>
      </c>
    </row>
    <row r="786" spans="1:6" ht="15" customHeight="1" x14ac:dyDescent="0.25">
      <c r="A786">
        <v>1785</v>
      </c>
      <c r="B786" t="s">
        <v>415</v>
      </c>
      <c r="C786" t="s">
        <v>18</v>
      </c>
      <c r="D786">
        <v>50</v>
      </c>
      <c r="E786">
        <v>30</v>
      </c>
    </row>
    <row r="787" spans="1:6" ht="15" customHeight="1" x14ac:dyDescent="0.25">
      <c r="A787">
        <v>1786</v>
      </c>
      <c r="B787" t="s">
        <v>147</v>
      </c>
      <c r="C787" t="s">
        <v>20</v>
      </c>
      <c r="D787">
        <v>500</v>
      </c>
      <c r="E787">
        <v>200</v>
      </c>
    </row>
    <row r="788" spans="1:6" ht="15" customHeight="1" x14ac:dyDescent="0.25">
      <c r="A788">
        <v>1787</v>
      </c>
      <c r="B788" t="s">
        <v>341</v>
      </c>
      <c r="C788" t="s">
        <v>20</v>
      </c>
      <c r="D788">
        <v>500</v>
      </c>
      <c r="E788">
        <v>200</v>
      </c>
    </row>
    <row r="789" spans="1:6" ht="15" customHeight="1" x14ac:dyDescent="0.25">
      <c r="A789">
        <v>1788</v>
      </c>
      <c r="B789" t="s">
        <v>101</v>
      </c>
      <c r="C789" t="s">
        <v>19</v>
      </c>
      <c r="D789">
        <v>200</v>
      </c>
      <c r="E789">
        <v>100</v>
      </c>
    </row>
    <row r="790" spans="1:6" ht="15" customHeight="1" x14ac:dyDescent="0.25">
      <c r="A790">
        <v>1789</v>
      </c>
      <c r="B790" t="s">
        <v>481</v>
      </c>
      <c r="C790" t="s">
        <v>20</v>
      </c>
      <c r="D790">
        <v>500</v>
      </c>
      <c r="E790">
        <v>200</v>
      </c>
    </row>
    <row r="791" spans="1:6" ht="15" customHeight="1" x14ac:dyDescent="0.25">
      <c r="A791">
        <v>1790</v>
      </c>
      <c r="B791" t="s">
        <v>206</v>
      </c>
      <c r="C791" t="s">
        <v>19</v>
      </c>
      <c r="D791">
        <v>200</v>
      </c>
      <c r="E791">
        <v>100</v>
      </c>
    </row>
    <row r="792" spans="1:6" ht="15" customHeight="1" x14ac:dyDescent="0.25">
      <c r="A792">
        <v>1791</v>
      </c>
      <c r="B792" t="s">
        <v>423</v>
      </c>
      <c r="C792" t="s">
        <v>19</v>
      </c>
      <c r="D792">
        <v>200</v>
      </c>
      <c r="E792">
        <v>100</v>
      </c>
      <c r="F792" t="s">
        <v>114</v>
      </c>
    </row>
    <row r="793" spans="1:6" ht="15" customHeight="1" x14ac:dyDescent="0.25">
      <c r="A793">
        <v>1792</v>
      </c>
      <c r="B793" t="s">
        <v>214</v>
      </c>
      <c r="C793" t="s">
        <v>18</v>
      </c>
      <c r="D793">
        <v>50</v>
      </c>
      <c r="E793">
        <v>30</v>
      </c>
    </row>
    <row r="794" spans="1:6" ht="15" customHeight="1" x14ac:dyDescent="0.25">
      <c r="A794">
        <v>1793</v>
      </c>
      <c r="B794" t="s">
        <v>247</v>
      </c>
      <c r="C794" t="s">
        <v>18</v>
      </c>
      <c r="D794">
        <v>50</v>
      </c>
      <c r="E794">
        <v>30</v>
      </c>
    </row>
    <row r="795" spans="1:6" ht="15" customHeight="1" x14ac:dyDescent="0.25">
      <c r="A795">
        <v>1794</v>
      </c>
      <c r="B795" t="s">
        <v>507</v>
      </c>
      <c r="C795" t="s">
        <v>20</v>
      </c>
      <c r="D795">
        <v>500</v>
      </c>
      <c r="E795">
        <v>200</v>
      </c>
    </row>
    <row r="796" spans="1:6" ht="15" customHeight="1" x14ac:dyDescent="0.25">
      <c r="A796">
        <v>1795</v>
      </c>
      <c r="B796" t="s">
        <v>531</v>
      </c>
      <c r="C796" t="s">
        <v>20</v>
      </c>
      <c r="D796">
        <v>500</v>
      </c>
      <c r="E796">
        <v>200</v>
      </c>
    </row>
    <row r="797" spans="1:6" ht="15" customHeight="1" x14ac:dyDescent="0.25">
      <c r="A797">
        <v>1796</v>
      </c>
      <c r="B797" t="s">
        <v>116</v>
      </c>
      <c r="C797" t="s">
        <v>18</v>
      </c>
      <c r="D797">
        <v>50</v>
      </c>
      <c r="E797">
        <v>30</v>
      </c>
    </row>
    <row r="798" spans="1:6" ht="15" customHeight="1" x14ac:dyDescent="0.25">
      <c r="A798">
        <v>1797</v>
      </c>
      <c r="B798" t="s">
        <v>126</v>
      </c>
      <c r="C798" t="s">
        <v>18</v>
      </c>
      <c r="D798">
        <v>50</v>
      </c>
      <c r="E798">
        <v>30</v>
      </c>
    </row>
    <row r="799" spans="1:6" ht="15" customHeight="1" x14ac:dyDescent="0.25">
      <c r="A799">
        <v>1798</v>
      </c>
      <c r="B799" t="s">
        <v>420</v>
      </c>
      <c r="C799" t="s">
        <v>20</v>
      </c>
      <c r="D799">
        <v>500</v>
      </c>
      <c r="E799">
        <v>200</v>
      </c>
    </row>
    <row r="800" spans="1:6" ht="15" customHeight="1" x14ac:dyDescent="0.25">
      <c r="A800">
        <v>1799</v>
      </c>
      <c r="B800" t="s">
        <v>179</v>
      </c>
      <c r="C800" t="s">
        <v>18</v>
      </c>
      <c r="D800">
        <v>50</v>
      </c>
      <c r="E800">
        <v>30</v>
      </c>
    </row>
    <row r="801" spans="1:6" ht="15" customHeight="1" x14ac:dyDescent="0.25">
      <c r="A801">
        <v>1800</v>
      </c>
      <c r="B801" t="s">
        <v>117</v>
      </c>
      <c r="C801" t="s">
        <v>19</v>
      </c>
      <c r="D801">
        <v>200</v>
      </c>
      <c r="E801">
        <v>100</v>
      </c>
    </row>
    <row r="802" spans="1:6" ht="15" customHeight="1" x14ac:dyDescent="0.25">
      <c r="A802">
        <v>1801</v>
      </c>
      <c r="B802" t="s">
        <v>212</v>
      </c>
      <c r="C802" t="s">
        <v>20</v>
      </c>
      <c r="D802">
        <v>500</v>
      </c>
      <c r="E802">
        <v>200</v>
      </c>
    </row>
    <row r="803" spans="1:6" ht="15" customHeight="1" x14ac:dyDescent="0.25">
      <c r="A803">
        <v>1802</v>
      </c>
      <c r="B803" t="s">
        <v>473</v>
      </c>
      <c r="C803" t="s">
        <v>20</v>
      </c>
      <c r="D803">
        <v>500</v>
      </c>
      <c r="E803">
        <v>200</v>
      </c>
    </row>
    <row r="804" spans="1:6" ht="15" customHeight="1" x14ac:dyDescent="0.25">
      <c r="A804">
        <v>1803</v>
      </c>
      <c r="B804" t="s">
        <v>532</v>
      </c>
      <c r="C804" t="s">
        <v>20</v>
      </c>
      <c r="D804">
        <v>500</v>
      </c>
      <c r="E804">
        <v>200</v>
      </c>
    </row>
    <row r="805" spans="1:6" ht="15" customHeight="1" x14ac:dyDescent="0.25">
      <c r="A805">
        <v>1804</v>
      </c>
      <c r="B805" t="s">
        <v>475</v>
      </c>
      <c r="C805" t="s">
        <v>18</v>
      </c>
      <c r="D805">
        <v>50</v>
      </c>
      <c r="E805">
        <v>30</v>
      </c>
    </row>
    <row r="806" spans="1:6" ht="15" customHeight="1" x14ac:dyDescent="0.25">
      <c r="A806">
        <v>1805</v>
      </c>
      <c r="B806" t="s">
        <v>295</v>
      </c>
      <c r="C806" t="s">
        <v>19</v>
      </c>
      <c r="D806">
        <v>200</v>
      </c>
      <c r="E806">
        <v>100</v>
      </c>
    </row>
    <row r="807" spans="1:6" ht="15" customHeight="1" x14ac:dyDescent="0.25">
      <c r="A807">
        <v>1806</v>
      </c>
      <c r="B807" t="s">
        <v>533</v>
      </c>
      <c r="C807" t="s">
        <v>20</v>
      </c>
      <c r="D807">
        <v>500</v>
      </c>
      <c r="E807">
        <v>200</v>
      </c>
      <c r="F807" t="s">
        <v>289</v>
      </c>
    </row>
    <row r="808" spans="1:6" ht="15" customHeight="1" x14ac:dyDescent="0.25">
      <c r="A808">
        <v>1807</v>
      </c>
      <c r="B808" t="s">
        <v>217</v>
      </c>
      <c r="C808" t="s">
        <v>18</v>
      </c>
      <c r="D808">
        <v>50</v>
      </c>
      <c r="E808">
        <v>30</v>
      </c>
      <c r="F808" t="s">
        <v>446</v>
      </c>
    </row>
    <row r="809" spans="1:6" ht="15" customHeight="1" x14ac:dyDescent="0.25">
      <c r="A809">
        <v>1808</v>
      </c>
      <c r="B809" t="s">
        <v>412</v>
      </c>
      <c r="C809" t="s">
        <v>20</v>
      </c>
      <c r="D809">
        <v>500</v>
      </c>
      <c r="E809">
        <v>200</v>
      </c>
    </row>
    <row r="810" spans="1:6" ht="15" customHeight="1" x14ac:dyDescent="0.25">
      <c r="A810">
        <v>1809</v>
      </c>
      <c r="B810" t="s">
        <v>114</v>
      </c>
      <c r="C810" t="s">
        <v>19</v>
      </c>
      <c r="D810">
        <v>200</v>
      </c>
      <c r="E810">
        <v>100</v>
      </c>
    </row>
    <row r="811" spans="1:6" ht="15" customHeight="1" x14ac:dyDescent="0.25">
      <c r="A811">
        <v>1810</v>
      </c>
      <c r="B811" t="s">
        <v>534</v>
      </c>
      <c r="C811" t="s">
        <v>20</v>
      </c>
      <c r="D811">
        <v>500</v>
      </c>
      <c r="E811">
        <v>200</v>
      </c>
      <c r="F811" t="s">
        <v>264</v>
      </c>
    </row>
    <row r="812" spans="1:6" ht="15" customHeight="1" x14ac:dyDescent="0.25">
      <c r="A812">
        <v>1811</v>
      </c>
      <c r="B812" t="s">
        <v>410</v>
      </c>
      <c r="C812" t="s">
        <v>20</v>
      </c>
      <c r="D812">
        <v>500</v>
      </c>
      <c r="E812">
        <v>200</v>
      </c>
    </row>
    <row r="813" spans="1:6" ht="15" customHeight="1" x14ac:dyDescent="0.25">
      <c r="A813">
        <v>1812</v>
      </c>
      <c r="B813" t="s">
        <v>535</v>
      </c>
      <c r="C813" t="s">
        <v>19</v>
      </c>
      <c r="D813">
        <v>200</v>
      </c>
      <c r="E813">
        <v>100</v>
      </c>
    </row>
    <row r="814" spans="1:6" ht="15" customHeight="1" x14ac:dyDescent="0.25">
      <c r="A814">
        <v>1813</v>
      </c>
      <c r="B814" t="s">
        <v>388</v>
      </c>
      <c r="C814" t="s">
        <v>18</v>
      </c>
      <c r="D814">
        <v>50</v>
      </c>
      <c r="E814">
        <v>30</v>
      </c>
    </row>
    <row r="815" spans="1:6" ht="15" customHeight="1" x14ac:dyDescent="0.25">
      <c r="A815">
        <v>1814</v>
      </c>
      <c r="B815" t="s">
        <v>536</v>
      </c>
      <c r="C815" t="s">
        <v>18</v>
      </c>
      <c r="D815">
        <v>50</v>
      </c>
      <c r="E815">
        <v>30</v>
      </c>
    </row>
    <row r="816" spans="1:6" ht="15" customHeight="1" x14ac:dyDescent="0.25">
      <c r="A816">
        <v>1815</v>
      </c>
      <c r="B816" t="s">
        <v>537</v>
      </c>
      <c r="C816" t="s">
        <v>19</v>
      </c>
      <c r="D816">
        <v>200</v>
      </c>
      <c r="E816">
        <v>100</v>
      </c>
    </row>
    <row r="817" spans="1:6" ht="15" customHeight="1" x14ac:dyDescent="0.25">
      <c r="A817">
        <v>1816</v>
      </c>
      <c r="B817" t="s">
        <v>422</v>
      </c>
      <c r="C817" t="s">
        <v>19</v>
      </c>
      <c r="D817">
        <v>200</v>
      </c>
      <c r="E817">
        <v>100</v>
      </c>
    </row>
    <row r="818" spans="1:6" ht="15" customHeight="1" x14ac:dyDescent="0.25">
      <c r="A818">
        <v>1817</v>
      </c>
      <c r="B818" t="s">
        <v>251</v>
      </c>
      <c r="C818" t="s">
        <v>20</v>
      </c>
      <c r="D818">
        <v>500</v>
      </c>
      <c r="E818">
        <v>200</v>
      </c>
      <c r="F818" t="s">
        <v>188</v>
      </c>
    </row>
    <row r="819" spans="1:6" ht="15" customHeight="1" x14ac:dyDescent="0.25">
      <c r="A819">
        <v>1818</v>
      </c>
      <c r="B819" t="s">
        <v>325</v>
      </c>
      <c r="C819" t="s">
        <v>20</v>
      </c>
      <c r="D819">
        <v>500</v>
      </c>
      <c r="E819">
        <v>200</v>
      </c>
    </row>
    <row r="820" spans="1:6" ht="15" customHeight="1" x14ac:dyDescent="0.25">
      <c r="A820">
        <v>1819</v>
      </c>
      <c r="B820" t="s">
        <v>458</v>
      </c>
      <c r="C820" t="s">
        <v>19</v>
      </c>
      <c r="D820">
        <v>200</v>
      </c>
      <c r="E820">
        <v>100</v>
      </c>
    </row>
    <row r="821" spans="1:6" ht="15" customHeight="1" x14ac:dyDescent="0.25">
      <c r="A821">
        <v>1820</v>
      </c>
      <c r="B821" t="s">
        <v>344</v>
      </c>
      <c r="C821" t="s">
        <v>19</v>
      </c>
      <c r="D821">
        <v>200</v>
      </c>
      <c r="E821">
        <v>100</v>
      </c>
    </row>
    <row r="822" spans="1:6" ht="15" customHeight="1" x14ac:dyDescent="0.25">
      <c r="A822">
        <v>1821</v>
      </c>
      <c r="B822" t="s">
        <v>340</v>
      </c>
      <c r="C822" t="s">
        <v>18</v>
      </c>
      <c r="D822">
        <v>50</v>
      </c>
      <c r="E822">
        <v>30</v>
      </c>
    </row>
    <row r="823" spans="1:6" ht="15" customHeight="1" x14ac:dyDescent="0.25">
      <c r="A823">
        <v>1822</v>
      </c>
      <c r="B823" t="s">
        <v>538</v>
      </c>
      <c r="C823" t="s">
        <v>18</v>
      </c>
      <c r="D823">
        <v>50</v>
      </c>
      <c r="E823">
        <v>30</v>
      </c>
      <c r="F823" t="s">
        <v>539</v>
      </c>
    </row>
    <row r="824" spans="1:6" ht="15" customHeight="1" x14ac:dyDescent="0.25">
      <c r="A824">
        <v>1823</v>
      </c>
      <c r="B824" t="s">
        <v>315</v>
      </c>
      <c r="C824" t="s">
        <v>19</v>
      </c>
      <c r="D824">
        <v>200</v>
      </c>
      <c r="E824">
        <v>100</v>
      </c>
    </row>
    <row r="825" spans="1:6" ht="15" customHeight="1" x14ac:dyDescent="0.25">
      <c r="A825">
        <v>1824</v>
      </c>
      <c r="B825" t="s">
        <v>235</v>
      </c>
      <c r="C825" t="s">
        <v>19</v>
      </c>
      <c r="D825">
        <v>200</v>
      </c>
      <c r="E825">
        <v>100</v>
      </c>
      <c r="F825" t="s">
        <v>224</v>
      </c>
    </row>
    <row r="826" spans="1:6" ht="15" customHeight="1" x14ac:dyDescent="0.25">
      <c r="A826">
        <v>1825</v>
      </c>
      <c r="B826" t="s">
        <v>467</v>
      </c>
      <c r="C826" t="s">
        <v>19</v>
      </c>
      <c r="D826">
        <v>200</v>
      </c>
      <c r="E826">
        <v>100</v>
      </c>
    </row>
    <row r="827" spans="1:6" ht="15" customHeight="1" x14ac:dyDescent="0.25">
      <c r="A827">
        <v>1826</v>
      </c>
      <c r="B827" t="s">
        <v>205</v>
      </c>
      <c r="C827" t="s">
        <v>20</v>
      </c>
      <c r="D827">
        <v>500</v>
      </c>
      <c r="E827">
        <v>200</v>
      </c>
    </row>
    <row r="828" spans="1:6" ht="15" customHeight="1" x14ac:dyDescent="0.25">
      <c r="A828">
        <v>1827</v>
      </c>
      <c r="B828" t="s">
        <v>187</v>
      </c>
      <c r="C828" t="s">
        <v>20</v>
      </c>
      <c r="D828">
        <v>500</v>
      </c>
      <c r="E828">
        <v>200</v>
      </c>
    </row>
    <row r="829" spans="1:6" ht="15" customHeight="1" x14ac:dyDescent="0.25">
      <c r="A829">
        <v>1828</v>
      </c>
      <c r="B829" t="s">
        <v>540</v>
      </c>
      <c r="C829" t="s">
        <v>19</v>
      </c>
      <c r="D829">
        <v>200</v>
      </c>
      <c r="E829">
        <v>100</v>
      </c>
    </row>
    <row r="830" spans="1:6" ht="15" customHeight="1" x14ac:dyDescent="0.25">
      <c r="A830">
        <v>1829</v>
      </c>
      <c r="B830" t="s">
        <v>119</v>
      </c>
      <c r="C830" t="s">
        <v>20</v>
      </c>
      <c r="D830">
        <v>500</v>
      </c>
      <c r="E830">
        <v>200</v>
      </c>
    </row>
    <row r="831" spans="1:6" ht="15" customHeight="1" x14ac:dyDescent="0.25">
      <c r="A831">
        <v>1830</v>
      </c>
      <c r="B831" t="s">
        <v>541</v>
      </c>
      <c r="C831" t="s">
        <v>20</v>
      </c>
      <c r="D831">
        <v>500</v>
      </c>
      <c r="E831">
        <v>200</v>
      </c>
    </row>
    <row r="832" spans="1:6" ht="15" customHeight="1" x14ac:dyDescent="0.25">
      <c r="A832">
        <v>1831</v>
      </c>
      <c r="B832" t="s">
        <v>542</v>
      </c>
      <c r="C832" t="s">
        <v>19</v>
      </c>
      <c r="D832">
        <v>200</v>
      </c>
      <c r="E832">
        <v>100</v>
      </c>
    </row>
    <row r="833" spans="1:6" ht="15" customHeight="1" x14ac:dyDescent="0.25">
      <c r="A833">
        <v>1832</v>
      </c>
      <c r="B833" t="s">
        <v>515</v>
      </c>
      <c r="C833" t="s">
        <v>20</v>
      </c>
      <c r="D833">
        <v>500</v>
      </c>
      <c r="E833">
        <v>200</v>
      </c>
    </row>
    <row r="834" spans="1:6" ht="15" customHeight="1" x14ac:dyDescent="0.25">
      <c r="A834">
        <v>1833</v>
      </c>
      <c r="B834" t="s">
        <v>160</v>
      </c>
      <c r="C834" t="s">
        <v>19</v>
      </c>
      <c r="D834">
        <v>200</v>
      </c>
      <c r="E834">
        <v>100</v>
      </c>
    </row>
    <row r="835" spans="1:6" ht="15" customHeight="1" x14ac:dyDescent="0.25">
      <c r="A835">
        <v>1834</v>
      </c>
      <c r="B835" t="s">
        <v>212</v>
      </c>
      <c r="C835" t="s">
        <v>19</v>
      </c>
      <c r="D835">
        <v>200</v>
      </c>
      <c r="E835">
        <v>100</v>
      </c>
      <c r="F835" t="s">
        <v>496</v>
      </c>
    </row>
    <row r="836" spans="1:6" ht="15" customHeight="1" x14ac:dyDescent="0.25">
      <c r="A836">
        <v>1835</v>
      </c>
      <c r="B836" t="s">
        <v>127</v>
      </c>
      <c r="C836" t="s">
        <v>18</v>
      </c>
      <c r="D836">
        <v>50</v>
      </c>
      <c r="E836">
        <v>30</v>
      </c>
    </row>
    <row r="837" spans="1:6" ht="15" customHeight="1" x14ac:dyDescent="0.25">
      <c r="A837">
        <v>1836</v>
      </c>
      <c r="B837" t="s">
        <v>148</v>
      </c>
      <c r="C837" t="s">
        <v>20</v>
      </c>
      <c r="D837">
        <v>500</v>
      </c>
      <c r="E837">
        <v>200</v>
      </c>
    </row>
    <row r="838" spans="1:6" ht="15" customHeight="1" x14ac:dyDescent="0.25">
      <c r="A838">
        <v>1837</v>
      </c>
      <c r="B838" t="s">
        <v>345</v>
      </c>
      <c r="C838" t="s">
        <v>20</v>
      </c>
      <c r="D838">
        <v>500</v>
      </c>
      <c r="E838">
        <v>200</v>
      </c>
    </row>
    <row r="839" spans="1:6" ht="15" customHeight="1" x14ac:dyDescent="0.25">
      <c r="A839">
        <v>1838</v>
      </c>
      <c r="B839" t="s">
        <v>432</v>
      </c>
      <c r="C839" t="s">
        <v>19</v>
      </c>
      <c r="D839">
        <v>200</v>
      </c>
      <c r="E839">
        <v>100</v>
      </c>
    </row>
    <row r="840" spans="1:6" ht="15" customHeight="1" x14ac:dyDescent="0.25">
      <c r="A840">
        <v>1839</v>
      </c>
      <c r="B840" t="s">
        <v>249</v>
      </c>
      <c r="C840" t="s">
        <v>18</v>
      </c>
      <c r="D840">
        <v>50</v>
      </c>
      <c r="E840">
        <v>30</v>
      </c>
    </row>
    <row r="841" spans="1:6" ht="15" customHeight="1" x14ac:dyDescent="0.25">
      <c r="A841">
        <v>1840</v>
      </c>
      <c r="B841" t="s">
        <v>299</v>
      </c>
      <c r="C841" t="s">
        <v>18</v>
      </c>
      <c r="D841">
        <v>50</v>
      </c>
      <c r="E841">
        <v>30</v>
      </c>
    </row>
    <row r="842" spans="1:6" ht="15" customHeight="1" x14ac:dyDescent="0.25">
      <c r="A842">
        <v>1841</v>
      </c>
      <c r="B842" t="s">
        <v>497</v>
      </c>
      <c r="C842" t="s">
        <v>20</v>
      </c>
      <c r="D842">
        <v>500</v>
      </c>
      <c r="E842">
        <v>200</v>
      </c>
    </row>
    <row r="843" spans="1:6" ht="15" customHeight="1" x14ac:dyDescent="0.25">
      <c r="A843">
        <v>1842</v>
      </c>
      <c r="B843" t="s">
        <v>543</v>
      </c>
      <c r="C843" t="s">
        <v>18</v>
      </c>
      <c r="D843">
        <v>50</v>
      </c>
      <c r="E843">
        <v>30</v>
      </c>
    </row>
    <row r="844" spans="1:6" ht="15" customHeight="1" x14ac:dyDescent="0.25">
      <c r="A844">
        <v>1843</v>
      </c>
      <c r="B844" t="s">
        <v>366</v>
      </c>
      <c r="C844" t="s">
        <v>19</v>
      </c>
      <c r="D844">
        <v>200</v>
      </c>
      <c r="E844">
        <v>100</v>
      </c>
    </row>
    <row r="845" spans="1:6" ht="15" customHeight="1" x14ac:dyDescent="0.25">
      <c r="A845">
        <v>1844</v>
      </c>
      <c r="B845" t="s">
        <v>544</v>
      </c>
      <c r="C845" t="s">
        <v>18</v>
      </c>
      <c r="D845">
        <v>50</v>
      </c>
      <c r="E845">
        <v>30</v>
      </c>
      <c r="F845" t="s">
        <v>465</v>
      </c>
    </row>
    <row r="846" spans="1:6" ht="15" customHeight="1" x14ac:dyDescent="0.25">
      <c r="A846">
        <v>1845</v>
      </c>
      <c r="B846" t="s">
        <v>167</v>
      </c>
      <c r="C846" t="s">
        <v>18</v>
      </c>
      <c r="D846">
        <v>50</v>
      </c>
      <c r="E846">
        <v>30</v>
      </c>
    </row>
    <row r="847" spans="1:6" ht="15" customHeight="1" x14ac:dyDescent="0.25">
      <c r="A847">
        <v>1846</v>
      </c>
      <c r="B847" t="s">
        <v>418</v>
      </c>
      <c r="C847" t="s">
        <v>20</v>
      </c>
      <c r="D847">
        <v>500</v>
      </c>
      <c r="E847">
        <v>200</v>
      </c>
    </row>
    <row r="848" spans="1:6" ht="15" customHeight="1" x14ac:dyDescent="0.25">
      <c r="A848">
        <v>1847</v>
      </c>
      <c r="B848" t="s">
        <v>256</v>
      </c>
      <c r="C848" t="s">
        <v>20</v>
      </c>
      <c r="D848">
        <v>500</v>
      </c>
      <c r="E848">
        <v>200</v>
      </c>
    </row>
    <row r="849" spans="1:5" ht="15" customHeight="1" x14ac:dyDescent="0.25">
      <c r="A849">
        <v>1848</v>
      </c>
      <c r="B849" t="s">
        <v>137</v>
      </c>
      <c r="C849" t="s">
        <v>18</v>
      </c>
      <c r="D849">
        <v>50</v>
      </c>
      <c r="E849">
        <v>30</v>
      </c>
    </row>
    <row r="850" spans="1:5" ht="15" customHeight="1" x14ac:dyDescent="0.25">
      <c r="A850">
        <v>1849</v>
      </c>
      <c r="B850" t="s">
        <v>166</v>
      </c>
      <c r="C850" t="s">
        <v>18</v>
      </c>
      <c r="D850">
        <v>50</v>
      </c>
      <c r="E850">
        <v>30</v>
      </c>
    </row>
    <row r="851" spans="1:5" ht="15" customHeight="1" x14ac:dyDescent="0.25">
      <c r="A851">
        <v>1850</v>
      </c>
      <c r="B851" t="s">
        <v>252</v>
      </c>
      <c r="C851" t="s">
        <v>19</v>
      </c>
      <c r="D851">
        <v>200</v>
      </c>
      <c r="E851">
        <v>100</v>
      </c>
    </row>
    <row r="852" spans="1:5" ht="15" customHeight="1" x14ac:dyDescent="0.25">
      <c r="A852">
        <v>1851</v>
      </c>
      <c r="B852" t="s">
        <v>238</v>
      </c>
      <c r="C852" t="s">
        <v>19</v>
      </c>
      <c r="D852">
        <v>200</v>
      </c>
      <c r="E852">
        <v>100</v>
      </c>
    </row>
    <row r="853" spans="1:5" ht="15" customHeight="1" x14ac:dyDescent="0.25">
      <c r="A853">
        <v>1852</v>
      </c>
      <c r="B853" t="s">
        <v>347</v>
      </c>
      <c r="C853" t="s">
        <v>20</v>
      </c>
      <c r="D853">
        <v>500</v>
      </c>
      <c r="E853">
        <v>200</v>
      </c>
    </row>
    <row r="854" spans="1:5" ht="15" customHeight="1" x14ac:dyDescent="0.25">
      <c r="A854">
        <v>1853</v>
      </c>
      <c r="B854" t="s">
        <v>545</v>
      </c>
      <c r="C854" t="s">
        <v>19</v>
      </c>
      <c r="D854">
        <v>200</v>
      </c>
      <c r="E854">
        <v>100</v>
      </c>
    </row>
    <row r="855" spans="1:5" ht="15" customHeight="1" x14ac:dyDescent="0.25">
      <c r="A855">
        <v>1854</v>
      </c>
      <c r="B855" t="s">
        <v>180</v>
      </c>
      <c r="C855" t="s">
        <v>19</v>
      </c>
      <c r="D855">
        <v>200</v>
      </c>
      <c r="E855">
        <v>100</v>
      </c>
    </row>
    <row r="856" spans="1:5" ht="15" customHeight="1" x14ac:dyDescent="0.25">
      <c r="A856">
        <v>1855</v>
      </c>
      <c r="B856" t="s">
        <v>118</v>
      </c>
      <c r="C856" t="s">
        <v>19</v>
      </c>
      <c r="D856">
        <v>200</v>
      </c>
      <c r="E856">
        <v>100</v>
      </c>
    </row>
    <row r="857" spans="1:5" ht="15" customHeight="1" x14ac:dyDescent="0.25">
      <c r="A857">
        <v>1856</v>
      </c>
      <c r="B857" t="s">
        <v>446</v>
      </c>
      <c r="C857" t="s">
        <v>18</v>
      </c>
      <c r="D857">
        <v>50</v>
      </c>
      <c r="E857">
        <v>30</v>
      </c>
    </row>
    <row r="858" spans="1:5" ht="15" customHeight="1" x14ac:dyDescent="0.25">
      <c r="A858">
        <v>1857</v>
      </c>
      <c r="B858" t="s">
        <v>546</v>
      </c>
      <c r="C858" t="s">
        <v>19</v>
      </c>
      <c r="D858">
        <v>200</v>
      </c>
      <c r="E858">
        <v>100</v>
      </c>
    </row>
    <row r="859" spans="1:5" ht="15" customHeight="1" x14ac:dyDescent="0.25">
      <c r="A859">
        <v>1858</v>
      </c>
      <c r="B859" t="s">
        <v>272</v>
      </c>
      <c r="C859" t="s">
        <v>19</v>
      </c>
      <c r="D859">
        <v>200</v>
      </c>
      <c r="E859">
        <v>100</v>
      </c>
    </row>
    <row r="860" spans="1:5" ht="15" customHeight="1" x14ac:dyDescent="0.25">
      <c r="A860">
        <v>1859</v>
      </c>
      <c r="B860" t="s">
        <v>112</v>
      </c>
      <c r="C860" t="s">
        <v>19</v>
      </c>
      <c r="D860">
        <v>200</v>
      </c>
      <c r="E860">
        <v>100</v>
      </c>
    </row>
    <row r="861" spans="1:5" ht="15" customHeight="1" x14ac:dyDescent="0.25">
      <c r="A861">
        <v>1860</v>
      </c>
      <c r="B861" t="s">
        <v>541</v>
      </c>
      <c r="C861" t="s">
        <v>18</v>
      </c>
      <c r="D861">
        <v>50</v>
      </c>
      <c r="E861">
        <v>30</v>
      </c>
    </row>
    <row r="862" spans="1:5" ht="15" customHeight="1" x14ac:dyDescent="0.25">
      <c r="A862">
        <v>1861</v>
      </c>
      <c r="B862" t="s">
        <v>401</v>
      </c>
      <c r="C862" t="s">
        <v>19</v>
      </c>
      <c r="D862">
        <v>200</v>
      </c>
      <c r="E862">
        <v>100</v>
      </c>
    </row>
    <row r="863" spans="1:5" ht="15" customHeight="1" x14ac:dyDescent="0.25">
      <c r="A863">
        <v>1862</v>
      </c>
      <c r="B863" t="s">
        <v>152</v>
      </c>
      <c r="C863" t="s">
        <v>20</v>
      </c>
      <c r="D863">
        <v>500</v>
      </c>
      <c r="E863">
        <v>200</v>
      </c>
    </row>
    <row r="864" spans="1:5" ht="15" customHeight="1" x14ac:dyDescent="0.25">
      <c r="A864">
        <v>1863</v>
      </c>
      <c r="B864" t="s">
        <v>184</v>
      </c>
      <c r="C864" t="s">
        <v>18</v>
      </c>
      <c r="D864">
        <v>50</v>
      </c>
      <c r="E864">
        <v>30</v>
      </c>
    </row>
    <row r="865" spans="1:6" ht="15" customHeight="1" x14ac:dyDescent="0.25">
      <c r="A865">
        <v>1864</v>
      </c>
      <c r="B865" t="s">
        <v>547</v>
      </c>
      <c r="C865" t="s">
        <v>19</v>
      </c>
      <c r="D865">
        <v>200</v>
      </c>
      <c r="E865">
        <v>100</v>
      </c>
    </row>
    <row r="866" spans="1:6" ht="15" customHeight="1" x14ac:dyDescent="0.25">
      <c r="A866">
        <v>1865</v>
      </c>
      <c r="B866" t="s">
        <v>123</v>
      </c>
      <c r="C866" t="s">
        <v>19</v>
      </c>
      <c r="D866">
        <v>200</v>
      </c>
      <c r="E866">
        <v>100</v>
      </c>
    </row>
    <row r="867" spans="1:6" ht="15" customHeight="1" x14ac:dyDescent="0.25">
      <c r="A867">
        <v>1866</v>
      </c>
      <c r="B867" t="s">
        <v>548</v>
      </c>
      <c r="C867" t="s">
        <v>19</v>
      </c>
      <c r="D867">
        <v>200</v>
      </c>
      <c r="E867">
        <v>100</v>
      </c>
    </row>
    <row r="868" spans="1:6" ht="15" customHeight="1" x14ac:dyDescent="0.25">
      <c r="A868">
        <v>1867</v>
      </c>
      <c r="B868" t="s">
        <v>549</v>
      </c>
      <c r="C868" t="s">
        <v>19</v>
      </c>
      <c r="D868">
        <v>200</v>
      </c>
      <c r="E868">
        <v>100</v>
      </c>
    </row>
    <row r="869" spans="1:6" ht="15" customHeight="1" x14ac:dyDescent="0.25">
      <c r="A869">
        <v>1868</v>
      </c>
      <c r="B869" t="s">
        <v>519</v>
      </c>
      <c r="C869" t="s">
        <v>19</v>
      </c>
      <c r="D869">
        <v>200</v>
      </c>
      <c r="E869">
        <v>100</v>
      </c>
    </row>
    <row r="870" spans="1:6" ht="15" customHeight="1" x14ac:dyDescent="0.25">
      <c r="A870">
        <v>1869</v>
      </c>
      <c r="B870" t="s">
        <v>298</v>
      </c>
      <c r="C870" t="s">
        <v>18</v>
      </c>
      <c r="D870">
        <v>50</v>
      </c>
      <c r="E870">
        <v>30</v>
      </c>
    </row>
    <row r="871" spans="1:6" ht="15" customHeight="1" x14ac:dyDescent="0.25">
      <c r="A871">
        <v>1870</v>
      </c>
      <c r="B871" t="s">
        <v>550</v>
      </c>
      <c r="C871" t="s">
        <v>19</v>
      </c>
      <c r="D871">
        <v>200</v>
      </c>
      <c r="E871">
        <v>100</v>
      </c>
    </row>
    <row r="872" spans="1:6" ht="15" customHeight="1" x14ac:dyDescent="0.25">
      <c r="A872">
        <v>1871</v>
      </c>
      <c r="B872" t="s">
        <v>134</v>
      </c>
      <c r="C872" t="s">
        <v>19</v>
      </c>
      <c r="D872">
        <v>200</v>
      </c>
      <c r="E872">
        <v>100</v>
      </c>
    </row>
    <row r="873" spans="1:6" ht="15" customHeight="1" x14ac:dyDescent="0.25">
      <c r="A873">
        <v>1872</v>
      </c>
      <c r="B873" t="s">
        <v>236</v>
      </c>
      <c r="C873" t="s">
        <v>18</v>
      </c>
      <c r="D873">
        <v>50</v>
      </c>
      <c r="E873">
        <v>30</v>
      </c>
    </row>
    <row r="874" spans="1:6" ht="15" customHeight="1" x14ac:dyDescent="0.25">
      <c r="A874">
        <v>1873</v>
      </c>
      <c r="B874" t="s">
        <v>464</v>
      </c>
      <c r="C874" t="s">
        <v>18</v>
      </c>
      <c r="D874">
        <v>50</v>
      </c>
      <c r="E874">
        <v>30</v>
      </c>
    </row>
    <row r="875" spans="1:6" ht="15" customHeight="1" x14ac:dyDescent="0.25">
      <c r="A875">
        <v>1874</v>
      </c>
      <c r="B875" t="s">
        <v>143</v>
      </c>
      <c r="C875" t="s">
        <v>18</v>
      </c>
      <c r="D875">
        <v>50</v>
      </c>
      <c r="E875">
        <v>30</v>
      </c>
    </row>
    <row r="876" spans="1:6" ht="15" customHeight="1" x14ac:dyDescent="0.25">
      <c r="A876">
        <v>1875</v>
      </c>
      <c r="B876" t="s">
        <v>155</v>
      </c>
      <c r="C876" t="s">
        <v>19</v>
      </c>
      <c r="D876">
        <v>200</v>
      </c>
      <c r="E876">
        <v>100</v>
      </c>
    </row>
    <row r="877" spans="1:6" ht="15" customHeight="1" x14ac:dyDescent="0.25">
      <c r="A877">
        <v>1876</v>
      </c>
      <c r="B877" t="s">
        <v>551</v>
      </c>
      <c r="C877" t="s">
        <v>18</v>
      </c>
      <c r="D877">
        <v>50</v>
      </c>
      <c r="E877">
        <v>30</v>
      </c>
      <c r="F877" t="s">
        <v>157</v>
      </c>
    </row>
    <row r="878" spans="1:6" ht="15" customHeight="1" x14ac:dyDescent="0.25">
      <c r="A878">
        <v>1877</v>
      </c>
      <c r="B878" t="s">
        <v>325</v>
      </c>
      <c r="C878" t="s">
        <v>19</v>
      </c>
      <c r="D878">
        <v>200</v>
      </c>
      <c r="E878">
        <v>100</v>
      </c>
    </row>
    <row r="879" spans="1:6" ht="15" customHeight="1" x14ac:dyDescent="0.25">
      <c r="A879">
        <v>1878</v>
      </c>
      <c r="B879" t="s">
        <v>552</v>
      </c>
      <c r="C879" t="s">
        <v>19</v>
      </c>
      <c r="D879">
        <v>200</v>
      </c>
      <c r="E879">
        <v>100</v>
      </c>
    </row>
    <row r="880" spans="1:6" ht="15" customHeight="1" x14ac:dyDescent="0.25">
      <c r="A880">
        <v>1879</v>
      </c>
      <c r="B880" t="s">
        <v>372</v>
      </c>
      <c r="C880" t="s">
        <v>18</v>
      </c>
      <c r="D880">
        <v>50</v>
      </c>
      <c r="E880">
        <v>30</v>
      </c>
    </row>
    <row r="881" spans="1:6" ht="15" customHeight="1" x14ac:dyDescent="0.25">
      <c r="A881">
        <v>1880</v>
      </c>
      <c r="B881" t="s">
        <v>300</v>
      </c>
      <c r="C881" t="s">
        <v>19</v>
      </c>
      <c r="D881">
        <v>200</v>
      </c>
      <c r="E881">
        <v>100</v>
      </c>
    </row>
    <row r="882" spans="1:6" ht="15" customHeight="1" x14ac:dyDescent="0.25">
      <c r="A882">
        <v>1881</v>
      </c>
      <c r="B882" t="s">
        <v>183</v>
      </c>
      <c r="C882" t="s">
        <v>18</v>
      </c>
      <c r="D882">
        <v>50</v>
      </c>
      <c r="E882">
        <v>30</v>
      </c>
    </row>
    <row r="883" spans="1:6" ht="15" customHeight="1" x14ac:dyDescent="0.25">
      <c r="A883">
        <v>1882</v>
      </c>
      <c r="B883" t="s">
        <v>357</v>
      </c>
      <c r="C883" t="s">
        <v>20</v>
      </c>
      <c r="D883">
        <v>500</v>
      </c>
      <c r="E883">
        <v>200</v>
      </c>
    </row>
    <row r="884" spans="1:6" ht="15" customHeight="1" x14ac:dyDescent="0.25">
      <c r="A884">
        <v>1883</v>
      </c>
      <c r="B884" t="s">
        <v>515</v>
      </c>
      <c r="C884" t="s">
        <v>18</v>
      </c>
      <c r="D884">
        <v>50</v>
      </c>
      <c r="E884">
        <v>30</v>
      </c>
      <c r="F884" t="s">
        <v>98</v>
      </c>
    </row>
    <row r="885" spans="1:6" ht="15" customHeight="1" x14ac:dyDescent="0.25">
      <c r="A885">
        <v>1884</v>
      </c>
      <c r="B885" t="s">
        <v>397</v>
      </c>
      <c r="C885" t="s">
        <v>19</v>
      </c>
      <c r="D885">
        <v>200</v>
      </c>
      <c r="E885">
        <v>100</v>
      </c>
    </row>
    <row r="886" spans="1:6" ht="15" customHeight="1" x14ac:dyDescent="0.25">
      <c r="A886">
        <v>1885</v>
      </c>
      <c r="B886" t="s">
        <v>273</v>
      </c>
      <c r="C886" t="s">
        <v>19</v>
      </c>
      <c r="D886">
        <v>200</v>
      </c>
      <c r="E886">
        <v>100</v>
      </c>
    </row>
    <row r="887" spans="1:6" ht="15" customHeight="1" x14ac:dyDescent="0.25">
      <c r="A887">
        <v>1886</v>
      </c>
      <c r="B887" t="s">
        <v>248</v>
      </c>
      <c r="C887" t="s">
        <v>18</v>
      </c>
      <c r="D887">
        <v>50</v>
      </c>
      <c r="E887">
        <v>30</v>
      </c>
    </row>
    <row r="888" spans="1:6" ht="15" customHeight="1" x14ac:dyDescent="0.25">
      <c r="A888">
        <v>1887</v>
      </c>
      <c r="B888" t="s">
        <v>312</v>
      </c>
      <c r="C888" t="s">
        <v>18</v>
      </c>
      <c r="D888">
        <v>50</v>
      </c>
      <c r="E888">
        <v>30</v>
      </c>
    </row>
    <row r="889" spans="1:6" ht="15" customHeight="1" x14ac:dyDescent="0.25">
      <c r="A889">
        <v>1888</v>
      </c>
      <c r="B889" t="s">
        <v>345</v>
      </c>
      <c r="C889" t="s">
        <v>19</v>
      </c>
      <c r="D889">
        <v>200</v>
      </c>
      <c r="E889">
        <v>100</v>
      </c>
    </row>
    <row r="890" spans="1:6" ht="15" customHeight="1" x14ac:dyDescent="0.25">
      <c r="A890">
        <v>1889</v>
      </c>
      <c r="B890" t="s">
        <v>553</v>
      </c>
      <c r="C890" t="s">
        <v>18</v>
      </c>
      <c r="D890">
        <v>50</v>
      </c>
      <c r="E890">
        <v>30</v>
      </c>
      <c r="F890" t="s">
        <v>407</v>
      </c>
    </row>
    <row r="891" spans="1:6" ht="15" customHeight="1" x14ac:dyDescent="0.25">
      <c r="A891">
        <v>1890</v>
      </c>
      <c r="B891" t="s">
        <v>228</v>
      </c>
      <c r="C891" t="s">
        <v>19</v>
      </c>
      <c r="D891">
        <v>200</v>
      </c>
      <c r="E891">
        <v>100</v>
      </c>
    </row>
    <row r="892" spans="1:6" ht="15" customHeight="1" x14ac:dyDescent="0.25">
      <c r="A892">
        <v>1891</v>
      </c>
      <c r="B892" t="s">
        <v>406</v>
      </c>
      <c r="C892" t="s">
        <v>18</v>
      </c>
      <c r="D892">
        <v>50</v>
      </c>
      <c r="E892">
        <v>30</v>
      </c>
    </row>
    <row r="893" spans="1:6" ht="15" customHeight="1" x14ac:dyDescent="0.25">
      <c r="A893">
        <v>1892</v>
      </c>
      <c r="B893" t="s">
        <v>426</v>
      </c>
      <c r="C893" t="s">
        <v>18</v>
      </c>
      <c r="D893">
        <v>50</v>
      </c>
      <c r="E893">
        <v>30</v>
      </c>
    </row>
    <row r="894" spans="1:6" ht="15" customHeight="1" x14ac:dyDescent="0.25">
      <c r="A894">
        <v>1893</v>
      </c>
      <c r="B894" t="s">
        <v>160</v>
      </c>
      <c r="C894" t="s">
        <v>18</v>
      </c>
      <c r="D894">
        <v>50</v>
      </c>
      <c r="E894">
        <v>30</v>
      </c>
    </row>
    <row r="895" spans="1:6" ht="15" customHeight="1" x14ac:dyDescent="0.25">
      <c r="A895">
        <v>1894</v>
      </c>
      <c r="B895" t="s">
        <v>245</v>
      </c>
      <c r="C895" t="s">
        <v>18</v>
      </c>
      <c r="D895">
        <v>50</v>
      </c>
      <c r="E895">
        <v>30</v>
      </c>
    </row>
    <row r="896" spans="1:6" ht="15" customHeight="1" x14ac:dyDescent="0.25">
      <c r="A896">
        <v>1895</v>
      </c>
      <c r="B896" t="s">
        <v>179</v>
      </c>
      <c r="C896" t="s">
        <v>19</v>
      </c>
      <c r="D896">
        <v>200</v>
      </c>
      <c r="E896">
        <v>100</v>
      </c>
    </row>
    <row r="897" spans="1:6" ht="15" customHeight="1" x14ac:dyDescent="0.25">
      <c r="A897">
        <v>1896</v>
      </c>
      <c r="B897" t="s">
        <v>486</v>
      </c>
      <c r="C897" t="s">
        <v>18</v>
      </c>
      <c r="D897">
        <v>50</v>
      </c>
      <c r="E897">
        <v>30</v>
      </c>
      <c r="F897" t="s">
        <v>275</v>
      </c>
    </row>
    <row r="898" spans="1:6" ht="15" customHeight="1" x14ac:dyDescent="0.25">
      <c r="A898">
        <v>1897</v>
      </c>
      <c r="B898" t="s">
        <v>554</v>
      </c>
      <c r="C898" t="s">
        <v>18</v>
      </c>
      <c r="D898">
        <v>50</v>
      </c>
      <c r="E898">
        <v>30</v>
      </c>
    </row>
    <row r="899" spans="1:6" ht="15" customHeight="1" x14ac:dyDescent="0.25">
      <c r="A899">
        <v>1898</v>
      </c>
      <c r="B899" t="s">
        <v>475</v>
      </c>
      <c r="C899" t="s">
        <v>18</v>
      </c>
      <c r="D899">
        <v>50</v>
      </c>
      <c r="E899">
        <v>30</v>
      </c>
    </row>
    <row r="900" spans="1:6" ht="15" customHeight="1" x14ac:dyDescent="0.25">
      <c r="A900">
        <v>1899</v>
      </c>
      <c r="B900" t="s">
        <v>181</v>
      </c>
      <c r="C900" t="s">
        <v>19</v>
      </c>
      <c r="D900">
        <v>200</v>
      </c>
      <c r="E900">
        <v>100</v>
      </c>
      <c r="F900" t="s">
        <v>555</v>
      </c>
    </row>
    <row r="901" spans="1:6" ht="15" customHeight="1" x14ac:dyDescent="0.25">
      <c r="A901">
        <v>1900</v>
      </c>
      <c r="B901" t="s">
        <v>446</v>
      </c>
      <c r="C901" t="s">
        <v>18</v>
      </c>
      <c r="D901">
        <v>50</v>
      </c>
      <c r="E901">
        <v>30</v>
      </c>
      <c r="F901" t="s">
        <v>283</v>
      </c>
    </row>
    <row r="902" spans="1:6" ht="15" customHeight="1" x14ac:dyDescent="0.25">
      <c r="A902">
        <v>1901</v>
      </c>
      <c r="B902" t="s">
        <v>474</v>
      </c>
      <c r="C902" t="s">
        <v>20</v>
      </c>
      <c r="D902">
        <v>500</v>
      </c>
      <c r="E902">
        <v>200</v>
      </c>
    </row>
    <row r="903" spans="1:6" ht="15" customHeight="1" x14ac:dyDescent="0.25">
      <c r="A903">
        <v>1902</v>
      </c>
      <c r="B903" t="s">
        <v>501</v>
      </c>
      <c r="C903" t="s">
        <v>20</v>
      </c>
      <c r="D903">
        <v>500</v>
      </c>
      <c r="E903">
        <v>200</v>
      </c>
    </row>
    <row r="904" spans="1:6" ht="15" customHeight="1" x14ac:dyDescent="0.25">
      <c r="A904">
        <v>1903</v>
      </c>
      <c r="B904" t="s">
        <v>556</v>
      </c>
      <c r="C904" t="s">
        <v>18</v>
      </c>
      <c r="D904">
        <v>50</v>
      </c>
      <c r="E904">
        <v>30</v>
      </c>
    </row>
    <row r="905" spans="1:6" ht="15" customHeight="1" x14ac:dyDescent="0.25">
      <c r="A905">
        <v>1904</v>
      </c>
      <c r="B905" t="s">
        <v>548</v>
      </c>
      <c r="C905" t="s">
        <v>18</v>
      </c>
      <c r="D905">
        <v>50</v>
      </c>
      <c r="E905">
        <v>30</v>
      </c>
    </row>
    <row r="906" spans="1:6" ht="15" customHeight="1" x14ac:dyDescent="0.25">
      <c r="A906">
        <v>1905</v>
      </c>
      <c r="B906" t="s">
        <v>557</v>
      </c>
      <c r="C906" t="s">
        <v>20</v>
      </c>
      <c r="D906">
        <v>500</v>
      </c>
      <c r="E906">
        <v>200</v>
      </c>
    </row>
    <row r="907" spans="1:6" ht="15" customHeight="1" x14ac:dyDescent="0.25">
      <c r="A907">
        <v>1906</v>
      </c>
      <c r="B907" t="s">
        <v>192</v>
      </c>
      <c r="C907" t="s">
        <v>20</v>
      </c>
      <c r="D907">
        <v>500</v>
      </c>
      <c r="E907">
        <v>200</v>
      </c>
    </row>
    <row r="908" spans="1:6" ht="15" customHeight="1" x14ac:dyDescent="0.25">
      <c r="A908">
        <v>1907</v>
      </c>
      <c r="B908" t="s">
        <v>552</v>
      </c>
      <c r="C908" t="s">
        <v>18</v>
      </c>
      <c r="D908">
        <v>50</v>
      </c>
      <c r="E908">
        <v>30</v>
      </c>
    </row>
    <row r="909" spans="1:6" ht="15" customHeight="1" x14ac:dyDescent="0.25">
      <c r="A909">
        <v>1908</v>
      </c>
      <c r="B909" t="s">
        <v>517</v>
      </c>
      <c r="C909" t="s">
        <v>20</v>
      </c>
      <c r="D909">
        <v>500</v>
      </c>
      <c r="E909">
        <v>200</v>
      </c>
    </row>
    <row r="910" spans="1:6" ht="15" customHeight="1" x14ac:dyDescent="0.25">
      <c r="A910">
        <v>1909</v>
      </c>
      <c r="B910" t="s">
        <v>415</v>
      </c>
      <c r="C910" t="s">
        <v>19</v>
      </c>
      <c r="D910">
        <v>200</v>
      </c>
      <c r="E910">
        <v>100</v>
      </c>
    </row>
    <row r="911" spans="1:6" ht="15" customHeight="1" x14ac:dyDescent="0.25">
      <c r="A911">
        <v>1910</v>
      </c>
      <c r="B911" t="s">
        <v>558</v>
      </c>
      <c r="C911" t="s">
        <v>19</v>
      </c>
      <c r="D911">
        <v>200</v>
      </c>
      <c r="E911">
        <v>100</v>
      </c>
    </row>
    <row r="912" spans="1:6" ht="15" customHeight="1" x14ac:dyDescent="0.25">
      <c r="A912">
        <v>1911</v>
      </c>
      <c r="B912" t="s">
        <v>166</v>
      </c>
      <c r="C912" t="s">
        <v>19</v>
      </c>
      <c r="D912">
        <v>200</v>
      </c>
      <c r="E912">
        <v>100</v>
      </c>
    </row>
    <row r="913" spans="1:6" ht="15" customHeight="1" x14ac:dyDescent="0.25">
      <c r="A913">
        <v>1912</v>
      </c>
      <c r="B913" t="s">
        <v>559</v>
      </c>
      <c r="C913" t="s">
        <v>18</v>
      </c>
      <c r="D913">
        <v>50</v>
      </c>
      <c r="E913">
        <v>30</v>
      </c>
    </row>
    <row r="914" spans="1:6" ht="15" customHeight="1" x14ac:dyDescent="0.25">
      <c r="A914">
        <v>1913</v>
      </c>
      <c r="B914" t="s">
        <v>333</v>
      </c>
      <c r="C914" t="s">
        <v>20</v>
      </c>
      <c r="D914">
        <v>500</v>
      </c>
      <c r="E914">
        <v>200</v>
      </c>
    </row>
    <row r="915" spans="1:6" ht="15" customHeight="1" x14ac:dyDescent="0.25">
      <c r="A915">
        <v>1914</v>
      </c>
      <c r="B915" t="s">
        <v>482</v>
      </c>
      <c r="C915" t="s">
        <v>20</v>
      </c>
      <c r="D915">
        <v>500</v>
      </c>
      <c r="E915">
        <v>200</v>
      </c>
    </row>
    <row r="916" spans="1:6" ht="15" customHeight="1" x14ac:dyDescent="0.25">
      <c r="A916">
        <v>1915</v>
      </c>
      <c r="B916" t="s">
        <v>525</v>
      </c>
      <c r="C916" t="s">
        <v>19</v>
      </c>
      <c r="D916">
        <v>200</v>
      </c>
      <c r="E916">
        <v>100</v>
      </c>
    </row>
    <row r="917" spans="1:6" ht="15" customHeight="1" x14ac:dyDescent="0.25">
      <c r="A917">
        <v>1916</v>
      </c>
      <c r="B917" t="s">
        <v>420</v>
      </c>
      <c r="C917" t="s">
        <v>18</v>
      </c>
      <c r="D917">
        <v>50</v>
      </c>
      <c r="E917">
        <v>30</v>
      </c>
    </row>
    <row r="918" spans="1:6" ht="15" customHeight="1" x14ac:dyDescent="0.25">
      <c r="A918">
        <v>1917</v>
      </c>
      <c r="B918" t="s">
        <v>444</v>
      </c>
      <c r="C918" t="s">
        <v>18</v>
      </c>
      <c r="D918">
        <v>50</v>
      </c>
      <c r="E918">
        <v>30</v>
      </c>
    </row>
    <row r="919" spans="1:6" ht="15" customHeight="1" x14ac:dyDescent="0.25">
      <c r="A919">
        <v>1918</v>
      </c>
      <c r="B919" t="s">
        <v>332</v>
      </c>
      <c r="C919" t="s">
        <v>19</v>
      </c>
      <c r="D919">
        <v>200</v>
      </c>
      <c r="E919">
        <v>100</v>
      </c>
      <c r="F919" t="s">
        <v>319</v>
      </c>
    </row>
    <row r="920" spans="1:6" ht="15" customHeight="1" x14ac:dyDescent="0.25">
      <c r="A920">
        <v>1919</v>
      </c>
      <c r="B920" t="s">
        <v>150</v>
      </c>
      <c r="C920" t="s">
        <v>18</v>
      </c>
      <c r="D920">
        <v>50</v>
      </c>
      <c r="E920">
        <v>30</v>
      </c>
    </row>
    <row r="921" spans="1:6" ht="15" customHeight="1" x14ac:dyDescent="0.25">
      <c r="A921">
        <v>1920</v>
      </c>
      <c r="B921" t="s">
        <v>560</v>
      </c>
      <c r="C921" t="s">
        <v>19</v>
      </c>
      <c r="D921">
        <v>200</v>
      </c>
      <c r="E921">
        <v>100</v>
      </c>
    </row>
    <row r="922" spans="1:6" ht="15" customHeight="1" x14ac:dyDescent="0.25">
      <c r="A922">
        <v>1921</v>
      </c>
      <c r="B922" t="s">
        <v>407</v>
      </c>
      <c r="C922" t="s">
        <v>20</v>
      </c>
      <c r="D922">
        <v>500</v>
      </c>
      <c r="E922">
        <v>200</v>
      </c>
    </row>
    <row r="923" spans="1:6" ht="15" customHeight="1" x14ac:dyDescent="0.25">
      <c r="A923">
        <v>1922</v>
      </c>
      <c r="B923" t="s">
        <v>135</v>
      </c>
      <c r="C923" t="s">
        <v>20</v>
      </c>
      <c r="D923">
        <v>500</v>
      </c>
      <c r="E923">
        <v>200</v>
      </c>
    </row>
    <row r="924" spans="1:6" ht="15" customHeight="1" x14ac:dyDescent="0.25">
      <c r="A924">
        <v>1923</v>
      </c>
      <c r="B924" t="s">
        <v>114</v>
      </c>
      <c r="C924" t="s">
        <v>18</v>
      </c>
      <c r="D924">
        <v>50</v>
      </c>
      <c r="E924">
        <v>30</v>
      </c>
    </row>
    <row r="925" spans="1:6" ht="15" customHeight="1" x14ac:dyDescent="0.25">
      <c r="A925">
        <v>1924</v>
      </c>
      <c r="B925" t="s">
        <v>375</v>
      </c>
      <c r="C925" t="s">
        <v>18</v>
      </c>
      <c r="D925">
        <v>50</v>
      </c>
      <c r="E925">
        <v>30</v>
      </c>
      <c r="F925" t="s">
        <v>318</v>
      </c>
    </row>
    <row r="926" spans="1:6" ht="15" customHeight="1" x14ac:dyDescent="0.25">
      <c r="A926">
        <v>1925</v>
      </c>
      <c r="B926" t="s">
        <v>266</v>
      </c>
      <c r="C926" t="s">
        <v>18</v>
      </c>
      <c r="D926">
        <v>50</v>
      </c>
      <c r="E926">
        <v>30</v>
      </c>
    </row>
    <row r="927" spans="1:6" ht="15" customHeight="1" x14ac:dyDescent="0.25">
      <c r="A927">
        <v>1926</v>
      </c>
      <c r="B927" t="s">
        <v>277</v>
      </c>
      <c r="C927" t="s">
        <v>20</v>
      </c>
      <c r="D927">
        <v>500</v>
      </c>
      <c r="E927">
        <v>200</v>
      </c>
    </row>
    <row r="928" spans="1:6" ht="15" customHeight="1" x14ac:dyDescent="0.25">
      <c r="A928">
        <v>1927</v>
      </c>
      <c r="B928" t="s">
        <v>304</v>
      </c>
      <c r="C928" t="s">
        <v>19</v>
      </c>
      <c r="D928">
        <v>200</v>
      </c>
      <c r="E928">
        <v>100</v>
      </c>
    </row>
    <row r="929" spans="1:6" ht="15" customHeight="1" x14ac:dyDescent="0.25">
      <c r="A929">
        <v>1928</v>
      </c>
      <c r="B929" t="s">
        <v>126</v>
      </c>
      <c r="C929" t="s">
        <v>18</v>
      </c>
      <c r="D929">
        <v>50</v>
      </c>
      <c r="E929">
        <v>30</v>
      </c>
    </row>
    <row r="930" spans="1:6" ht="15" customHeight="1" x14ac:dyDescent="0.25">
      <c r="A930">
        <v>1929</v>
      </c>
      <c r="B930" t="s">
        <v>245</v>
      </c>
      <c r="C930" t="s">
        <v>20</v>
      </c>
      <c r="D930">
        <v>500</v>
      </c>
      <c r="E930">
        <v>200</v>
      </c>
      <c r="F930" t="s">
        <v>122</v>
      </c>
    </row>
    <row r="931" spans="1:6" ht="15" customHeight="1" x14ac:dyDescent="0.25">
      <c r="A931">
        <v>1930</v>
      </c>
      <c r="B931" t="s">
        <v>201</v>
      </c>
      <c r="C931" t="s">
        <v>18</v>
      </c>
      <c r="D931">
        <v>50</v>
      </c>
      <c r="E931">
        <v>30</v>
      </c>
    </row>
    <row r="932" spans="1:6" ht="15" customHeight="1" x14ac:dyDescent="0.25">
      <c r="A932">
        <v>1931</v>
      </c>
      <c r="B932" t="s">
        <v>280</v>
      </c>
      <c r="C932" t="s">
        <v>18</v>
      </c>
      <c r="D932">
        <v>50</v>
      </c>
      <c r="E932">
        <v>30</v>
      </c>
    </row>
    <row r="933" spans="1:6" ht="15" customHeight="1" x14ac:dyDescent="0.25">
      <c r="A933">
        <v>1932</v>
      </c>
      <c r="B933" t="s">
        <v>380</v>
      </c>
      <c r="C933" t="s">
        <v>19</v>
      </c>
      <c r="D933">
        <v>200</v>
      </c>
      <c r="E933">
        <v>100</v>
      </c>
    </row>
    <row r="934" spans="1:6" ht="15" customHeight="1" x14ac:dyDescent="0.25">
      <c r="A934">
        <v>1933</v>
      </c>
      <c r="B934" t="s">
        <v>361</v>
      </c>
      <c r="C934" t="s">
        <v>18</v>
      </c>
      <c r="D934">
        <v>50</v>
      </c>
      <c r="E934">
        <v>30</v>
      </c>
    </row>
    <row r="935" spans="1:6" ht="15" customHeight="1" x14ac:dyDescent="0.25">
      <c r="A935">
        <v>1934</v>
      </c>
      <c r="B935" t="s">
        <v>410</v>
      </c>
      <c r="C935" t="s">
        <v>19</v>
      </c>
      <c r="D935">
        <v>200</v>
      </c>
      <c r="E935">
        <v>100</v>
      </c>
    </row>
    <row r="936" spans="1:6" ht="15" customHeight="1" x14ac:dyDescent="0.25">
      <c r="A936">
        <v>1935</v>
      </c>
      <c r="B936" t="s">
        <v>354</v>
      </c>
      <c r="C936" t="s">
        <v>19</v>
      </c>
      <c r="D936">
        <v>200</v>
      </c>
      <c r="E936">
        <v>100</v>
      </c>
    </row>
    <row r="937" spans="1:6" ht="15" customHeight="1" x14ac:dyDescent="0.25">
      <c r="A937">
        <v>1936</v>
      </c>
      <c r="B937" t="s">
        <v>120</v>
      </c>
      <c r="C937" t="s">
        <v>18</v>
      </c>
      <c r="D937">
        <v>50</v>
      </c>
      <c r="E937">
        <v>30</v>
      </c>
    </row>
    <row r="938" spans="1:6" ht="15" customHeight="1" x14ac:dyDescent="0.25">
      <c r="A938">
        <v>1937</v>
      </c>
      <c r="B938" t="s">
        <v>561</v>
      </c>
      <c r="C938" t="s">
        <v>20</v>
      </c>
      <c r="D938">
        <v>500</v>
      </c>
      <c r="E938">
        <v>200</v>
      </c>
    </row>
    <row r="939" spans="1:6" ht="15" customHeight="1" x14ac:dyDescent="0.25">
      <c r="A939">
        <v>1938</v>
      </c>
      <c r="B939" t="s">
        <v>186</v>
      </c>
      <c r="C939" t="s">
        <v>18</v>
      </c>
      <c r="D939">
        <v>50</v>
      </c>
      <c r="E939">
        <v>30</v>
      </c>
    </row>
    <row r="940" spans="1:6" ht="15" customHeight="1" x14ac:dyDescent="0.25">
      <c r="A940">
        <v>1939</v>
      </c>
      <c r="B940" t="s">
        <v>207</v>
      </c>
      <c r="C940" t="s">
        <v>18</v>
      </c>
      <c r="D940">
        <v>50</v>
      </c>
      <c r="E940">
        <v>30</v>
      </c>
    </row>
    <row r="941" spans="1:6" ht="15" customHeight="1" x14ac:dyDescent="0.25">
      <c r="A941">
        <v>1940</v>
      </c>
      <c r="B941" t="s">
        <v>304</v>
      </c>
      <c r="C941" t="s">
        <v>18</v>
      </c>
      <c r="D941">
        <v>50</v>
      </c>
      <c r="E941">
        <v>30</v>
      </c>
    </row>
    <row r="942" spans="1:6" ht="15" customHeight="1" x14ac:dyDescent="0.25">
      <c r="A942">
        <v>1941</v>
      </c>
      <c r="B942" t="s">
        <v>264</v>
      </c>
      <c r="C942" t="s">
        <v>18</v>
      </c>
      <c r="D942">
        <v>50</v>
      </c>
      <c r="E942">
        <v>30</v>
      </c>
    </row>
    <row r="943" spans="1:6" ht="15" customHeight="1" x14ac:dyDescent="0.25">
      <c r="A943">
        <v>1942</v>
      </c>
      <c r="B943" t="s">
        <v>409</v>
      </c>
      <c r="C943" t="s">
        <v>18</v>
      </c>
      <c r="D943">
        <v>50</v>
      </c>
      <c r="E943">
        <v>30</v>
      </c>
    </row>
    <row r="944" spans="1:6" ht="15" customHeight="1" x14ac:dyDescent="0.25">
      <c r="A944">
        <v>1943</v>
      </c>
      <c r="B944" t="s">
        <v>474</v>
      </c>
      <c r="C944" t="s">
        <v>19</v>
      </c>
      <c r="D944">
        <v>200</v>
      </c>
      <c r="E944">
        <v>100</v>
      </c>
    </row>
    <row r="945" spans="1:6" ht="15" customHeight="1" x14ac:dyDescent="0.25">
      <c r="A945">
        <v>1944</v>
      </c>
      <c r="B945" t="s">
        <v>340</v>
      </c>
      <c r="C945" t="s">
        <v>20</v>
      </c>
      <c r="D945">
        <v>500</v>
      </c>
      <c r="E945">
        <v>200</v>
      </c>
    </row>
    <row r="946" spans="1:6" ht="15" customHeight="1" x14ac:dyDescent="0.25">
      <c r="A946">
        <v>1945</v>
      </c>
      <c r="B946" t="s">
        <v>261</v>
      </c>
      <c r="C946" t="s">
        <v>19</v>
      </c>
      <c r="D946">
        <v>200</v>
      </c>
      <c r="E946">
        <v>100</v>
      </c>
    </row>
    <row r="947" spans="1:6" ht="15" customHeight="1" x14ac:dyDescent="0.25">
      <c r="A947">
        <v>1946</v>
      </c>
      <c r="B947" t="s">
        <v>121</v>
      </c>
      <c r="C947" t="s">
        <v>19</v>
      </c>
      <c r="D947">
        <v>200</v>
      </c>
      <c r="E947">
        <v>100</v>
      </c>
    </row>
    <row r="948" spans="1:6" ht="15" customHeight="1" x14ac:dyDescent="0.25">
      <c r="A948">
        <v>1947</v>
      </c>
      <c r="B948" t="s">
        <v>562</v>
      </c>
      <c r="C948" t="s">
        <v>18</v>
      </c>
      <c r="D948">
        <v>50</v>
      </c>
      <c r="E948">
        <v>30</v>
      </c>
    </row>
    <row r="949" spans="1:6" ht="15" customHeight="1" x14ac:dyDescent="0.25">
      <c r="A949">
        <v>1948</v>
      </c>
      <c r="B949" t="s">
        <v>533</v>
      </c>
      <c r="C949" t="s">
        <v>18</v>
      </c>
      <c r="D949">
        <v>50</v>
      </c>
      <c r="E949">
        <v>30</v>
      </c>
    </row>
    <row r="950" spans="1:6" ht="15" customHeight="1" x14ac:dyDescent="0.25">
      <c r="A950">
        <v>1949</v>
      </c>
      <c r="B950" t="s">
        <v>563</v>
      </c>
      <c r="C950" t="s">
        <v>19</v>
      </c>
      <c r="D950">
        <v>200</v>
      </c>
      <c r="E950">
        <v>100</v>
      </c>
    </row>
    <row r="951" spans="1:6" ht="15" customHeight="1" x14ac:dyDescent="0.25">
      <c r="A951">
        <v>1950</v>
      </c>
      <c r="B951" t="s">
        <v>469</v>
      </c>
      <c r="C951" t="s">
        <v>19</v>
      </c>
      <c r="D951">
        <v>200</v>
      </c>
      <c r="E951">
        <v>100</v>
      </c>
    </row>
    <row r="952" spans="1:6" ht="15" customHeight="1" x14ac:dyDescent="0.25">
      <c r="A952">
        <v>1951</v>
      </c>
      <c r="B952" t="s">
        <v>479</v>
      </c>
      <c r="C952" t="s">
        <v>18</v>
      </c>
      <c r="D952">
        <v>50</v>
      </c>
      <c r="E952">
        <v>30</v>
      </c>
      <c r="F952" t="s">
        <v>350</v>
      </c>
    </row>
    <row r="953" spans="1:6" ht="15" customHeight="1" x14ac:dyDescent="0.25">
      <c r="A953">
        <v>1952</v>
      </c>
      <c r="B953" t="s">
        <v>310</v>
      </c>
      <c r="C953" t="s">
        <v>19</v>
      </c>
      <c r="D953">
        <v>200</v>
      </c>
      <c r="E953">
        <v>100</v>
      </c>
    </row>
    <row r="954" spans="1:6" ht="15" customHeight="1" x14ac:dyDescent="0.25">
      <c r="A954">
        <v>1953</v>
      </c>
      <c r="B954" t="s">
        <v>318</v>
      </c>
      <c r="C954" t="s">
        <v>18</v>
      </c>
      <c r="D954">
        <v>50</v>
      </c>
      <c r="E954">
        <v>30</v>
      </c>
      <c r="F954" t="s">
        <v>141</v>
      </c>
    </row>
    <row r="955" spans="1:6" ht="15" customHeight="1" x14ac:dyDescent="0.25">
      <c r="A955">
        <v>1954</v>
      </c>
      <c r="B955" t="s">
        <v>214</v>
      </c>
      <c r="C955" t="s">
        <v>20</v>
      </c>
      <c r="D955">
        <v>500</v>
      </c>
      <c r="E955">
        <v>200</v>
      </c>
    </row>
    <row r="956" spans="1:6" ht="15" customHeight="1" x14ac:dyDescent="0.25">
      <c r="A956">
        <v>1955</v>
      </c>
      <c r="B956" t="s">
        <v>317</v>
      </c>
      <c r="C956" t="s">
        <v>19</v>
      </c>
      <c r="D956">
        <v>200</v>
      </c>
      <c r="E956">
        <v>100</v>
      </c>
    </row>
    <row r="957" spans="1:6" ht="15" customHeight="1" x14ac:dyDescent="0.25">
      <c r="A957">
        <v>1956</v>
      </c>
      <c r="B957" t="s">
        <v>223</v>
      </c>
      <c r="C957" t="s">
        <v>18</v>
      </c>
      <c r="D957">
        <v>50</v>
      </c>
      <c r="E957">
        <v>30</v>
      </c>
    </row>
    <row r="958" spans="1:6" ht="15" customHeight="1" x14ac:dyDescent="0.25">
      <c r="A958">
        <v>1957</v>
      </c>
      <c r="B958" t="s">
        <v>243</v>
      </c>
      <c r="C958" t="s">
        <v>19</v>
      </c>
      <c r="D958">
        <v>200</v>
      </c>
      <c r="E958">
        <v>100</v>
      </c>
    </row>
    <row r="959" spans="1:6" ht="15" customHeight="1" x14ac:dyDescent="0.25">
      <c r="A959">
        <v>1958</v>
      </c>
      <c r="B959" t="s">
        <v>112</v>
      </c>
      <c r="C959" t="s">
        <v>20</v>
      </c>
      <c r="D959">
        <v>500</v>
      </c>
      <c r="E959">
        <v>200</v>
      </c>
    </row>
    <row r="960" spans="1:6" ht="15" customHeight="1" x14ac:dyDescent="0.25">
      <c r="A960">
        <v>1959</v>
      </c>
      <c r="B960" t="s">
        <v>564</v>
      </c>
      <c r="C960" t="s">
        <v>18</v>
      </c>
      <c r="D960">
        <v>50</v>
      </c>
      <c r="E960">
        <v>30</v>
      </c>
    </row>
    <row r="961" spans="1:6" ht="15" customHeight="1" x14ac:dyDescent="0.25">
      <c r="A961">
        <v>1960</v>
      </c>
      <c r="B961" t="s">
        <v>553</v>
      </c>
      <c r="C961" t="s">
        <v>20</v>
      </c>
      <c r="D961">
        <v>500</v>
      </c>
      <c r="E961">
        <v>200</v>
      </c>
    </row>
    <row r="962" spans="1:6" ht="15" customHeight="1" x14ac:dyDescent="0.25">
      <c r="A962">
        <v>1961</v>
      </c>
      <c r="B962" t="s">
        <v>525</v>
      </c>
      <c r="C962" t="s">
        <v>19</v>
      </c>
      <c r="D962">
        <v>200</v>
      </c>
      <c r="E962">
        <v>100</v>
      </c>
    </row>
    <row r="963" spans="1:6" ht="15" customHeight="1" x14ac:dyDescent="0.25">
      <c r="A963">
        <v>1962</v>
      </c>
      <c r="B963" t="s">
        <v>274</v>
      </c>
      <c r="C963" t="s">
        <v>19</v>
      </c>
      <c r="D963">
        <v>200</v>
      </c>
      <c r="E963">
        <v>100</v>
      </c>
    </row>
    <row r="964" spans="1:6" ht="15" customHeight="1" x14ac:dyDescent="0.25">
      <c r="A964">
        <v>1963</v>
      </c>
      <c r="B964" t="s">
        <v>91</v>
      </c>
      <c r="C964" t="s">
        <v>20</v>
      </c>
      <c r="D964">
        <v>500</v>
      </c>
      <c r="E964">
        <v>200</v>
      </c>
    </row>
    <row r="965" spans="1:6" ht="15" customHeight="1" x14ac:dyDescent="0.25">
      <c r="A965">
        <v>1964</v>
      </c>
      <c r="B965" t="s">
        <v>180</v>
      </c>
      <c r="C965" t="s">
        <v>20</v>
      </c>
      <c r="D965">
        <v>500</v>
      </c>
      <c r="E965">
        <v>200</v>
      </c>
    </row>
    <row r="966" spans="1:6" ht="15" customHeight="1" x14ac:dyDescent="0.25">
      <c r="A966">
        <v>1965</v>
      </c>
      <c r="B966" t="s">
        <v>262</v>
      </c>
      <c r="C966" t="s">
        <v>18</v>
      </c>
      <c r="D966">
        <v>50</v>
      </c>
      <c r="E966">
        <v>30</v>
      </c>
      <c r="F966" t="s">
        <v>224</v>
      </c>
    </row>
    <row r="967" spans="1:6" ht="15" customHeight="1" x14ac:dyDescent="0.25">
      <c r="A967">
        <v>1966</v>
      </c>
      <c r="B967" t="s">
        <v>207</v>
      </c>
      <c r="C967" t="s">
        <v>19</v>
      </c>
      <c r="D967">
        <v>200</v>
      </c>
      <c r="E967">
        <v>100</v>
      </c>
    </row>
    <row r="968" spans="1:6" ht="15" customHeight="1" x14ac:dyDescent="0.25">
      <c r="A968">
        <v>1967</v>
      </c>
      <c r="B968" t="s">
        <v>255</v>
      </c>
      <c r="C968" t="s">
        <v>19</v>
      </c>
      <c r="D968">
        <v>200</v>
      </c>
      <c r="E968">
        <v>100</v>
      </c>
    </row>
    <row r="969" spans="1:6" ht="15" customHeight="1" x14ac:dyDescent="0.25">
      <c r="A969">
        <v>1968</v>
      </c>
      <c r="B969" t="s">
        <v>271</v>
      </c>
      <c r="C969" t="s">
        <v>20</v>
      </c>
      <c r="D969">
        <v>500</v>
      </c>
      <c r="E969">
        <v>200</v>
      </c>
    </row>
    <row r="970" spans="1:6" ht="15" customHeight="1" x14ac:dyDescent="0.25">
      <c r="A970">
        <v>1969</v>
      </c>
      <c r="B970" t="s">
        <v>204</v>
      </c>
      <c r="C970" t="s">
        <v>18</v>
      </c>
      <c r="D970">
        <v>50</v>
      </c>
      <c r="E970">
        <v>30</v>
      </c>
    </row>
    <row r="971" spans="1:6" ht="15" customHeight="1" x14ac:dyDescent="0.25">
      <c r="A971">
        <v>1970</v>
      </c>
      <c r="B971" t="s">
        <v>161</v>
      </c>
      <c r="C971" t="s">
        <v>19</v>
      </c>
      <c r="D971">
        <v>200</v>
      </c>
      <c r="E971">
        <v>100</v>
      </c>
      <c r="F971" t="s">
        <v>409</v>
      </c>
    </row>
    <row r="972" spans="1:6" ht="15" customHeight="1" x14ac:dyDescent="0.25">
      <c r="A972">
        <v>1971</v>
      </c>
      <c r="B972" t="s">
        <v>261</v>
      </c>
      <c r="C972" t="s">
        <v>20</v>
      </c>
      <c r="D972">
        <v>500</v>
      </c>
      <c r="E972">
        <v>200</v>
      </c>
    </row>
    <row r="973" spans="1:6" ht="15" customHeight="1" x14ac:dyDescent="0.25">
      <c r="A973">
        <v>1972</v>
      </c>
      <c r="B973" t="s">
        <v>166</v>
      </c>
      <c r="C973" t="s">
        <v>19</v>
      </c>
      <c r="D973">
        <v>200</v>
      </c>
      <c r="E973">
        <v>100</v>
      </c>
    </row>
    <row r="974" spans="1:6" ht="15" customHeight="1" x14ac:dyDescent="0.25">
      <c r="A974">
        <v>1973</v>
      </c>
      <c r="B974" t="s">
        <v>504</v>
      </c>
      <c r="C974" t="s">
        <v>18</v>
      </c>
      <c r="D974">
        <v>50</v>
      </c>
      <c r="E974">
        <v>30</v>
      </c>
    </row>
    <row r="975" spans="1:6" ht="15" customHeight="1" x14ac:dyDescent="0.25">
      <c r="A975">
        <v>1974</v>
      </c>
      <c r="B975" t="s">
        <v>512</v>
      </c>
      <c r="C975" t="s">
        <v>20</v>
      </c>
      <c r="D975">
        <v>500</v>
      </c>
      <c r="E975">
        <v>200</v>
      </c>
    </row>
    <row r="976" spans="1:6" ht="15" customHeight="1" x14ac:dyDescent="0.25">
      <c r="A976">
        <v>1975</v>
      </c>
      <c r="B976" t="s">
        <v>164</v>
      </c>
      <c r="C976" t="s">
        <v>18</v>
      </c>
      <c r="D976">
        <v>50</v>
      </c>
      <c r="E976">
        <v>30</v>
      </c>
      <c r="F976" t="s">
        <v>339</v>
      </c>
    </row>
    <row r="977" spans="1:6" ht="15" customHeight="1" x14ac:dyDescent="0.25">
      <c r="A977">
        <v>1976</v>
      </c>
      <c r="B977" t="s">
        <v>172</v>
      </c>
      <c r="C977" t="s">
        <v>19</v>
      </c>
      <c r="D977">
        <v>200</v>
      </c>
      <c r="E977">
        <v>100</v>
      </c>
    </row>
    <row r="978" spans="1:6" ht="15" customHeight="1" x14ac:dyDescent="0.25">
      <c r="A978">
        <v>1977</v>
      </c>
      <c r="B978" t="s">
        <v>531</v>
      </c>
      <c r="C978" t="s">
        <v>18</v>
      </c>
      <c r="D978">
        <v>50</v>
      </c>
      <c r="E978">
        <v>30</v>
      </c>
    </row>
    <row r="979" spans="1:6" ht="15" customHeight="1" x14ac:dyDescent="0.25">
      <c r="A979">
        <v>1978</v>
      </c>
      <c r="B979" t="s">
        <v>441</v>
      </c>
      <c r="C979" t="s">
        <v>20</v>
      </c>
      <c r="D979">
        <v>500</v>
      </c>
      <c r="E979">
        <v>200</v>
      </c>
    </row>
    <row r="980" spans="1:6" ht="15" customHeight="1" x14ac:dyDescent="0.25">
      <c r="A980">
        <v>1979</v>
      </c>
      <c r="B980" t="s">
        <v>493</v>
      </c>
      <c r="C980" t="s">
        <v>18</v>
      </c>
      <c r="D980">
        <v>50</v>
      </c>
      <c r="E980">
        <v>30</v>
      </c>
    </row>
    <row r="981" spans="1:6" ht="15" customHeight="1" x14ac:dyDescent="0.25">
      <c r="A981">
        <v>1980</v>
      </c>
      <c r="B981" t="s">
        <v>316</v>
      </c>
      <c r="C981" t="s">
        <v>19</v>
      </c>
      <c r="D981">
        <v>200</v>
      </c>
      <c r="E981">
        <v>100</v>
      </c>
    </row>
    <row r="982" spans="1:6" ht="15" customHeight="1" x14ac:dyDescent="0.25">
      <c r="A982">
        <v>1981</v>
      </c>
      <c r="B982" t="s">
        <v>351</v>
      </c>
      <c r="C982" t="s">
        <v>20</v>
      </c>
      <c r="D982">
        <v>500</v>
      </c>
      <c r="E982">
        <v>200</v>
      </c>
    </row>
    <row r="983" spans="1:6" ht="15" customHeight="1" x14ac:dyDescent="0.25">
      <c r="A983">
        <v>1982</v>
      </c>
      <c r="B983" t="s">
        <v>221</v>
      </c>
      <c r="C983" t="s">
        <v>18</v>
      </c>
      <c r="D983">
        <v>50</v>
      </c>
      <c r="E983">
        <v>30</v>
      </c>
      <c r="F983" t="s">
        <v>565</v>
      </c>
    </row>
    <row r="984" spans="1:6" ht="15" customHeight="1" x14ac:dyDescent="0.25">
      <c r="A984">
        <v>1983</v>
      </c>
      <c r="B984" t="s">
        <v>116</v>
      </c>
      <c r="C984" t="s">
        <v>18</v>
      </c>
      <c r="D984">
        <v>50</v>
      </c>
      <c r="E984">
        <v>30</v>
      </c>
    </row>
    <row r="985" spans="1:6" ht="15" customHeight="1" x14ac:dyDescent="0.25">
      <c r="A985">
        <v>1984</v>
      </c>
      <c r="B985" t="s">
        <v>127</v>
      </c>
      <c r="C985" t="s">
        <v>20</v>
      </c>
      <c r="D985">
        <v>500</v>
      </c>
      <c r="E985">
        <v>200</v>
      </c>
    </row>
    <row r="986" spans="1:6" ht="15" customHeight="1" x14ac:dyDescent="0.25">
      <c r="A986">
        <v>1985</v>
      </c>
      <c r="B986" t="s">
        <v>281</v>
      </c>
      <c r="C986" t="s">
        <v>18</v>
      </c>
      <c r="D986">
        <v>50</v>
      </c>
      <c r="E986">
        <v>30</v>
      </c>
    </row>
    <row r="987" spans="1:6" ht="15" customHeight="1" x14ac:dyDescent="0.25">
      <c r="A987">
        <v>1986</v>
      </c>
      <c r="B987" t="s">
        <v>543</v>
      </c>
      <c r="C987" t="s">
        <v>20</v>
      </c>
      <c r="D987">
        <v>500</v>
      </c>
      <c r="E987">
        <v>200</v>
      </c>
      <c r="F987" t="s">
        <v>268</v>
      </c>
    </row>
    <row r="988" spans="1:6" ht="15" customHeight="1" x14ac:dyDescent="0.25">
      <c r="A988">
        <v>1987</v>
      </c>
      <c r="B988" t="s">
        <v>151</v>
      </c>
      <c r="C988" t="s">
        <v>20</v>
      </c>
      <c r="D988">
        <v>500</v>
      </c>
      <c r="E988">
        <v>200</v>
      </c>
    </row>
    <row r="989" spans="1:6" ht="15" customHeight="1" x14ac:dyDescent="0.25">
      <c r="A989">
        <v>1988</v>
      </c>
      <c r="B989" t="s">
        <v>566</v>
      </c>
      <c r="C989" t="s">
        <v>20</v>
      </c>
      <c r="D989">
        <v>500</v>
      </c>
      <c r="E989">
        <v>200</v>
      </c>
      <c r="F989" t="s">
        <v>263</v>
      </c>
    </row>
    <row r="990" spans="1:6" ht="15" customHeight="1" x14ac:dyDescent="0.25">
      <c r="A990">
        <v>1989</v>
      </c>
      <c r="B990" t="s">
        <v>529</v>
      </c>
      <c r="C990" t="s">
        <v>18</v>
      </c>
      <c r="D990">
        <v>50</v>
      </c>
      <c r="E990">
        <v>30</v>
      </c>
    </row>
    <row r="991" spans="1:6" ht="15" customHeight="1" x14ac:dyDescent="0.25">
      <c r="A991">
        <v>1990</v>
      </c>
      <c r="B991" t="s">
        <v>567</v>
      </c>
      <c r="C991" t="s">
        <v>18</v>
      </c>
      <c r="D991">
        <v>50</v>
      </c>
      <c r="E991">
        <v>30</v>
      </c>
    </row>
    <row r="992" spans="1:6" ht="15" customHeight="1" x14ac:dyDescent="0.25">
      <c r="A992">
        <v>1991</v>
      </c>
      <c r="B992" t="s">
        <v>95</v>
      </c>
      <c r="C992" t="s">
        <v>19</v>
      </c>
      <c r="D992">
        <v>200</v>
      </c>
      <c r="E992">
        <v>100</v>
      </c>
    </row>
    <row r="993" spans="1:6" ht="15" customHeight="1" x14ac:dyDescent="0.25">
      <c r="A993">
        <v>1992</v>
      </c>
      <c r="B993" t="s">
        <v>568</v>
      </c>
      <c r="C993" t="s">
        <v>19</v>
      </c>
      <c r="D993">
        <v>200</v>
      </c>
      <c r="E993">
        <v>100</v>
      </c>
    </row>
    <row r="994" spans="1:6" ht="15" customHeight="1" x14ac:dyDescent="0.25">
      <c r="A994">
        <v>1993</v>
      </c>
      <c r="B994" t="s">
        <v>221</v>
      </c>
      <c r="C994" t="s">
        <v>19</v>
      </c>
      <c r="D994">
        <v>200</v>
      </c>
      <c r="E994">
        <v>100</v>
      </c>
    </row>
    <row r="995" spans="1:6" ht="15" customHeight="1" x14ac:dyDescent="0.25">
      <c r="A995">
        <v>1994</v>
      </c>
      <c r="B995" t="s">
        <v>569</v>
      </c>
      <c r="C995" t="s">
        <v>18</v>
      </c>
      <c r="D995">
        <v>50</v>
      </c>
      <c r="E995">
        <v>30</v>
      </c>
    </row>
    <row r="996" spans="1:6" ht="15" customHeight="1" x14ac:dyDescent="0.25">
      <c r="A996">
        <v>1995</v>
      </c>
      <c r="B996" t="s">
        <v>380</v>
      </c>
      <c r="C996" t="s">
        <v>19</v>
      </c>
      <c r="D996">
        <v>200</v>
      </c>
      <c r="E996">
        <v>100</v>
      </c>
    </row>
    <row r="997" spans="1:6" ht="15" customHeight="1" x14ac:dyDescent="0.25">
      <c r="A997">
        <v>1996</v>
      </c>
      <c r="B997" t="s">
        <v>570</v>
      </c>
      <c r="C997" t="s">
        <v>19</v>
      </c>
      <c r="D997">
        <v>200</v>
      </c>
      <c r="E997">
        <v>100</v>
      </c>
    </row>
    <row r="998" spans="1:6" ht="15" customHeight="1" x14ac:dyDescent="0.25">
      <c r="A998">
        <v>1997</v>
      </c>
      <c r="B998" t="s">
        <v>453</v>
      </c>
      <c r="C998" t="s">
        <v>19</v>
      </c>
      <c r="D998">
        <v>200</v>
      </c>
      <c r="E998">
        <v>100</v>
      </c>
    </row>
    <row r="999" spans="1:6" ht="15" customHeight="1" x14ac:dyDescent="0.25">
      <c r="A999">
        <v>1998</v>
      </c>
      <c r="B999" t="s">
        <v>542</v>
      </c>
      <c r="C999" t="s">
        <v>18</v>
      </c>
      <c r="D999">
        <v>50</v>
      </c>
      <c r="E999">
        <v>30</v>
      </c>
    </row>
    <row r="1000" spans="1:6" ht="15" customHeight="1" x14ac:dyDescent="0.25">
      <c r="A1000">
        <v>1999</v>
      </c>
      <c r="B1000" t="s">
        <v>209</v>
      </c>
      <c r="C1000" t="s">
        <v>20</v>
      </c>
      <c r="D1000">
        <v>500</v>
      </c>
      <c r="E1000">
        <v>200</v>
      </c>
      <c r="F1000" t="s">
        <v>324</v>
      </c>
    </row>
    <row r="1001" spans="1:6" ht="15" customHeight="1" x14ac:dyDescent="0.25">
      <c r="A1001">
        <v>2000</v>
      </c>
      <c r="B1001" t="s">
        <v>513</v>
      </c>
      <c r="C1001" t="s">
        <v>19</v>
      </c>
      <c r="D1001">
        <v>200</v>
      </c>
      <c r="E1001">
        <v>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89"/>
  <sheetViews>
    <sheetView zoomScaleNormal="100" workbookViewId="0"/>
  </sheetViews>
  <sheetFormatPr defaultColWidth="8.7109375" defaultRowHeight="15" x14ac:dyDescent="0.25"/>
  <cols>
    <col min="1" max="6" width="20" customWidth="1"/>
  </cols>
  <sheetData>
    <row r="1" spans="1:6" ht="15" customHeight="1" x14ac:dyDescent="0.25">
      <c r="A1" s="19" t="s">
        <v>571</v>
      </c>
      <c r="B1" s="19" t="s">
        <v>84</v>
      </c>
      <c r="C1" s="19" t="s">
        <v>572</v>
      </c>
      <c r="D1" s="19" t="s">
        <v>87</v>
      </c>
      <c r="E1" s="19" t="s">
        <v>573</v>
      </c>
      <c r="F1" s="19" t="s">
        <v>574</v>
      </c>
    </row>
    <row r="2" spans="1:6" ht="15" customHeight="1" x14ac:dyDescent="0.25">
      <c r="A2" t="s">
        <v>575</v>
      </c>
      <c r="B2">
        <v>1020</v>
      </c>
      <c r="C2" t="s">
        <v>34</v>
      </c>
      <c r="D2">
        <v>200</v>
      </c>
      <c r="E2" t="s">
        <v>576</v>
      </c>
      <c r="F2">
        <v>200</v>
      </c>
    </row>
    <row r="3" spans="1:6" ht="15" customHeight="1" x14ac:dyDescent="0.25">
      <c r="A3" t="s">
        <v>577</v>
      </c>
      <c r="B3">
        <v>1020</v>
      </c>
      <c r="C3" t="s">
        <v>35</v>
      </c>
      <c r="D3">
        <v>200</v>
      </c>
      <c r="E3" t="s">
        <v>576</v>
      </c>
      <c r="F3">
        <v>200</v>
      </c>
    </row>
    <row r="4" spans="1:6" ht="15" customHeight="1" x14ac:dyDescent="0.25">
      <c r="A4" t="s">
        <v>578</v>
      </c>
      <c r="B4">
        <v>1020</v>
      </c>
      <c r="C4" t="s">
        <v>36</v>
      </c>
      <c r="D4">
        <v>200</v>
      </c>
      <c r="E4" t="s">
        <v>576</v>
      </c>
      <c r="F4">
        <v>200</v>
      </c>
    </row>
    <row r="5" spans="1:6" ht="15" customHeight="1" x14ac:dyDescent="0.25">
      <c r="A5" t="s">
        <v>579</v>
      </c>
      <c r="B5">
        <v>1020</v>
      </c>
      <c r="C5" t="s">
        <v>37</v>
      </c>
      <c r="D5">
        <v>200</v>
      </c>
      <c r="E5" t="s">
        <v>576</v>
      </c>
      <c r="F5">
        <v>200</v>
      </c>
    </row>
    <row r="6" spans="1:6" ht="15" customHeight="1" x14ac:dyDescent="0.25">
      <c r="A6" t="s">
        <v>580</v>
      </c>
      <c r="B6">
        <v>1020</v>
      </c>
      <c r="C6" t="s">
        <v>38</v>
      </c>
      <c r="D6">
        <v>200</v>
      </c>
      <c r="E6" t="s">
        <v>576</v>
      </c>
      <c r="F6">
        <v>200</v>
      </c>
    </row>
    <row r="7" spans="1:6" ht="15" customHeight="1" x14ac:dyDescent="0.25">
      <c r="A7" t="s">
        <v>581</v>
      </c>
      <c r="B7">
        <v>1020</v>
      </c>
      <c r="C7" t="s">
        <v>39</v>
      </c>
      <c r="D7">
        <v>200</v>
      </c>
      <c r="E7" t="s">
        <v>576</v>
      </c>
      <c r="F7">
        <v>200</v>
      </c>
    </row>
    <row r="8" spans="1:6" ht="15" customHeight="1" x14ac:dyDescent="0.25">
      <c r="A8" t="s">
        <v>582</v>
      </c>
      <c r="B8">
        <v>1020</v>
      </c>
      <c r="C8" t="s">
        <v>40</v>
      </c>
      <c r="D8">
        <v>200</v>
      </c>
      <c r="E8" t="s">
        <v>576</v>
      </c>
      <c r="F8">
        <v>200</v>
      </c>
    </row>
    <row r="9" spans="1:6" ht="15" customHeight="1" x14ac:dyDescent="0.25">
      <c r="A9" t="s">
        <v>583</v>
      </c>
      <c r="B9">
        <v>1021</v>
      </c>
      <c r="C9" t="s">
        <v>28</v>
      </c>
      <c r="D9">
        <v>200</v>
      </c>
      <c r="E9" t="s">
        <v>576</v>
      </c>
      <c r="F9">
        <v>200</v>
      </c>
    </row>
    <row r="10" spans="1:6" ht="15" customHeight="1" x14ac:dyDescent="0.25">
      <c r="A10" t="s">
        <v>584</v>
      </c>
      <c r="B10">
        <v>1021</v>
      </c>
      <c r="C10" t="s">
        <v>29</v>
      </c>
      <c r="D10">
        <v>200</v>
      </c>
      <c r="E10" t="s">
        <v>576</v>
      </c>
      <c r="F10">
        <v>200</v>
      </c>
    </row>
    <row r="11" spans="1:6" ht="15" customHeight="1" x14ac:dyDescent="0.25">
      <c r="A11" t="s">
        <v>585</v>
      </c>
      <c r="B11">
        <v>1023</v>
      </c>
      <c r="C11" t="s">
        <v>36</v>
      </c>
      <c r="D11">
        <v>50</v>
      </c>
      <c r="E11" t="s">
        <v>576</v>
      </c>
      <c r="F11">
        <v>50</v>
      </c>
    </row>
    <row r="12" spans="1:6" ht="15" customHeight="1" x14ac:dyDescent="0.25">
      <c r="A12" t="s">
        <v>586</v>
      </c>
      <c r="B12">
        <v>1023</v>
      </c>
      <c r="C12" t="s">
        <v>37</v>
      </c>
      <c r="D12">
        <v>50</v>
      </c>
      <c r="E12" t="s">
        <v>576</v>
      </c>
      <c r="F12">
        <v>50</v>
      </c>
    </row>
    <row r="13" spans="1:6" ht="15" customHeight="1" x14ac:dyDescent="0.25">
      <c r="A13" t="s">
        <v>587</v>
      </c>
      <c r="B13">
        <v>1023</v>
      </c>
      <c r="C13" t="s">
        <v>38</v>
      </c>
      <c r="D13">
        <v>50</v>
      </c>
      <c r="E13" t="s">
        <v>576</v>
      </c>
      <c r="F13">
        <v>50</v>
      </c>
    </row>
    <row r="14" spans="1:6" ht="15" customHeight="1" x14ac:dyDescent="0.25">
      <c r="A14" t="s">
        <v>588</v>
      </c>
      <c r="B14">
        <v>1023</v>
      </c>
      <c r="C14" t="s">
        <v>39</v>
      </c>
      <c r="D14">
        <v>50</v>
      </c>
      <c r="E14" t="s">
        <v>576</v>
      </c>
      <c r="F14">
        <v>50</v>
      </c>
    </row>
    <row r="15" spans="1:6" ht="15" customHeight="1" x14ac:dyDescent="0.25">
      <c r="A15" t="s">
        <v>589</v>
      </c>
      <c r="B15">
        <v>1023</v>
      </c>
      <c r="C15" t="s">
        <v>40</v>
      </c>
      <c r="D15">
        <v>50</v>
      </c>
      <c r="E15" t="s">
        <v>576</v>
      </c>
      <c r="F15">
        <v>50</v>
      </c>
    </row>
    <row r="16" spans="1:6" ht="15" customHeight="1" x14ac:dyDescent="0.25">
      <c r="A16" t="s">
        <v>590</v>
      </c>
      <c r="B16">
        <v>1023</v>
      </c>
      <c r="C16" t="s">
        <v>41</v>
      </c>
      <c r="D16">
        <v>50</v>
      </c>
      <c r="E16" t="s">
        <v>576</v>
      </c>
      <c r="F16">
        <v>50</v>
      </c>
    </row>
    <row r="17" spans="1:6" ht="15" customHeight="1" x14ac:dyDescent="0.25">
      <c r="A17" t="s">
        <v>591</v>
      </c>
      <c r="B17">
        <v>1023</v>
      </c>
      <c r="C17" t="s">
        <v>42</v>
      </c>
      <c r="D17">
        <v>50</v>
      </c>
      <c r="E17" t="s">
        <v>576</v>
      </c>
      <c r="F17">
        <v>50</v>
      </c>
    </row>
    <row r="18" spans="1:6" ht="15" customHeight="1" x14ac:dyDescent="0.25">
      <c r="A18" t="s">
        <v>592</v>
      </c>
      <c r="B18">
        <v>1026</v>
      </c>
      <c r="C18" t="s">
        <v>39</v>
      </c>
      <c r="D18">
        <v>200</v>
      </c>
      <c r="E18" t="s">
        <v>576</v>
      </c>
      <c r="F18">
        <v>200</v>
      </c>
    </row>
    <row r="19" spans="1:6" ht="15" customHeight="1" x14ac:dyDescent="0.25">
      <c r="A19" t="s">
        <v>593</v>
      </c>
      <c r="B19">
        <v>1026</v>
      </c>
      <c r="C19" t="s">
        <v>40</v>
      </c>
      <c r="D19">
        <v>200</v>
      </c>
      <c r="E19" t="s">
        <v>576</v>
      </c>
      <c r="F19">
        <v>200</v>
      </c>
    </row>
    <row r="20" spans="1:6" ht="15" customHeight="1" x14ac:dyDescent="0.25">
      <c r="A20" t="s">
        <v>594</v>
      </c>
      <c r="B20">
        <v>1026</v>
      </c>
      <c r="C20" t="s">
        <v>41</v>
      </c>
      <c r="D20">
        <v>200</v>
      </c>
      <c r="E20" t="s">
        <v>576</v>
      </c>
      <c r="F20">
        <v>200</v>
      </c>
    </row>
    <row r="21" spans="1:6" ht="15" customHeight="1" x14ac:dyDescent="0.25">
      <c r="A21" t="s">
        <v>595</v>
      </c>
      <c r="B21">
        <v>1031</v>
      </c>
      <c r="C21" t="s">
        <v>28</v>
      </c>
      <c r="D21">
        <v>200</v>
      </c>
      <c r="E21" t="s">
        <v>576</v>
      </c>
      <c r="F21">
        <v>200</v>
      </c>
    </row>
    <row r="22" spans="1:6" ht="15" customHeight="1" x14ac:dyDescent="0.25">
      <c r="A22" t="s">
        <v>596</v>
      </c>
      <c r="B22">
        <v>1031</v>
      </c>
      <c r="C22" t="s">
        <v>29</v>
      </c>
      <c r="D22">
        <v>200</v>
      </c>
      <c r="E22" t="s">
        <v>576</v>
      </c>
      <c r="F22">
        <v>200</v>
      </c>
    </row>
    <row r="23" spans="1:6" ht="15" customHeight="1" x14ac:dyDescent="0.25">
      <c r="A23" t="s">
        <v>597</v>
      </c>
      <c r="B23">
        <v>1031</v>
      </c>
      <c r="C23" t="s">
        <v>30</v>
      </c>
      <c r="D23">
        <v>200</v>
      </c>
      <c r="E23" t="s">
        <v>576</v>
      </c>
      <c r="F23">
        <v>200</v>
      </c>
    </row>
    <row r="24" spans="1:6" ht="15" customHeight="1" x14ac:dyDescent="0.25">
      <c r="A24" t="s">
        <v>598</v>
      </c>
      <c r="B24">
        <v>1031</v>
      </c>
      <c r="C24" t="s">
        <v>31</v>
      </c>
      <c r="D24">
        <v>200</v>
      </c>
      <c r="E24" t="s">
        <v>576</v>
      </c>
      <c r="F24">
        <v>200</v>
      </c>
    </row>
    <row r="25" spans="1:6" ht="15" customHeight="1" x14ac:dyDescent="0.25">
      <c r="A25" t="s">
        <v>599</v>
      </c>
      <c r="B25">
        <v>1031</v>
      </c>
      <c r="C25" t="s">
        <v>32</v>
      </c>
      <c r="D25">
        <v>200</v>
      </c>
      <c r="E25" t="s">
        <v>576</v>
      </c>
      <c r="F25">
        <v>200</v>
      </c>
    </row>
    <row r="26" spans="1:6" ht="15" customHeight="1" x14ac:dyDescent="0.25">
      <c r="A26" t="s">
        <v>600</v>
      </c>
      <c r="B26">
        <v>1031</v>
      </c>
      <c r="C26" t="s">
        <v>33</v>
      </c>
      <c r="D26">
        <v>200</v>
      </c>
      <c r="E26" t="s">
        <v>576</v>
      </c>
      <c r="F26">
        <v>200</v>
      </c>
    </row>
    <row r="27" spans="1:6" ht="15" customHeight="1" x14ac:dyDescent="0.25">
      <c r="A27" t="s">
        <v>601</v>
      </c>
      <c r="B27">
        <v>1031</v>
      </c>
      <c r="C27" t="s">
        <v>34</v>
      </c>
      <c r="D27">
        <v>200</v>
      </c>
      <c r="E27" t="s">
        <v>576</v>
      </c>
      <c r="F27">
        <v>200</v>
      </c>
    </row>
    <row r="28" spans="1:6" ht="15" customHeight="1" x14ac:dyDescent="0.25">
      <c r="A28" t="s">
        <v>602</v>
      </c>
      <c r="B28">
        <v>1031</v>
      </c>
      <c r="C28" t="s">
        <v>35</v>
      </c>
      <c r="D28">
        <v>200</v>
      </c>
      <c r="E28" t="s">
        <v>576</v>
      </c>
      <c r="F28">
        <v>200</v>
      </c>
    </row>
    <row r="29" spans="1:6" ht="15" customHeight="1" x14ac:dyDescent="0.25">
      <c r="A29" t="s">
        <v>603</v>
      </c>
      <c r="B29">
        <v>1031</v>
      </c>
      <c r="C29" t="s">
        <v>36</v>
      </c>
      <c r="D29">
        <v>200</v>
      </c>
      <c r="E29" t="s">
        <v>576</v>
      </c>
      <c r="F29">
        <v>200</v>
      </c>
    </row>
    <row r="30" spans="1:6" ht="15" customHeight="1" x14ac:dyDescent="0.25">
      <c r="A30" t="s">
        <v>604</v>
      </c>
      <c r="B30">
        <v>1034</v>
      </c>
      <c r="C30" t="s">
        <v>28</v>
      </c>
      <c r="D30">
        <v>50</v>
      </c>
      <c r="E30" t="s">
        <v>576</v>
      </c>
      <c r="F30">
        <v>50</v>
      </c>
    </row>
    <row r="31" spans="1:6" ht="15" customHeight="1" x14ac:dyDescent="0.25">
      <c r="A31" t="s">
        <v>605</v>
      </c>
      <c r="B31">
        <v>1034</v>
      </c>
      <c r="C31" t="s">
        <v>29</v>
      </c>
      <c r="D31">
        <v>50</v>
      </c>
      <c r="E31" t="s">
        <v>576</v>
      </c>
      <c r="F31">
        <v>50</v>
      </c>
    </row>
    <row r="32" spans="1:6" ht="15" customHeight="1" x14ac:dyDescent="0.25">
      <c r="A32" t="s">
        <v>606</v>
      </c>
      <c r="B32">
        <v>1034</v>
      </c>
      <c r="C32" t="s">
        <v>30</v>
      </c>
      <c r="D32">
        <v>50</v>
      </c>
      <c r="E32" t="s">
        <v>576</v>
      </c>
      <c r="F32">
        <v>50</v>
      </c>
    </row>
    <row r="33" spans="1:6" ht="15" customHeight="1" x14ac:dyDescent="0.25">
      <c r="A33" t="s">
        <v>607</v>
      </c>
      <c r="B33">
        <v>1034</v>
      </c>
      <c r="C33" t="s">
        <v>31</v>
      </c>
      <c r="D33">
        <v>50</v>
      </c>
      <c r="E33" t="s">
        <v>576</v>
      </c>
      <c r="F33">
        <v>50</v>
      </c>
    </row>
    <row r="34" spans="1:6" ht="15" customHeight="1" x14ac:dyDescent="0.25">
      <c r="A34" t="s">
        <v>608</v>
      </c>
      <c r="B34">
        <v>1034</v>
      </c>
      <c r="C34" t="s">
        <v>32</v>
      </c>
      <c r="D34">
        <v>50</v>
      </c>
      <c r="E34" t="s">
        <v>576</v>
      </c>
      <c r="F34">
        <v>50</v>
      </c>
    </row>
    <row r="35" spans="1:6" ht="15" customHeight="1" x14ac:dyDescent="0.25">
      <c r="A35" t="s">
        <v>609</v>
      </c>
      <c r="B35">
        <v>1034</v>
      </c>
      <c r="C35" t="s">
        <v>33</v>
      </c>
      <c r="D35">
        <v>50</v>
      </c>
      <c r="E35" t="s">
        <v>576</v>
      </c>
      <c r="F35">
        <v>50</v>
      </c>
    </row>
    <row r="36" spans="1:6" ht="15" customHeight="1" x14ac:dyDescent="0.25">
      <c r="A36" t="s">
        <v>610</v>
      </c>
      <c r="B36">
        <v>1034</v>
      </c>
      <c r="C36" t="s">
        <v>34</v>
      </c>
      <c r="D36">
        <v>50</v>
      </c>
      <c r="E36" t="s">
        <v>576</v>
      </c>
      <c r="F36">
        <v>50</v>
      </c>
    </row>
    <row r="37" spans="1:6" ht="15" customHeight="1" x14ac:dyDescent="0.25">
      <c r="A37" t="s">
        <v>611</v>
      </c>
      <c r="B37">
        <v>1034</v>
      </c>
      <c r="C37" t="s">
        <v>35</v>
      </c>
      <c r="D37">
        <v>50</v>
      </c>
      <c r="E37" t="s">
        <v>576</v>
      </c>
      <c r="F37">
        <v>50</v>
      </c>
    </row>
    <row r="38" spans="1:6" ht="15" customHeight="1" x14ac:dyDescent="0.25">
      <c r="A38" t="s">
        <v>612</v>
      </c>
      <c r="B38">
        <v>1034</v>
      </c>
      <c r="C38" t="s">
        <v>36</v>
      </c>
      <c r="D38">
        <v>50</v>
      </c>
      <c r="E38" t="s">
        <v>576</v>
      </c>
      <c r="F38">
        <v>50</v>
      </c>
    </row>
    <row r="39" spans="1:6" ht="15" customHeight="1" x14ac:dyDescent="0.25">
      <c r="A39" t="s">
        <v>613</v>
      </c>
      <c r="B39">
        <v>1034</v>
      </c>
      <c r="C39" t="s">
        <v>37</v>
      </c>
      <c r="D39">
        <v>50</v>
      </c>
      <c r="E39" t="s">
        <v>576</v>
      </c>
      <c r="F39">
        <v>50</v>
      </c>
    </row>
    <row r="40" spans="1:6" ht="15" customHeight="1" x14ac:dyDescent="0.25">
      <c r="A40" t="s">
        <v>614</v>
      </c>
      <c r="B40">
        <v>1034</v>
      </c>
      <c r="C40" t="s">
        <v>38</v>
      </c>
      <c r="D40">
        <v>50</v>
      </c>
      <c r="E40" t="s">
        <v>576</v>
      </c>
      <c r="F40">
        <v>50</v>
      </c>
    </row>
    <row r="41" spans="1:6" ht="15" customHeight="1" x14ac:dyDescent="0.25">
      <c r="A41" t="s">
        <v>615</v>
      </c>
      <c r="B41">
        <v>1034</v>
      </c>
      <c r="C41" t="s">
        <v>39</v>
      </c>
      <c r="D41">
        <v>50</v>
      </c>
      <c r="E41" t="s">
        <v>576</v>
      </c>
      <c r="F41">
        <v>50</v>
      </c>
    </row>
    <row r="42" spans="1:6" ht="15" customHeight="1" x14ac:dyDescent="0.25">
      <c r="A42" t="s">
        <v>616</v>
      </c>
      <c r="B42">
        <v>1034</v>
      </c>
      <c r="C42" t="s">
        <v>40</v>
      </c>
      <c r="D42">
        <v>50</v>
      </c>
      <c r="E42" t="s">
        <v>576</v>
      </c>
      <c r="F42">
        <v>50</v>
      </c>
    </row>
    <row r="43" spans="1:6" ht="15" customHeight="1" x14ac:dyDescent="0.25">
      <c r="A43" t="s">
        <v>617</v>
      </c>
      <c r="B43">
        <v>1035</v>
      </c>
      <c r="C43" t="s">
        <v>31</v>
      </c>
      <c r="D43">
        <v>50</v>
      </c>
      <c r="E43" t="s">
        <v>576</v>
      </c>
      <c r="F43">
        <v>50</v>
      </c>
    </row>
    <row r="44" spans="1:6" ht="15" customHeight="1" x14ac:dyDescent="0.25">
      <c r="A44" t="s">
        <v>618</v>
      </c>
      <c r="B44">
        <v>1035</v>
      </c>
      <c r="C44" t="s">
        <v>32</v>
      </c>
      <c r="D44">
        <v>50</v>
      </c>
      <c r="E44" t="s">
        <v>576</v>
      </c>
      <c r="F44">
        <v>50</v>
      </c>
    </row>
    <row r="45" spans="1:6" ht="15" customHeight="1" x14ac:dyDescent="0.25">
      <c r="A45" t="s">
        <v>619</v>
      </c>
      <c r="B45">
        <v>1035</v>
      </c>
      <c r="C45" t="s">
        <v>33</v>
      </c>
      <c r="D45">
        <v>50</v>
      </c>
      <c r="E45" t="s">
        <v>576</v>
      </c>
      <c r="F45">
        <v>50</v>
      </c>
    </row>
    <row r="46" spans="1:6" ht="15" customHeight="1" x14ac:dyDescent="0.25">
      <c r="A46" t="s">
        <v>620</v>
      </c>
      <c r="B46">
        <v>1035</v>
      </c>
      <c r="C46" t="s">
        <v>34</v>
      </c>
      <c r="D46">
        <v>50</v>
      </c>
      <c r="E46" t="s">
        <v>576</v>
      </c>
      <c r="F46">
        <v>50</v>
      </c>
    </row>
    <row r="47" spans="1:6" ht="15" customHeight="1" x14ac:dyDescent="0.25">
      <c r="A47" t="s">
        <v>621</v>
      </c>
      <c r="B47">
        <v>1035</v>
      </c>
      <c r="C47" t="s">
        <v>35</v>
      </c>
      <c r="D47">
        <v>50</v>
      </c>
      <c r="E47" t="s">
        <v>576</v>
      </c>
      <c r="F47">
        <v>50</v>
      </c>
    </row>
    <row r="48" spans="1:6" ht="15" customHeight="1" x14ac:dyDescent="0.25">
      <c r="A48" t="s">
        <v>622</v>
      </c>
      <c r="B48">
        <v>1035</v>
      </c>
      <c r="C48" t="s">
        <v>36</v>
      </c>
      <c r="D48">
        <v>50</v>
      </c>
      <c r="E48" t="s">
        <v>576</v>
      </c>
      <c r="F48">
        <v>50</v>
      </c>
    </row>
    <row r="49" spans="1:6" ht="15" customHeight="1" x14ac:dyDescent="0.25">
      <c r="A49" t="s">
        <v>623</v>
      </c>
      <c r="B49">
        <v>1035</v>
      </c>
      <c r="C49" t="s">
        <v>37</v>
      </c>
      <c r="D49">
        <v>50</v>
      </c>
      <c r="E49" t="s">
        <v>576</v>
      </c>
      <c r="F49">
        <v>50</v>
      </c>
    </row>
    <row r="50" spans="1:6" ht="15" customHeight="1" x14ac:dyDescent="0.25">
      <c r="A50" t="s">
        <v>624</v>
      </c>
      <c r="B50">
        <v>1035</v>
      </c>
      <c r="C50" t="s">
        <v>38</v>
      </c>
      <c r="D50">
        <v>50</v>
      </c>
      <c r="E50" t="s">
        <v>576</v>
      </c>
      <c r="F50">
        <v>50</v>
      </c>
    </row>
    <row r="51" spans="1:6" ht="15" customHeight="1" x14ac:dyDescent="0.25">
      <c r="A51" t="s">
        <v>625</v>
      </c>
      <c r="B51">
        <v>1035</v>
      </c>
      <c r="C51" t="s">
        <v>39</v>
      </c>
      <c r="D51">
        <v>50</v>
      </c>
      <c r="E51" t="s">
        <v>576</v>
      </c>
      <c r="F51">
        <v>50</v>
      </c>
    </row>
    <row r="52" spans="1:6" ht="15" customHeight="1" x14ac:dyDescent="0.25">
      <c r="A52" t="s">
        <v>626</v>
      </c>
      <c r="B52">
        <v>1035</v>
      </c>
      <c r="C52" t="s">
        <v>40</v>
      </c>
      <c r="D52">
        <v>50</v>
      </c>
      <c r="E52" t="s">
        <v>576</v>
      </c>
      <c r="F52">
        <v>50</v>
      </c>
    </row>
    <row r="53" spans="1:6" ht="15" customHeight="1" x14ac:dyDescent="0.25">
      <c r="A53" t="s">
        <v>627</v>
      </c>
      <c r="B53">
        <v>1042</v>
      </c>
      <c r="C53" t="s">
        <v>28</v>
      </c>
      <c r="D53">
        <v>200</v>
      </c>
      <c r="E53" t="s">
        <v>576</v>
      </c>
      <c r="F53">
        <v>200</v>
      </c>
    </row>
    <row r="54" spans="1:6" ht="15" customHeight="1" x14ac:dyDescent="0.25">
      <c r="A54" t="s">
        <v>628</v>
      </c>
      <c r="B54">
        <v>1042</v>
      </c>
      <c r="C54" t="s">
        <v>29</v>
      </c>
      <c r="D54">
        <v>200</v>
      </c>
      <c r="E54" t="s">
        <v>576</v>
      </c>
      <c r="F54">
        <v>200</v>
      </c>
    </row>
    <row r="55" spans="1:6" ht="15" customHeight="1" x14ac:dyDescent="0.25">
      <c r="A55" t="s">
        <v>629</v>
      </c>
      <c r="B55">
        <v>1042</v>
      </c>
      <c r="C55" t="s">
        <v>30</v>
      </c>
      <c r="D55">
        <v>200</v>
      </c>
      <c r="E55" t="s">
        <v>576</v>
      </c>
      <c r="F55">
        <v>200</v>
      </c>
    </row>
    <row r="56" spans="1:6" ht="15" customHeight="1" x14ac:dyDescent="0.25">
      <c r="A56" t="s">
        <v>630</v>
      </c>
      <c r="B56">
        <v>1042</v>
      </c>
      <c r="C56" t="s">
        <v>31</v>
      </c>
      <c r="D56">
        <v>200</v>
      </c>
      <c r="E56" t="s">
        <v>576</v>
      </c>
      <c r="F56">
        <v>200</v>
      </c>
    </row>
    <row r="57" spans="1:6" ht="15" customHeight="1" x14ac:dyDescent="0.25">
      <c r="A57" t="s">
        <v>631</v>
      </c>
      <c r="B57">
        <v>1042</v>
      </c>
      <c r="C57" t="s">
        <v>32</v>
      </c>
      <c r="D57">
        <v>200</v>
      </c>
      <c r="E57" t="s">
        <v>576</v>
      </c>
      <c r="F57">
        <v>200</v>
      </c>
    </row>
    <row r="58" spans="1:6" ht="15" customHeight="1" x14ac:dyDescent="0.25">
      <c r="A58" t="s">
        <v>632</v>
      </c>
      <c r="B58">
        <v>1042</v>
      </c>
      <c r="C58" t="s">
        <v>33</v>
      </c>
      <c r="D58">
        <v>200</v>
      </c>
      <c r="E58" t="s">
        <v>576</v>
      </c>
      <c r="F58">
        <v>200</v>
      </c>
    </row>
    <row r="59" spans="1:6" ht="15" customHeight="1" x14ac:dyDescent="0.25">
      <c r="A59" t="s">
        <v>633</v>
      </c>
      <c r="B59">
        <v>1042</v>
      </c>
      <c r="C59" t="s">
        <v>34</v>
      </c>
      <c r="D59">
        <v>200</v>
      </c>
      <c r="E59" t="s">
        <v>576</v>
      </c>
      <c r="F59">
        <v>200</v>
      </c>
    </row>
    <row r="60" spans="1:6" ht="15" customHeight="1" x14ac:dyDescent="0.25">
      <c r="A60" t="s">
        <v>634</v>
      </c>
      <c r="B60">
        <v>1042</v>
      </c>
      <c r="C60" t="s">
        <v>35</v>
      </c>
      <c r="D60">
        <v>200</v>
      </c>
      <c r="E60" t="s">
        <v>576</v>
      </c>
      <c r="F60">
        <v>200</v>
      </c>
    </row>
    <row r="61" spans="1:6" ht="15" customHeight="1" x14ac:dyDescent="0.25">
      <c r="A61" t="s">
        <v>635</v>
      </c>
      <c r="B61">
        <v>1042</v>
      </c>
      <c r="C61" t="s">
        <v>36</v>
      </c>
      <c r="D61">
        <v>200</v>
      </c>
      <c r="E61" t="s">
        <v>576</v>
      </c>
      <c r="F61">
        <v>200</v>
      </c>
    </row>
    <row r="62" spans="1:6" ht="15" customHeight="1" x14ac:dyDescent="0.25">
      <c r="A62" t="s">
        <v>636</v>
      </c>
      <c r="B62">
        <v>1042</v>
      </c>
      <c r="C62" t="s">
        <v>37</v>
      </c>
      <c r="D62">
        <v>200</v>
      </c>
      <c r="E62" t="s">
        <v>576</v>
      </c>
      <c r="F62">
        <v>200</v>
      </c>
    </row>
    <row r="63" spans="1:6" ht="15" customHeight="1" x14ac:dyDescent="0.25">
      <c r="A63" t="s">
        <v>637</v>
      </c>
      <c r="B63">
        <v>1042</v>
      </c>
      <c r="C63" t="s">
        <v>38</v>
      </c>
      <c r="D63">
        <v>200</v>
      </c>
      <c r="E63" t="s">
        <v>576</v>
      </c>
      <c r="F63">
        <v>200</v>
      </c>
    </row>
    <row r="64" spans="1:6" ht="15" customHeight="1" x14ac:dyDescent="0.25">
      <c r="A64" t="s">
        <v>638</v>
      </c>
      <c r="B64">
        <v>1042</v>
      </c>
      <c r="C64" t="s">
        <v>39</v>
      </c>
      <c r="D64">
        <v>200</v>
      </c>
      <c r="E64" t="s">
        <v>576</v>
      </c>
      <c r="F64">
        <v>200</v>
      </c>
    </row>
    <row r="65" spans="1:6" ht="15" customHeight="1" x14ac:dyDescent="0.25">
      <c r="A65" t="s">
        <v>639</v>
      </c>
      <c r="B65">
        <v>1043</v>
      </c>
      <c r="C65" t="s">
        <v>37</v>
      </c>
      <c r="D65">
        <v>500</v>
      </c>
      <c r="E65" t="s">
        <v>576</v>
      </c>
      <c r="F65">
        <v>500</v>
      </c>
    </row>
    <row r="66" spans="1:6" ht="15" customHeight="1" x14ac:dyDescent="0.25">
      <c r="A66" t="s">
        <v>640</v>
      </c>
      <c r="B66">
        <v>1043</v>
      </c>
      <c r="C66" t="s">
        <v>38</v>
      </c>
      <c r="D66">
        <v>500</v>
      </c>
      <c r="E66" t="s">
        <v>576</v>
      </c>
      <c r="F66">
        <v>500</v>
      </c>
    </row>
    <row r="67" spans="1:6" ht="15" customHeight="1" x14ac:dyDescent="0.25">
      <c r="A67" t="s">
        <v>641</v>
      </c>
      <c r="B67">
        <v>1047</v>
      </c>
      <c r="C67" t="s">
        <v>37</v>
      </c>
      <c r="D67">
        <v>50</v>
      </c>
      <c r="E67" t="s">
        <v>576</v>
      </c>
      <c r="F67">
        <v>50</v>
      </c>
    </row>
    <row r="68" spans="1:6" ht="15" customHeight="1" x14ac:dyDescent="0.25">
      <c r="A68" t="s">
        <v>642</v>
      </c>
      <c r="B68">
        <v>1047</v>
      </c>
      <c r="C68" t="s">
        <v>38</v>
      </c>
      <c r="D68">
        <v>50</v>
      </c>
      <c r="E68" t="s">
        <v>576</v>
      </c>
      <c r="F68">
        <v>50</v>
      </c>
    </row>
    <row r="69" spans="1:6" ht="15" customHeight="1" x14ac:dyDescent="0.25">
      <c r="A69" t="s">
        <v>643</v>
      </c>
      <c r="B69">
        <v>1047</v>
      </c>
      <c r="C69" t="s">
        <v>39</v>
      </c>
      <c r="D69">
        <v>50</v>
      </c>
      <c r="E69" t="s">
        <v>576</v>
      </c>
      <c r="F69">
        <v>50</v>
      </c>
    </row>
    <row r="70" spans="1:6" ht="15" customHeight="1" x14ac:dyDescent="0.25">
      <c r="A70" t="s">
        <v>644</v>
      </c>
      <c r="B70">
        <v>1047</v>
      </c>
      <c r="C70" t="s">
        <v>40</v>
      </c>
      <c r="D70">
        <v>50</v>
      </c>
      <c r="E70" t="s">
        <v>576</v>
      </c>
      <c r="F70">
        <v>50</v>
      </c>
    </row>
    <row r="71" spans="1:6" ht="15" customHeight="1" x14ac:dyDescent="0.25">
      <c r="A71" t="s">
        <v>645</v>
      </c>
      <c r="B71">
        <v>1056</v>
      </c>
      <c r="C71" t="s">
        <v>34</v>
      </c>
      <c r="D71">
        <v>200</v>
      </c>
      <c r="E71" t="s">
        <v>576</v>
      </c>
      <c r="F71">
        <v>200</v>
      </c>
    </row>
    <row r="72" spans="1:6" ht="15" customHeight="1" x14ac:dyDescent="0.25">
      <c r="A72" t="s">
        <v>646</v>
      </c>
      <c r="B72">
        <v>1056</v>
      </c>
      <c r="C72" t="s">
        <v>35</v>
      </c>
      <c r="D72">
        <v>200</v>
      </c>
      <c r="E72" t="s">
        <v>576</v>
      </c>
      <c r="F72">
        <v>200</v>
      </c>
    </row>
    <row r="73" spans="1:6" ht="15" customHeight="1" x14ac:dyDescent="0.25">
      <c r="A73" t="s">
        <v>647</v>
      </c>
      <c r="B73">
        <v>1056</v>
      </c>
      <c r="C73" t="s">
        <v>36</v>
      </c>
      <c r="D73">
        <v>200</v>
      </c>
      <c r="E73" t="s">
        <v>576</v>
      </c>
      <c r="F73">
        <v>200</v>
      </c>
    </row>
    <row r="74" spans="1:6" ht="15" customHeight="1" x14ac:dyDescent="0.25">
      <c r="A74" t="s">
        <v>648</v>
      </c>
      <c r="B74">
        <v>1060</v>
      </c>
      <c r="C74" t="s">
        <v>39</v>
      </c>
      <c r="D74">
        <v>50</v>
      </c>
      <c r="E74" t="s">
        <v>576</v>
      </c>
      <c r="F74">
        <v>50</v>
      </c>
    </row>
    <row r="75" spans="1:6" ht="15" customHeight="1" x14ac:dyDescent="0.25">
      <c r="A75" t="s">
        <v>649</v>
      </c>
      <c r="B75">
        <v>1060</v>
      </c>
      <c r="C75" t="s">
        <v>40</v>
      </c>
      <c r="D75">
        <v>50</v>
      </c>
      <c r="E75" t="s">
        <v>576</v>
      </c>
      <c r="F75">
        <v>50</v>
      </c>
    </row>
    <row r="76" spans="1:6" ht="15" customHeight="1" x14ac:dyDescent="0.25">
      <c r="A76" t="s">
        <v>650</v>
      </c>
      <c r="B76">
        <v>1060</v>
      </c>
      <c r="C76" t="s">
        <v>41</v>
      </c>
      <c r="D76">
        <v>50</v>
      </c>
      <c r="E76" t="s">
        <v>576</v>
      </c>
      <c r="F76">
        <v>50</v>
      </c>
    </row>
    <row r="77" spans="1:6" ht="15" customHeight="1" x14ac:dyDescent="0.25">
      <c r="A77" t="s">
        <v>651</v>
      </c>
      <c r="B77">
        <v>1062</v>
      </c>
      <c r="C77" t="s">
        <v>41</v>
      </c>
      <c r="D77">
        <v>200</v>
      </c>
      <c r="E77" t="s">
        <v>576</v>
      </c>
      <c r="F77">
        <v>200</v>
      </c>
    </row>
    <row r="78" spans="1:6" ht="15" customHeight="1" x14ac:dyDescent="0.25">
      <c r="A78" t="s">
        <v>652</v>
      </c>
      <c r="B78">
        <v>1074</v>
      </c>
      <c r="C78" t="s">
        <v>32</v>
      </c>
      <c r="D78">
        <v>500</v>
      </c>
      <c r="E78" t="s">
        <v>576</v>
      </c>
      <c r="F78">
        <v>500</v>
      </c>
    </row>
    <row r="79" spans="1:6" ht="15" customHeight="1" x14ac:dyDescent="0.25">
      <c r="A79" t="s">
        <v>653</v>
      </c>
      <c r="B79">
        <v>1074</v>
      </c>
      <c r="C79" t="s">
        <v>33</v>
      </c>
      <c r="D79">
        <v>500</v>
      </c>
      <c r="E79" t="s">
        <v>576</v>
      </c>
      <c r="F79">
        <v>500</v>
      </c>
    </row>
    <row r="80" spans="1:6" ht="15" customHeight="1" x14ac:dyDescent="0.25">
      <c r="A80" t="s">
        <v>654</v>
      </c>
      <c r="B80">
        <v>1074</v>
      </c>
      <c r="C80" t="s">
        <v>34</v>
      </c>
      <c r="D80">
        <v>500</v>
      </c>
      <c r="E80" t="s">
        <v>576</v>
      </c>
      <c r="F80">
        <v>500</v>
      </c>
    </row>
    <row r="81" spans="1:6" ht="15" customHeight="1" x14ac:dyDescent="0.25">
      <c r="A81" t="s">
        <v>655</v>
      </c>
      <c r="B81">
        <v>1074</v>
      </c>
      <c r="C81" t="s">
        <v>35</v>
      </c>
      <c r="D81">
        <v>500</v>
      </c>
      <c r="E81" t="s">
        <v>576</v>
      </c>
      <c r="F81">
        <v>500</v>
      </c>
    </row>
    <row r="82" spans="1:6" ht="15" customHeight="1" x14ac:dyDescent="0.25">
      <c r="A82" t="s">
        <v>656</v>
      </c>
      <c r="B82">
        <v>1074</v>
      </c>
      <c r="C82" t="s">
        <v>36</v>
      </c>
      <c r="D82">
        <v>500</v>
      </c>
      <c r="E82" t="s">
        <v>576</v>
      </c>
      <c r="F82">
        <v>500</v>
      </c>
    </row>
    <row r="83" spans="1:6" ht="15" customHeight="1" x14ac:dyDescent="0.25">
      <c r="A83" t="s">
        <v>657</v>
      </c>
      <c r="B83">
        <v>1074</v>
      </c>
      <c r="C83" t="s">
        <v>37</v>
      </c>
      <c r="D83">
        <v>500</v>
      </c>
      <c r="E83" t="s">
        <v>576</v>
      </c>
      <c r="F83">
        <v>500</v>
      </c>
    </row>
    <row r="84" spans="1:6" ht="15" customHeight="1" x14ac:dyDescent="0.25">
      <c r="A84" t="s">
        <v>658</v>
      </c>
      <c r="B84">
        <v>1074</v>
      </c>
      <c r="C84" t="s">
        <v>38</v>
      </c>
      <c r="D84">
        <v>500</v>
      </c>
      <c r="E84" t="s">
        <v>576</v>
      </c>
      <c r="F84">
        <v>500</v>
      </c>
    </row>
    <row r="85" spans="1:6" ht="15" customHeight="1" x14ac:dyDescent="0.25">
      <c r="A85" t="s">
        <v>659</v>
      </c>
      <c r="B85">
        <v>1074</v>
      </c>
      <c r="C85" t="s">
        <v>39</v>
      </c>
      <c r="D85">
        <v>500</v>
      </c>
      <c r="E85" t="s">
        <v>576</v>
      </c>
      <c r="F85">
        <v>500</v>
      </c>
    </row>
    <row r="86" spans="1:6" ht="15" customHeight="1" x14ac:dyDescent="0.25">
      <c r="A86" t="s">
        <v>660</v>
      </c>
      <c r="B86">
        <v>1074</v>
      </c>
      <c r="C86" t="s">
        <v>40</v>
      </c>
      <c r="D86">
        <v>500</v>
      </c>
      <c r="E86" t="s">
        <v>576</v>
      </c>
      <c r="F86">
        <v>500</v>
      </c>
    </row>
    <row r="87" spans="1:6" ht="15" customHeight="1" x14ac:dyDescent="0.25">
      <c r="A87" t="s">
        <v>661</v>
      </c>
      <c r="B87">
        <v>1074</v>
      </c>
      <c r="C87" t="s">
        <v>41</v>
      </c>
      <c r="D87">
        <v>500</v>
      </c>
      <c r="E87" t="s">
        <v>576</v>
      </c>
      <c r="F87">
        <v>500</v>
      </c>
    </row>
    <row r="88" spans="1:6" ht="15" customHeight="1" x14ac:dyDescent="0.25">
      <c r="A88" t="s">
        <v>662</v>
      </c>
      <c r="B88">
        <v>1075</v>
      </c>
      <c r="C88" t="s">
        <v>34</v>
      </c>
      <c r="D88">
        <v>500</v>
      </c>
      <c r="E88" t="s">
        <v>576</v>
      </c>
      <c r="F88">
        <v>500</v>
      </c>
    </row>
    <row r="89" spans="1:6" ht="15" customHeight="1" x14ac:dyDescent="0.25">
      <c r="A89" t="s">
        <v>663</v>
      </c>
      <c r="B89">
        <v>1075</v>
      </c>
      <c r="C89" t="s">
        <v>35</v>
      </c>
      <c r="D89">
        <v>500</v>
      </c>
      <c r="E89" t="s">
        <v>576</v>
      </c>
      <c r="F89">
        <v>500</v>
      </c>
    </row>
    <row r="90" spans="1:6" ht="15" customHeight="1" x14ac:dyDescent="0.25">
      <c r="A90" t="s">
        <v>664</v>
      </c>
      <c r="B90">
        <v>1075</v>
      </c>
      <c r="C90" t="s">
        <v>36</v>
      </c>
      <c r="D90">
        <v>500</v>
      </c>
      <c r="E90" t="s">
        <v>576</v>
      </c>
      <c r="F90">
        <v>500</v>
      </c>
    </row>
    <row r="91" spans="1:6" ht="15" customHeight="1" x14ac:dyDescent="0.25">
      <c r="A91" t="s">
        <v>665</v>
      </c>
      <c r="B91">
        <v>1075</v>
      </c>
      <c r="C91" t="s">
        <v>37</v>
      </c>
      <c r="D91">
        <v>500</v>
      </c>
      <c r="E91" t="s">
        <v>576</v>
      </c>
      <c r="F91">
        <v>500</v>
      </c>
    </row>
    <row r="92" spans="1:6" ht="15" customHeight="1" x14ac:dyDescent="0.25">
      <c r="A92" t="s">
        <v>666</v>
      </c>
      <c r="B92">
        <v>1075</v>
      </c>
      <c r="C92" t="s">
        <v>38</v>
      </c>
      <c r="D92">
        <v>500</v>
      </c>
      <c r="E92" t="s">
        <v>576</v>
      </c>
      <c r="F92">
        <v>500</v>
      </c>
    </row>
    <row r="93" spans="1:6" ht="15" customHeight="1" x14ac:dyDescent="0.25">
      <c r="A93" t="s">
        <v>667</v>
      </c>
      <c r="B93">
        <v>1075</v>
      </c>
      <c r="C93" t="s">
        <v>39</v>
      </c>
      <c r="D93">
        <v>500</v>
      </c>
      <c r="E93" t="s">
        <v>576</v>
      </c>
      <c r="F93">
        <v>500</v>
      </c>
    </row>
    <row r="94" spans="1:6" ht="15" customHeight="1" x14ac:dyDescent="0.25">
      <c r="A94" t="s">
        <v>668</v>
      </c>
      <c r="B94">
        <v>1075</v>
      </c>
      <c r="C94" t="s">
        <v>40</v>
      </c>
      <c r="D94">
        <v>500</v>
      </c>
      <c r="E94" t="s">
        <v>576</v>
      </c>
      <c r="F94">
        <v>500</v>
      </c>
    </row>
    <row r="95" spans="1:6" ht="15" customHeight="1" x14ac:dyDescent="0.25">
      <c r="A95" t="s">
        <v>669</v>
      </c>
      <c r="B95">
        <v>1075</v>
      </c>
      <c r="C95" t="s">
        <v>41</v>
      </c>
      <c r="D95">
        <v>500</v>
      </c>
      <c r="E95" t="s">
        <v>576</v>
      </c>
      <c r="F95">
        <v>500</v>
      </c>
    </row>
    <row r="96" spans="1:6" ht="15" customHeight="1" x14ac:dyDescent="0.25">
      <c r="A96" t="s">
        <v>670</v>
      </c>
      <c r="B96">
        <v>1075</v>
      </c>
      <c r="C96" t="s">
        <v>42</v>
      </c>
      <c r="D96">
        <v>500</v>
      </c>
      <c r="E96" t="s">
        <v>576</v>
      </c>
      <c r="F96">
        <v>500</v>
      </c>
    </row>
    <row r="97" spans="1:6" ht="15" customHeight="1" x14ac:dyDescent="0.25">
      <c r="A97" t="s">
        <v>671</v>
      </c>
      <c r="B97">
        <v>1085</v>
      </c>
      <c r="C97" t="s">
        <v>34</v>
      </c>
      <c r="D97">
        <v>50</v>
      </c>
      <c r="E97" t="s">
        <v>576</v>
      </c>
      <c r="F97">
        <v>50</v>
      </c>
    </row>
    <row r="98" spans="1:6" ht="15" customHeight="1" x14ac:dyDescent="0.25">
      <c r="A98" t="s">
        <v>672</v>
      </c>
      <c r="B98">
        <v>1085</v>
      </c>
      <c r="C98" t="s">
        <v>35</v>
      </c>
      <c r="D98">
        <v>50</v>
      </c>
      <c r="E98" t="s">
        <v>576</v>
      </c>
      <c r="F98">
        <v>50</v>
      </c>
    </row>
    <row r="99" spans="1:6" ht="15" customHeight="1" x14ac:dyDescent="0.25">
      <c r="A99" t="s">
        <v>673</v>
      </c>
      <c r="B99">
        <v>1085</v>
      </c>
      <c r="C99" t="s">
        <v>36</v>
      </c>
      <c r="D99">
        <v>50</v>
      </c>
      <c r="E99" t="s">
        <v>576</v>
      </c>
      <c r="F99">
        <v>50</v>
      </c>
    </row>
    <row r="100" spans="1:6" ht="15" customHeight="1" x14ac:dyDescent="0.25">
      <c r="A100" t="s">
        <v>674</v>
      </c>
      <c r="B100">
        <v>1085</v>
      </c>
      <c r="C100" t="s">
        <v>37</v>
      </c>
      <c r="D100">
        <v>50</v>
      </c>
      <c r="E100" t="s">
        <v>576</v>
      </c>
      <c r="F100">
        <v>50</v>
      </c>
    </row>
    <row r="101" spans="1:6" ht="15" customHeight="1" x14ac:dyDescent="0.25">
      <c r="A101" t="s">
        <v>675</v>
      </c>
      <c r="B101">
        <v>1085</v>
      </c>
      <c r="C101" t="s">
        <v>38</v>
      </c>
      <c r="D101">
        <v>50</v>
      </c>
      <c r="E101" t="s">
        <v>576</v>
      </c>
      <c r="F101">
        <v>50</v>
      </c>
    </row>
    <row r="102" spans="1:6" ht="15" customHeight="1" x14ac:dyDescent="0.25">
      <c r="A102" t="s">
        <v>676</v>
      </c>
      <c r="B102">
        <v>1085</v>
      </c>
      <c r="C102" t="s">
        <v>39</v>
      </c>
      <c r="D102">
        <v>50</v>
      </c>
      <c r="E102" t="s">
        <v>576</v>
      </c>
      <c r="F102">
        <v>50</v>
      </c>
    </row>
    <row r="103" spans="1:6" ht="15" customHeight="1" x14ac:dyDescent="0.25">
      <c r="A103" t="s">
        <v>677</v>
      </c>
      <c r="B103">
        <v>1085</v>
      </c>
      <c r="C103" t="s">
        <v>40</v>
      </c>
      <c r="D103">
        <v>50</v>
      </c>
      <c r="E103" t="s">
        <v>576</v>
      </c>
      <c r="F103">
        <v>50</v>
      </c>
    </row>
    <row r="104" spans="1:6" ht="15" customHeight="1" x14ac:dyDescent="0.25">
      <c r="A104" t="s">
        <v>678</v>
      </c>
      <c r="B104">
        <v>1095</v>
      </c>
      <c r="C104" t="s">
        <v>29</v>
      </c>
      <c r="D104">
        <v>500</v>
      </c>
      <c r="E104" t="s">
        <v>576</v>
      </c>
      <c r="F104">
        <v>500</v>
      </c>
    </row>
    <row r="105" spans="1:6" ht="15" customHeight="1" x14ac:dyDescent="0.25">
      <c r="A105" t="s">
        <v>679</v>
      </c>
      <c r="B105">
        <v>1095</v>
      </c>
      <c r="C105" t="s">
        <v>30</v>
      </c>
      <c r="D105">
        <v>500</v>
      </c>
      <c r="E105" t="s">
        <v>576</v>
      </c>
      <c r="F105">
        <v>500</v>
      </c>
    </row>
    <row r="106" spans="1:6" ht="15" customHeight="1" x14ac:dyDescent="0.25">
      <c r="A106" t="s">
        <v>680</v>
      </c>
      <c r="B106">
        <v>1095</v>
      </c>
      <c r="C106" t="s">
        <v>31</v>
      </c>
      <c r="D106">
        <v>500</v>
      </c>
      <c r="E106" t="s">
        <v>576</v>
      </c>
      <c r="F106">
        <v>500</v>
      </c>
    </row>
    <row r="107" spans="1:6" ht="15" customHeight="1" x14ac:dyDescent="0.25">
      <c r="A107" t="s">
        <v>681</v>
      </c>
      <c r="B107">
        <v>1095</v>
      </c>
      <c r="C107" t="s">
        <v>32</v>
      </c>
      <c r="D107">
        <v>500</v>
      </c>
      <c r="E107" t="s">
        <v>576</v>
      </c>
      <c r="F107">
        <v>500</v>
      </c>
    </row>
    <row r="108" spans="1:6" ht="15" customHeight="1" x14ac:dyDescent="0.25">
      <c r="A108" t="s">
        <v>682</v>
      </c>
      <c r="B108">
        <v>1119</v>
      </c>
      <c r="C108" t="s">
        <v>31</v>
      </c>
      <c r="D108">
        <v>500</v>
      </c>
      <c r="E108" t="s">
        <v>576</v>
      </c>
      <c r="F108">
        <v>500</v>
      </c>
    </row>
    <row r="109" spans="1:6" ht="15" customHeight="1" x14ac:dyDescent="0.25">
      <c r="A109" t="s">
        <v>683</v>
      </c>
      <c r="B109">
        <v>1119</v>
      </c>
      <c r="C109" t="s">
        <v>32</v>
      </c>
      <c r="D109">
        <v>500</v>
      </c>
      <c r="E109" t="s">
        <v>576</v>
      </c>
      <c r="F109">
        <v>500</v>
      </c>
    </row>
    <row r="110" spans="1:6" ht="15" customHeight="1" x14ac:dyDescent="0.25">
      <c r="A110" t="s">
        <v>684</v>
      </c>
      <c r="B110">
        <v>1119</v>
      </c>
      <c r="C110" t="s">
        <v>33</v>
      </c>
      <c r="D110">
        <v>500</v>
      </c>
      <c r="E110" t="s">
        <v>576</v>
      </c>
      <c r="F110">
        <v>500</v>
      </c>
    </row>
    <row r="111" spans="1:6" ht="15" customHeight="1" x14ac:dyDescent="0.25">
      <c r="A111" t="s">
        <v>685</v>
      </c>
      <c r="B111">
        <v>1119</v>
      </c>
      <c r="C111" t="s">
        <v>34</v>
      </c>
      <c r="D111">
        <v>500</v>
      </c>
      <c r="E111" t="s">
        <v>576</v>
      </c>
      <c r="F111">
        <v>500</v>
      </c>
    </row>
    <row r="112" spans="1:6" ht="15" customHeight="1" x14ac:dyDescent="0.25">
      <c r="A112" t="s">
        <v>686</v>
      </c>
      <c r="B112">
        <v>1119</v>
      </c>
      <c r="C112" t="s">
        <v>35</v>
      </c>
      <c r="D112">
        <v>500</v>
      </c>
      <c r="E112" t="s">
        <v>576</v>
      </c>
      <c r="F112">
        <v>500</v>
      </c>
    </row>
    <row r="113" spans="1:6" ht="15" customHeight="1" x14ac:dyDescent="0.25">
      <c r="A113" t="s">
        <v>687</v>
      </c>
      <c r="B113">
        <v>1119</v>
      </c>
      <c r="C113" t="s">
        <v>36</v>
      </c>
      <c r="D113">
        <v>500</v>
      </c>
      <c r="E113" t="s">
        <v>576</v>
      </c>
      <c r="F113">
        <v>500</v>
      </c>
    </row>
    <row r="114" spans="1:6" ht="15" customHeight="1" x14ac:dyDescent="0.25">
      <c r="A114" t="s">
        <v>688</v>
      </c>
      <c r="B114">
        <v>1119</v>
      </c>
      <c r="C114" t="s">
        <v>37</v>
      </c>
      <c r="D114">
        <v>500</v>
      </c>
      <c r="E114" t="s">
        <v>576</v>
      </c>
      <c r="F114">
        <v>500</v>
      </c>
    </row>
    <row r="115" spans="1:6" ht="15" customHeight="1" x14ac:dyDescent="0.25">
      <c r="A115" t="s">
        <v>689</v>
      </c>
      <c r="B115">
        <v>1119</v>
      </c>
      <c r="C115" t="s">
        <v>38</v>
      </c>
      <c r="D115">
        <v>500</v>
      </c>
      <c r="E115" t="s">
        <v>576</v>
      </c>
      <c r="F115">
        <v>500</v>
      </c>
    </row>
    <row r="116" spans="1:6" ht="15" customHeight="1" x14ac:dyDescent="0.25">
      <c r="A116" t="s">
        <v>690</v>
      </c>
      <c r="B116">
        <v>1119</v>
      </c>
      <c r="C116" t="s">
        <v>39</v>
      </c>
      <c r="D116">
        <v>500</v>
      </c>
      <c r="E116" t="s">
        <v>576</v>
      </c>
      <c r="F116">
        <v>500</v>
      </c>
    </row>
    <row r="117" spans="1:6" ht="15" customHeight="1" x14ac:dyDescent="0.25">
      <c r="A117" t="s">
        <v>691</v>
      </c>
      <c r="B117">
        <v>1120</v>
      </c>
      <c r="C117" t="s">
        <v>32</v>
      </c>
      <c r="D117">
        <v>500</v>
      </c>
      <c r="E117" t="s">
        <v>576</v>
      </c>
      <c r="F117">
        <v>500</v>
      </c>
    </row>
    <row r="118" spans="1:6" ht="15" customHeight="1" x14ac:dyDescent="0.25">
      <c r="A118" t="s">
        <v>692</v>
      </c>
      <c r="B118">
        <v>1120</v>
      </c>
      <c r="C118" t="s">
        <v>33</v>
      </c>
      <c r="D118">
        <v>500</v>
      </c>
      <c r="E118" t="s">
        <v>576</v>
      </c>
      <c r="F118">
        <v>500</v>
      </c>
    </row>
    <row r="119" spans="1:6" ht="15" customHeight="1" x14ac:dyDescent="0.25">
      <c r="A119" t="s">
        <v>693</v>
      </c>
      <c r="B119">
        <v>1120</v>
      </c>
      <c r="C119" t="s">
        <v>34</v>
      </c>
      <c r="D119">
        <v>500</v>
      </c>
      <c r="E119" t="s">
        <v>576</v>
      </c>
      <c r="F119">
        <v>500</v>
      </c>
    </row>
    <row r="120" spans="1:6" ht="15" customHeight="1" x14ac:dyDescent="0.25">
      <c r="A120" t="s">
        <v>694</v>
      </c>
      <c r="B120">
        <v>1120</v>
      </c>
      <c r="C120" t="s">
        <v>35</v>
      </c>
      <c r="D120">
        <v>500</v>
      </c>
      <c r="E120" t="s">
        <v>576</v>
      </c>
      <c r="F120">
        <v>500</v>
      </c>
    </row>
    <row r="121" spans="1:6" ht="15" customHeight="1" x14ac:dyDescent="0.25">
      <c r="A121" t="s">
        <v>695</v>
      </c>
      <c r="B121">
        <v>1120</v>
      </c>
      <c r="C121" t="s">
        <v>36</v>
      </c>
      <c r="D121">
        <v>500</v>
      </c>
      <c r="E121" t="s">
        <v>576</v>
      </c>
      <c r="F121">
        <v>500</v>
      </c>
    </row>
    <row r="122" spans="1:6" ht="15" customHeight="1" x14ac:dyDescent="0.25">
      <c r="A122" t="s">
        <v>696</v>
      </c>
      <c r="B122">
        <v>1120</v>
      </c>
      <c r="C122" t="s">
        <v>37</v>
      </c>
      <c r="D122">
        <v>500</v>
      </c>
      <c r="E122" t="s">
        <v>576</v>
      </c>
      <c r="F122">
        <v>500</v>
      </c>
    </row>
    <row r="123" spans="1:6" ht="15" customHeight="1" x14ac:dyDescent="0.25">
      <c r="A123" t="s">
        <v>697</v>
      </c>
      <c r="B123">
        <v>1120</v>
      </c>
      <c r="C123" t="s">
        <v>38</v>
      </c>
      <c r="D123">
        <v>500</v>
      </c>
      <c r="E123" t="s">
        <v>576</v>
      </c>
      <c r="F123">
        <v>500</v>
      </c>
    </row>
    <row r="124" spans="1:6" ht="15" customHeight="1" x14ac:dyDescent="0.25">
      <c r="A124" t="s">
        <v>698</v>
      </c>
      <c r="B124">
        <v>1125</v>
      </c>
      <c r="C124" t="s">
        <v>32</v>
      </c>
      <c r="D124">
        <v>500</v>
      </c>
      <c r="E124" t="s">
        <v>576</v>
      </c>
      <c r="F124">
        <v>500</v>
      </c>
    </row>
    <row r="125" spans="1:6" ht="15" customHeight="1" x14ac:dyDescent="0.25">
      <c r="A125" t="s">
        <v>699</v>
      </c>
      <c r="B125">
        <v>1125</v>
      </c>
      <c r="C125" t="s">
        <v>33</v>
      </c>
      <c r="D125">
        <v>500</v>
      </c>
      <c r="E125" t="s">
        <v>576</v>
      </c>
      <c r="F125">
        <v>500</v>
      </c>
    </row>
    <row r="126" spans="1:6" ht="15" customHeight="1" x14ac:dyDescent="0.25">
      <c r="A126" t="s">
        <v>700</v>
      </c>
      <c r="B126">
        <v>1125</v>
      </c>
      <c r="C126" t="s">
        <v>34</v>
      </c>
      <c r="D126">
        <v>500</v>
      </c>
      <c r="E126" t="s">
        <v>576</v>
      </c>
      <c r="F126">
        <v>500</v>
      </c>
    </row>
    <row r="127" spans="1:6" ht="15" customHeight="1" x14ac:dyDescent="0.25">
      <c r="A127" t="s">
        <v>701</v>
      </c>
      <c r="B127">
        <v>1125</v>
      </c>
      <c r="C127" t="s">
        <v>35</v>
      </c>
      <c r="D127">
        <v>500</v>
      </c>
      <c r="E127" t="s">
        <v>576</v>
      </c>
      <c r="F127">
        <v>500</v>
      </c>
    </row>
    <row r="128" spans="1:6" ht="15" customHeight="1" x14ac:dyDescent="0.25">
      <c r="A128" t="s">
        <v>702</v>
      </c>
      <c r="B128">
        <v>1125</v>
      </c>
      <c r="C128" t="s">
        <v>36</v>
      </c>
      <c r="D128">
        <v>500</v>
      </c>
      <c r="E128" t="s">
        <v>576</v>
      </c>
      <c r="F128">
        <v>500</v>
      </c>
    </row>
    <row r="129" spans="1:6" ht="15" customHeight="1" x14ac:dyDescent="0.25">
      <c r="A129" t="s">
        <v>703</v>
      </c>
      <c r="B129">
        <v>1132</v>
      </c>
      <c r="C129" t="s">
        <v>35</v>
      </c>
      <c r="D129">
        <v>50</v>
      </c>
      <c r="E129" t="s">
        <v>576</v>
      </c>
      <c r="F129">
        <v>50</v>
      </c>
    </row>
    <row r="130" spans="1:6" ht="15" customHeight="1" x14ac:dyDescent="0.25">
      <c r="A130" t="s">
        <v>704</v>
      </c>
      <c r="B130">
        <v>1132</v>
      </c>
      <c r="C130" t="s">
        <v>36</v>
      </c>
      <c r="D130">
        <v>50</v>
      </c>
      <c r="E130" t="s">
        <v>576</v>
      </c>
      <c r="F130">
        <v>50</v>
      </c>
    </row>
    <row r="131" spans="1:6" ht="15" customHeight="1" x14ac:dyDescent="0.25">
      <c r="A131" t="s">
        <v>705</v>
      </c>
      <c r="B131">
        <v>1132</v>
      </c>
      <c r="C131" t="s">
        <v>37</v>
      </c>
      <c r="D131">
        <v>50</v>
      </c>
      <c r="E131" t="s">
        <v>576</v>
      </c>
      <c r="F131">
        <v>50</v>
      </c>
    </row>
    <row r="132" spans="1:6" ht="15" customHeight="1" x14ac:dyDescent="0.25">
      <c r="A132" t="s">
        <v>706</v>
      </c>
      <c r="B132">
        <v>1132</v>
      </c>
      <c r="C132" t="s">
        <v>38</v>
      </c>
      <c r="D132">
        <v>50</v>
      </c>
      <c r="E132" t="s">
        <v>576</v>
      </c>
      <c r="F132">
        <v>50</v>
      </c>
    </row>
    <row r="133" spans="1:6" ht="15" customHeight="1" x14ac:dyDescent="0.25">
      <c r="A133" t="s">
        <v>707</v>
      </c>
      <c r="B133">
        <v>1132</v>
      </c>
      <c r="C133" t="s">
        <v>39</v>
      </c>
      <c r="D133">
        <v>50</v>
      </c>
      <c r="E133" t="s">
        <v>576</v>
      </c>
      <c r="F133">
        <v>50</v>
      </c>
    </row>
    <row r="134" spans="1:6" ht="15" customHeight="1" x14ac:dyDescent="0.25">
      <c r="A134" t="s">
        <v>708</v>
      </c>
      <c r="B134">
        <v>1132</v>
      </c>
      <c r="C134" t="s">
        <v>40</v>
      </c>
      <c r="D134">
        <v>50</v>
      </c>
      <c r="E134" t="s">
        <v>576</v>
      </c>
      <c r="F134">
        <v>50</v>
      </c>
    </row>
    <row r="135" spans="1:6" ht="15" customHeight="1" x14ac:dyDescent="0.25">
      <c r="A135" t="s">
        <v>709</v>
      </c>
      <c r="B135">
        <v>1137</v>
      </c>
      <c r="C135" t="s">
        <v>25</v>
      </c>
      <c r="D135">
        <v>50</v>
      </c>
      <c r="E135" t="s">
        <v>576</v>
      </c>
      <c r="F135">
        <v>50</v>
      </c>
    </row>
    <row r="136" spans="1:6" ht="15" customHeight="1" x14ac:dyDescent="0.25">
      <c r="A136" t="s">
        <v>710</v>
      </c>
      <c r="B136">
        <v>1143</v>
      </c>
      <c r="C136" t="s">
        <v>28</v>
      </c>
      <c r="D136">
        <v>200</v>
      </c>
      <c r="E136" t="s">
        <v>576</v>
      </c>
      <c r="F136">
        <v>200</v>
      </c>
    </row>
    <row r="137" spans="1:6" ht="15" customHeight="1" x14ac:dyDescent="0.25">
      <c r="A137" t="s">
        <v>711</v>
      </c>
      <c r="B137">
        <v>1143</v>
      </c>
      <c r="C137" t="s">
        <v>29</v>
      </c>
      <c r="D137">
        <v>200</v>
      </c>
      <c r="E137" t="s">
        <v>576</v>
      </c>
      <c r="F137">
        <v>200</v>
      </c>
    </row>
    <row r="138" spans="1:6" ht="15" customHeight="1" x14ac:dyDescent="0.25">
      <c r="A138" t="s">
        <v>712</v>
      </c>
      <c r="B138">
        <v>1143</v>
      </c>
      <c r="C138" t="s">
        <v>30</v>
      </c>
      <c r="D138">
        <v>200</v>
      </c>
      <c r="E138" t="s">
        <v>576</v>
      </c>
      <c r="F138">
        <v>200</v>
      </c>
    </row>
    <row r="139" spans="1:6" ht="15" customHeight="1" x14ac:dyDescent="0.25">
      <c r="A139" t="s">
        <v>713</v>
      </c>
      <c r="B139">
        <v>1143</v>
      </c>
      <c r="C139" t="s">
        <v>31</v>
      </c>
      <c r="D139">
        <v>200</v>
      </c>
      <c r="E139" t="s">
        <v>576</v>
      </c>
      <c r="F139">
        <v>200</v>
      </c>
    </row>
    <row r="140" spans="1:6" ht="15" customHeight="1" x14ac:dyDescent="0.25">
      <c r="A140" t="s">
        <v>714</v>
      </c>
      <c r="B140">
        <v>1143</v>
      </c>
      <c r="C140" t="s">
        <v>32</v>
      </c>
      <c r="D140">
        <v>200</v>
      </c>
      <c r="E140" t="s">
        <v>576</v>
      </c>
      <c r="F140">
        <v>200</v>
      </c>
    </row>
    <row r="141" spans="1:6" ht="15" customHeight="1" x14ac:dyDescent="0.25">
      <c r="A141" t="s">
        <v>715</v>
      </c>
      <c r="B141">
        <v>1143</v>
      </c>
      <c r="C141" t="s">
        <v>33</v>
      </c>
      <c r="D141">
        <v>200</v>
      </c>
      <c r="E141" t="s">
        <v>576</v>
      </c>
      <c r="F141">
        <v>200</v>
      </c>
    </row>
    <row r="142" spans="1:6" ht="15" customHeight="1" x14ac:dyDescent="0.25">
      <c r="A142" t="s">
        <v>716</v>
      </c>
      <c r="B142">
        <v>1143</v>
      </c>
      <c r="C142" t="s">
        <v>34</v>
      </c>
      <c r="D142">
        <v>200</v>
      </c>
      <c r="E142" t="s">
        <v>576</v>
      </c>
      <c r="F142">
        <v>200</v>
      </c>
    </row>
    <row r="143" spans="1:6" ht="15" customHeight="1" x14ac:dyDescent="0.25">
      <c r="A143" t="s">
        <v>717</v>
      </c>
      <c r="B143">
        <v>1143</v>
      </c>
      <c r="C143" t="s">
        <v>35</v>
      </c>
      <c r="D143">
        <v>200</v>
      </c>
      <c r="E143" t="s">
        <v>576</v>
      </c>
      <c r="F143">
        <v>200</v>
      </c>
    </row>
    <row r="144" spans="1:6" ht="15" customHeight="1" x14ac:dyDescent="0.25">
      <c r="A144" t="s">
        <v>718</v>
      </c>
      <c r="B144">
        <v>1143</v>
      </c>
      <c r="C144" t="s">
        <v>36</v>
      </c>
      <c r="D144">
        <v>200</v>
      </c>
      <c r="E144" t="s">
        <v>576</v>
      </c>
      <c r="F144">
        <v>200</v>
      </c>
    </row>
    <row r="145" spans="1:6" ht="15" customHeight="1" x14ac:dyDescent="0.25">
      <c r="A145" t="s">
        <v>719</v>
      </c>
      <c r="B145">
        <v>1143</v>
      </c>
      <c r="C145" t="s">
        <v>37</v>
      </c>
      <c r="D145">
        <v>200</v>
      </c>
      <c r="E145" t="s">
        <v>576</v>
      </c>
      <c r="F145">
        <v>200</v>
      </c>
    </row>
    <row r="146" spans="1:6" ht="15" customHeight="1" x14ac:dyDescent="0.25">
      <c r="A146" t="s">
        <v>720</v>
      </c>
      <c r="B146">
        <v>1151</v>
      </c>
      <c r="C146" t="s">
        <v>31</v>
      </c>
      <c r="D146">
        <v>500</v>
      </c>
      <c r="E146" t="s">
        <v>576</v>
      </c>
      <c r="F146">
        <v>500</v>
      </c>
    </row>
    <row r="147" spans="1:6" ht="15" customHeight="1" x14ac:dyDescent="0.25">
      <c r="A147" t="s">
        <v>721</v>
      </c>
      <c r="B147">
        <v>1151</v>
      </c>
      <c r="C147" t="s">
        <v>32</v>
      </c>
      <c r="D147">
        <v>500</v>
      </c>
      <c r="E147" t="s">
        <v>576</v>
      </c>
      <c r="F147">
        <v>500</v>
      </c>
    </row>
    <row r="148" spans="1:6" ht="15" customHeight="1" x14ac:dyDescent="0.25">
      <c r="A148" t="s">
        <v>722</v>
      </c>
      <c r="B148">
        <v>1151</v>
      </c>
      <c r="C148" t="s">
        <v>33</v>
      </c>
      <c r="D148">
        <v>500</v>
      </c>
      <c r="E148" t="s">
        <v>576</v>
      </c>
      <c r="F148">
        <v>500</v>
      </c>
    </row>
    <row r="149" spans="1:6" ht="15" customHeight="1" x14ac:dyDescent="0.25">
      <c r="A149" t="s">
        <v>723</v>
      </c>
      <c r="B149">
        <v>1151</v>
      </c>
      <c r="C149" t="s">
        <v>34</v>
      </c>
      <c r="D149">
        <v>500</v>
      </c>
      <c r="E149" t="s">
        <v>576</v>
      </c>
      <c r="F149">
        <v>500</v>
      </c>
    </row>
    <row r="150" spans="1:6" ht="15" customHeight="1" x14ac:dyDescent="0.25">
      <c r="A150" t="s">
        <v>724</v>
      </c>
      <c r="B150">
        <v>1151</v>
      </c>
      <c r="C150" t="s">
        <v>35</v>
      </c>
      <c r="D150">
        <v>500</v>
      </c>
      <c r="E150" t="s">
        <v>576</v>
      </c>
      <c r="F150">
        <v>500</v>
      </c>
    </row>
    <row r="151" spans="1:6" ht="15" customHeight="1" x14ac:dyDescent="0.25">
      <c r="A151" t="s">
        <v>725</v>
      </c>
      <c r="B151">
        <v>1151</v>
      </c>
      <c r="C151" t="s">
        <v>36</v>
      </c>
      <c r="D151">
        <v>500</v>
      </c>
      <c r="E151" t="s">
        <v>576</v>
      </c>
      <c r="F151">
        <v>500</v>
      </c>
    </row>
    <row r="152" spans="1:6" ht="15" customHeight="1" x14ac:dyDescent="0.25">
      <c r="A152" t="s">
        <v>726</v>
      </c>
      <c r="B152">
        <v>1151</v>
      </c>
      <c r="C152" t="s">
        <v>37</v>
      </c>
      <c r="D152">
        <v>500</v>
      </c>
      <c r="E152" t="s">
        <v>576</v>
      </c>
      <c r="F152">
        <v>500</v>
      </c>
    </row>
    <row r="153" spans="1:6" ht="15" customHeight="1" x14ac:dyDescent="0.25">
      <c r="A153" t="s">
        <v>727</v>
      </c>
      <c r="B153">
        <v>1151</v>
      </c>
      <c r="C153" t="s">
        <v>38</v>
      </c>
      <c r="D153">
        <v>500</v>
      </c>
      <c r="E153" t="s">
        <v>576</v>
      </c>
      <c r="F153">
        <v>500</v>
      </c>
    </row>
    <row r="154" spans="1:6" ht="15" customHeight="1" x14ac:dyDescent="0.25">
      <c r="A154" t="s">
        <v>728</v>
      </c>
      <c r="B154">
        <v>1151</v>
      </c>
      <c r="C154" t="s">
        <v>39</v>
      </c>
      <c r="D154">
        <v>500</v>
      </c>
      <c r="E154" t="s">
        <v>576</v>
      </c>
      <c r="F154">
        <v>500</v>
      </c>
    </row>
    <row r="155" spans="1:6" ht="15" customHeight="1" x14ac:dyDescent="0.25">
      <c r="A155" t="s">
        <v>729</v>
      </c>
      <c r="B155">
        <v>1151</v>
      </c>
      <c r="C155" t="s">
        <v>40</v>
      </c>
      <c r="D155">
        <v>500</v>
      </c>
      <c r="E155" t="s">
        <v>576</v>
      </c>
      <c r="F155">
        <v>500</v>
      </c>
    </row>
    <row r="156" spans="1:6" ht="15" customHeight="1" x14ac:dyDescent="0.25">
      <c r="A156" t="s">
        <v>730</v>
      </c>
      <c r="B156">
        <v>1154</v>
      </c>
      <c r="C156" t="s">
        <v>42</v>
      </c>
      <c r="D156">
        <v>50</v>
      </c>
      <c r="E156" t="s">
        <v>576</v>
      </c>
      <c r="F156">
        <v>50</v>
      </c>
    </row>
    <row r="157" spans="1:6" ht="15" customHeight="1" x14ac:dyDescent="0.25">
      <c r="A157" t="s">
        <v>731</v>
      </c>
      <c r="B157">
        <v>1167</v>
      </c>
      <c r="C157" t="s">
        <v>25</v>
      </c>
      <c r="D157">
        <v>500</v>
      </c>
      <c r="E157" t="s">
        <v>576</v>
      </c>
      <c r="F157">
        <v>500</v>
      </c>
    </row>
    <row r="158" spans="1:6" ht="15" customHeight="1" x14ac:dyDescent="0.25">
      <c r="A158" t="s">
        <v>732</v>
      </c>
      <c r="B158">
        <v>1167</v>
      </c>
      <c r="C158" t="s">
        <v>26</v>
      </c>
      <c r="D158">
        <v>500</v>
      </c>
      <c r="E158" t="s">
        <v>576</v>
      </c>
      <c r="F158">
        <v>500</v>
      </c>
    </row>
    <row r="159" spans="1:6" ht="15" customHeight="1" x14ac:dyDescent="0.25">
      <c r="A159" t="s">
        <v>733</v>
      </c>
      <c r="B159">
        <v>1167</v>
      </c>
      <c r="C159" t="s">
        <v>27</v>
      </c>
      <c r="D159">
        <v>500</v>
      </c>
      <c r="E159" t="s">
        <v>576</v>
      </c>
      <c r="F159">
        <v>500</v>
      </c>
    </row>
    <row r="160" spans="1:6" ht="15" customHeight="1" x14ac:dyDescent="0.25">
      <c r="A160" t="s">
        <v>734</v>
      </c>
      <c r="B160">
        <v>1167</v>
      </c>
      <c r="C160" t="s">
        <v>28</v>
      </c>
      <c r="D160">
        <v>500</v>
      </c>
      <c r="E160" t="s">
        <v>576</v>
      </c>
      <c r="F160">
        <v>500</v>
      </c>
    </row>
    <row r="161" spans="1:6" ht="15" customHeight="1" x14ac:dyDescent="0.25">
      <c r="A161" t="s">
        <v>735</v>
      </c>
      <c r="B161">
        <v>1167</v>
      </c>
      <c r="C161" t="s">
        <v>29</v>
      </c>
      <c r="D161">
        <v>500</v>
      </c>
      <c r="E161" t="s">
        <v>576</v>
      </c>
      <c r="F161">
        <v>500</v>
      </c>
    </row>
    <row r="162" spans="1:6" ht="15" customHeight="1" x14ac:dyDescent="0.25">
      <c r="A162" t="s">
        <v>736</v>
      </c>
      <c r="B162">
        <v>1167</v>
      </c>
      <c r="C162" t="s">
        <v>30</v>
      </c>
      <c r="D162">
        <v>500</v>
      </c>
      <c r="E162" t="s">
        <v>576</v>
      </c>
      <c r="F162">
        <v>500</v>
      </c>
    </row>
    <row r="163" spans="1:6" ht="15" customHeight="1" x14ac:dyDescent="0.25">
      <c r="A163" t="s">
        <v>737</v>
      </c>
      <c r="B163">
        <v>1167</v>
      </c>
      <c r="C163" t="s">
        <v>31</v>
      </c>
      <c r="D163">
        <v>500</v>
      </c>
      <c r="E163" t="s">
        <v>576</v>
      </c>
      <c r="F163">
        <v>500</v>
      </c>
    </row>
    <row r="164" spans="1:6" ht="15" customHeight="1" x14ac:dyDescent="0.25">
      <c r="A164" t="s">
        <v>738</v>
      </c>
      <c r="B164">
        <v>1167</v>
      </c>
      <c r="C164" t="s">
        <v>32</v>
      </c>
      <c r="D164">
        <v>500</v>
      </c>
      <c r="E164" t="s">
        <v>576</v>
      </c>
      <c r="F164">
        <v>500</v>
      </c>
    </row>
    <row r="165" spans="1:6" ht="15" customHeight="1" x14ac:dyDescent="0.25">
      <c r="A165" t="s">
        <v>739</v>
      </c>
      <c r="B165">
        <v>1167</v>
      </c>
      <c r="C165" t="s">
        <v>33</v>
      </c>
      <c r="D165">
        <v>500</v>
      </c>
      <c r="E165" t="s">
        <v>576</v>
      </c>
      <c r="F165">
        <v>500</v>
      </c>
    </row>
    <row r="166" spans="1:6" ht="15" customHeight="1" x14ac:dyDescent="0.25">
      <c r="A166" t="s">
        <v>740</v>
      </c>
      <c r="B166">
        <v>1167</v>
      </c>
      <c r="C166" t="s">
        <v>34</v>
      </c>
      <c r="D166">
        <v>500</v>
      </c>
      <c r="E166" t="s">
        <v>576</v>
      </c>
      <c r="F166">
        <v>500</v>
      </c>
    </row>
    <row r="167" spans="1:6" ht="15" customHeight="1" x14ac:dyDescent="0.25">
      <c r="A167" t="s">
        <v>741</v>
      </c>
      <c r="B167">
        <v>1167</v>
      </c>
      <c r="C167" t="s">
        <v>35</v>
      </c>
      <c r="D167">
        <v>500</v>
      </c>
      <c r="E167" t="s">
        <v>576</v>
      </c>
      <c r="F167">
        <v>500</v>
      </c>
    </row>
    <row r="168" spans="1:6" ht="15" customHeight="1" x14ac:dyDescent="0.25">
      <c r="A168" t="s">
        <v>742</v>
      </c>
      <c r="B168">
        <v>1167</v>
      </c>
      <c r="C168" t="s">
        <v>36</v>
      </c>
      <c r="D168">
        <v>500</v>
      </c>
      <c r="E168" t="s">
        <v>576</v>
      </c>
      <c r="F168">
        <v>500</v>
      </c>
    </row>
    <row r="169" spans="1:6" ht="15" customHeight="1" x14ac:dyDescent="0.25">
      <c r="A169" t="s">
        <v>743</v>
      </c>
      <c r="B169">
        <v>1167</v>
      </c>
      <c r="C169" t="s">
        <v>37</v>
      </c>
      <c r="D169">
        <v>500</v>
      </c>
      <c r="E169" t="s">
        <v>576</v>
      </c>
      <c r="F169">
        <v>500</v>
      </c>
    </row>
    <row r="170" spans="1:6" ht="15" customHeight="1" x14ac:dyDescent="0.25">
      <c r="A170" t="s">
        <v>744</v>
      </c>
      <c r="B170">
        <v>1175</v>
      </c>
      <c r="C170" t="s">
        <v>31</v>
      </c>
      <c r="D170">
        <v>500</v>
      </c>
      <c r="E170" t="s">
        <v>576</v>
      </c>
      <c r="F170">
        <v>500</v>
      </c>
    </row>
    <row r="171" spans="1:6" ht="15" customHeight="1" x14ac:dyDescent="0.25">
      <c r="A171" t="s">
        <v>745</v>
      </c>
      <c r="B171">
        <v>1175</v>
      </c>
      <c r="C171" t="s">
        <v>32</v>
      </c>
      <c r="D171">
        <v>500</v>
      </c>
      <c r="E171" t="s">
        <v>576</v>
      </c>
      <c r="F171">
        <v>500</v>
      </c>
    </row>
    <row r="172" spans="1:6" ht="15" customHeight="1" x14ac:dyDescent="0.25">
      <c r="A172" t="s">
        <v>746</v>
      </c>
      <c r="B172">
        <v>1178</v>
      </c>
      <c r="C172" t="s">
        <v>37</v>
      </c>
      <c r="D172">
        <v>50</v>
      </c>
      <c r="E172" t="s">
        <v>576</v>
      </c>
      <c r="F172">
        <v>50</v>
      </c>
    </row>
    <row r="173" spans="1:6" ht="15" customHeight="1" x14ac:dyDescent="0.25">
      <c r="A173" t="s">
        <v>747</v>
      </c>
      <c r="B173">
        <v>1178</v>
      </c>
      <c r="C173" t="s">
        <v>38</v>
      </c>
      <c r="D173">
        <v>50</v>
      </c>
      <c r="E173" t="s">
        <v>576</v>
      </c>
      <c r="F173">
        <v>50</v>
      </c>
    </row>
    <row r="174" spans="1:6" ht="15" customHeight="1" x14ac:dyDescent="0.25">
      <c r="A174" t="s">
        <v>748</v>
      </c>
      <c r="B174">
        <v>1181</v>
      </c>
      <c r="C174" t="s">
        <v>25</v>
      </c>
      <c r="D174">
        <v>50</v>
      </c>
      <c r="E174" t="s">
        <v>576</v>
      </c>
      <c r="F174">
        <v>50</v>
      </c>
    </row>
    <row r="175" spans="1:6" ht="15" customHeight="1" x14ac:dyDescent="0.25">
      <c r="A175" t="s">
        <v>749</v>
      </c>
      <c r="B175">
        <v>1181</v>
      </c>
      <c r="C175" t="s">
        <v>26</v>
      </c>
      <c r="D175">
        <v>50</v>
      </c>
      <c r="E175" t="s">
        <v>576</v>
      </c>
      <c r="F175">
        <v>50</v>
      </c>
    </row>
    <row r="176" spans="1:6" ht="15" customHeight="1" x14ac:dyDescent="0.25">
      <c r="A176" t="s">
        <v>750</v>
      </c>
      <c r="B176">
        <v>1181</v>
      </c>
      <c r="C176" t="s">
        <v>27</v>
      </c>
      <c r="D176">
        <v>50</v>
      </c>
      <c r="E176" t="s">
        <v>576</v>
      </c>
      <c r="F176">
        <v>50</v>
      </c>
    </row>
    <row r="177" spans="1:6" ht="15" customHeight="1" x14ac:dyDescent="0.25">
      <c r="A177" t="s">
        <v>751</v>
      </c>
      <c r="B177">
        <v>1181</v>
      </c>
      <c r="C177" t="s">
        <v>28</v>
      </c>
      <c r="D177">
        <v>50</v>
      </c>
      <c r="E177" t="s">
        <v>576</v>
      </c>
      <c r="F177">
        <v>50</v>
      </c>
    </row>
    <row r="178" spans="1:6" ht="15" customHeight="1" x14ac:dyDescent="0.25">
      <c r="A178" t="s">
        <v>752</v>
      </c>
      <c r="B178">
        <v>1181</v>
      </c>
      <c r="C178" t="s">
        <v>29</v>
      </c>
      <c r="D178">
        <v>50</v>
      </c>
      <c r="E178" t="s">
        <v>576</v>
      </c>
      <c r="F178">
        <v>50</v>
      </c>
    </row>
    <row r="179" spans="1:6" ht="15" customHeight="1" x14ac:dyDescent="0.25">
      <c r="A179" t="s">
        <v>753</v>
      </c>
      <c r="B179">
        <v>1185</v>
      </c>
      <c r="C179" t="s">
        <v>36</v>
      </c>
      <c r="D179">
        <v>200</v>
      </c>
      <c r="E179" t="s">
        <v>576</v>
      </c>
      <c r="F179">
        <v>200</v>
      </c>
    </row>
    <row r="180" spans="1:6" ht="15" customHeight="1" x14ac:dyDescent="0.25">
      <c r="A180" t="s">
        <v>754</v>
      </c>
      <c r="B180">
        <v>1185</v>
      </c>
      <c r="C180" t="s">
        <v>37</v>
      </c>
      <c r="D180">
        <v>200</v>
      </c>
      <c r="E180" t="s">
        <v>576</v>
      </c>
      <c r="F180">
        <v>200</v>
      </c>
    </row>
    <row r="181" spans="1:6" ht="15" customHeight="1" x14ac:dyDescent="0.25">
      <c r="A181" t="s">
        <v>755</v>
      </c>
      <c r="B181">
        <v>1185</v>
      </c>
      <c r="C181" t="s">
        <v>38</v>
      </c>
      <c r="D181">
        <v>200</v>
      </c>
      <c r="E181" t="s">
        <v>576</v>
      </c>
      <c r="F181">
        <v>200</v>
      </c>
    </row>
    <row r="182" spans="1:6" ht="15" customHeight="1" x14ac:dyDescent="0.25">
      <c r="A182" t="s">
        <v>756</v>
      </c>
      <c r="B182">
        <v>1185</v>
      </c>
      <c r="C182" t="s">
        <v>39</v>
      </c>
      <c r="D182">
        <v>200</v>
      </c>
      <c r="E182" t="s">
        <v>576</v>
      </c>
      <c r="F182">
        <v>200</v>
      </c>
    </row>
    <row r="183" spans="1:6" ht="15" customHeight="1" x14ac:dyDescent="0.25">
      <c r="A183" t="s">
        <v>757</v>
      </c>
      <c r="B183">
        <v>1185</v>
      </c>
      <c r="C183" t="s">
        <v>40</v>
      </c>
      <c r="D183">
        <v>200</v>
      </c>
      <c r="E183" t="s">
        <v>576</v>
      </c>
      <c r="F183">
        <v>200</v>
      </c>
    </row>
    <row r="184" spans="1:6" ht="15" customHeight="1" x14ac:dyDescent="0.25">
      <c r="A184" t="s">
        <v>758</v>
      </c>
      <c r="B184">
        <v>1185</v>
      </c>
      <c r="C184" t="s">
        <v>41</v>
      </c>
      <c r="D184">
        <v>200</v>
      </c>
      <c r="E184" t="s">
        <v>576</v>
      </c>
      <c r="F184">
        <v>200</v>
      </c>
    </row>
    <row r="185" spans="1:6" ht="15" customHeight="1" x14ac:dyDescent="0.25">
      <c r="A185" t="s">
        <v>759</v>
      </c>
      <c r="B185">
        <v>1185</v>
      </c>
      <c r="C185" t="s">
        <v>42</v>
      </c>
      <c r="D185">
        <v>200</v>
      </c>
      <c r="E185" t="s">
        <v>576</v>
      </c>
      <c r="F185">
        <v>200</v>
      </c>
    </row>
    <row r="186" spans="1:6" ht="15" customHeight="1" x14ac:dyDescent="0.25">
      <c r="A186" t="s">
        <v>760</v>
      </c>
      <c r="B186">
        <v>1188</v>
      </c>
      <c r="C186" t="s">
        <v>31</v>
      </c>
      <c r="D186">
        <v>200</v>
      </c>
      <c r="E186" t="s">
        <v>576</v>
      </c>
      <c r="F186">
        <v>200</v>
      </c>
    </row>
    <row r="187" spans="1:6" ht="15" customHeight="1" x14ac:dyDescent="0.25">
      <c r="A187" t="s">
        <v>761</v>
      </c>
      <c r="B187">
        <v>1188</v>
      </c>
      <c r="C187" t="s">
        <v>32</v>
      </c>
      <c r="D187">
        <v>200</v>
      </c>
      <c r="E187" t="s">
        <v>576</v>
      </c>
      <c r="F187">
        <v>200</v>
      </c>
    </row>
    <row r="188" spans="1:6" ht="15" customHeight="1" x14ac:dyDescent="0.25">
      <c r="A188" t="s">
        <v>762</v>
      </c>
      <c r="B188">
        <v>1188</v>
      </c>
      <c r="C188" t="s">
        <v>33</v>
      </c>
      <c r="D188">
        <v>200</v>
      </c>
      <c r="E188" t="s">
        <v>576</v>
      </c>
      <c r="F188">
        <v>200</v>
      </c>
    </row>
    <row r="189" spans="1:6" ht="15" customHeight="1" x14ac:dyDescent="0.25">
      <c r="A189" t="s">
        <v>763</v>
      </c>
      <c r="B189">
        <v>1193</v>
      </c>
      <c r="C189" t="s">
        <v>25</v>
      </c>
      <c r="D189">
        <v>200</v>
      </c>
      <c r="E189" t="s">
        <v>576</v>
      </c>
      <c r="F189">
        <v>200</v>
      </c>
    </row>
    <row r="190" spans="1:6" ht="15" customHeight="1" x14ac:dyDescent="0.25">
      <c r="A190" t="s">
        <v>764</v>
      </c>
      <c r="B190">
        <v>1193</v>
      </c>
      <c r="C190" t="s">
        <v>26</v>
      </c>
      <c r="D190">
        <v>200</v>
      </c>
      <c r="E190" t="s">
        <v>576</v>
      </c>
      <c r="F190">
        <v>200</v>
      </c>
    </row>
    <row r="191" spans="1:6" ht="15" customHeight="1" x14ac:dyDescent="0.25">
      <c r="A191" t="s">
        <v>765</v>
      </c>
      <c r="B191">
        <v>1193</v>
      </c>
      <c r="C191" t="s">
        <v>27</v>
      </c>
      <c r="D191">
        <v>200</v>
      </c>
      <c r="E191" t="s">
        <v>576</v>
      </c>
      <c r="F191">
        <v>200</v>
      </c>
    </row>
    <row r="192" spans="1:6" ht="15" customHeight="1" x14ac:dyDescent="0.25">
      <c r="A192" t="s">
        <v>766</v>
      </c>
      <c r="B192">
        <v>1193</v>
      </c>
      <c r="C192" t="s">
        <v>28</v>
      </c>
      <c r="D192">
        <v>200</v>
      </c>
      <c r="E192" t="s">
        <v>576</v>
      </c>
      <c r="F192">
        <v>200</v>
      </c>
    </row>
    <row r="193" spans="1:6" ht="15" customHeight="1" x14ac:dyDescent="0.25">
      <c r="A193" t="s">
        <v>767</v>
      </c>
      <c r="B193">
        <v>1193</v>
      </c>
      <c r="C193" t="s">
        <v>29</v>
      </c>
      <c r="D193">
        <v>200</v>
      </c>
      <c r="E193" t="s">
        <v>576</v>
      </c>
      <c r="F193">
        <v>200</v>
      </c>
    </row>
    <row r="194" spans="1:6" ht="15" customHeight="1" x14ac:dyDescent="0.25">
      <c r="A194" t="s">
        <v>768</v>
      </c>
      <c r="B194">
        <v>1193</v>
      </c>
      <c r="C194" t="s">
        <v>30</v>
      </c>
      <c r="D194">
        <v>200</v>
      </c>
      <c r="E194" t="s">
        <v>576</v>
      </c>
      <c r="F194">
        <v>200</v>
      </c>
    </row>
    <row r="195" spans="1:6" ht="15" customHeight="1" x14ac:dyDescent="0.25">
      <c r="A195" t="s">
        <v>769</v>
      </c>
      <c r="B195">
        <v>1193</v>
      </c>
      <c r="C195" t="s">
        <v>31</v>
      </c>
      <c r="D195">
        <v>200</v>
      </c>
      <c r="E195" t="s">
        <v>576</v>
      </c>
      <c r="F195">
        <v>200</v>
      </c>
    </row>
    <row r="196" spans="1:6" ht="15" customHeight="1" x14ac:dyDescent="0.25">
      <c r="A196" t="s">
        <v>770</v>
      </c>
      <c r="B196">
        <v>1193</v>
      </c>
      <c r="C196" t="s">
        <v>32</v>
      </c>
      <c r="D196">
        <v>200</v>
      </c>
      <c r="E196" t="s">
        <v>576</v>
      </c>
      <c r="F196">
        <v>200</v>
      </c>
    </row>
    <row r="197" spans="1:6" ht="15" customHeight="1" x14ac:dyDescent="0.25">
      <c r="A197" t="s">
        <v>771</v>
      </c>
      <c r="B197">
        <v>1193</v>
      </c>
      <c r="C197" t="s">
        <v>33</v>
      </c>
      <c r="D197">
        <v>200</v>
      </c>
      <c r="E197" t="s">
        <v>576</v>
      </c>
      <c r="F197">
        <v>200</v>
      </c>
    </row>
    <row r="198" spans="1:6" ht="15" customHeight="1" x14ac:dyDescent="0.25">
      <c r="A198" t="s">
        <v>772</v>
      </c>
      <c r="B198">
        <v>1193</v>
      </c>
      <c r="C198" t="s">
        <v>34</v>
      </c>
      <c r="D198">
        <v>200</v>
      </c>
      <c r="E198" t="s">
        <v>576</v>
      </c>
      <c r="F198">
        <v>200</v>
      </c>
    </row>
    <row r="199" spans="1:6" ht="15" customHeight="1" x14ac:dyDescent="0.25">
      <c r="A199" t="s">
        <v>773</v>
      </c>
      <c r="B199">
        <v>1193</v>
      </c>
      <c r="C199" t="s">
        <v>35</v>
      </c>
      <c r="D199">
        <v>200</v>
      </c>
      <c r="E199" t="s">
        <v>576</v>
      </c>
      <c r="F199">
        <v>200</v>
      </c>
    </row>
    <row r="200" spans="1:6" ht="15" customHeight="1" x14ac:dyDescent="0.25">
      <c r="A200" t="s">
        <v>774</v>
      </c>
      <c r="B200">
        <v>1193</v>
      </c>
      <c r="C200" t="s">
        <v>36</v>
      </c>
      <c r="D200">
        <v>200</v>
      </c>
      <c r="E200" t="s">
        <v>576</v>
      </c>
      <c r="F200">
        <v>200</v>
      </c>
    </row>
    <row r="201" spans="1:6" ht="15" customHeight="1" x14ac:dyDescent="0.25">
      <c r="A201" t="s">
        <v>775</v>
      </c>
      <c r="B201">
        <v>1193</v>
      </c>
      <c r="C201" t="s">
        <v>37</v>
      </c>
      <c r="D201">
        <v>200</v>
      </c>
      <c r="E201" t="s">
        <v>576</v>
      </c>
      <c r="F201">
        <v>200</v>
      </c>
    </row>
    <row r="202" spans="1:6" ht="15" customHeight="1" x14ac:dyDescent="0.25">
      <c r="A202" t="s">
        <v>776</v>
      </c>
      <c r="B202">
        <v>1193</v>
      </c>
      <c r="C202" t="s">
        <v>38</v>
      </c>
      <c r="D202">
        <v>200</v>
      </c>
      <c r="E202" t="s">
        <v>576</v>
      </c>
      <c r="F202">
        <v>200</v>
      </c>
    </row>
    <row r="203" spans="1:6" ht="15" customHeight="1" x14ac:dyDescent="0.25">
      <c r="A203" t="s">
        <v>777</v>
      </c>
      <c r="B203">
        <v>1193</v>
      </c>
      <c r="C203" t="s">
        <v>39</v>
      </c>
      <c r="D203">
        <v>200</v>
      </c>
      <c r="E203" t="s">
        <v>576</v>
      </c>
      <c r="F203">
        <v>200</v>
      </c>
    </row>
    <row r="204" spans="1:6" ht="15" customHeight="1" x14ac:dyDescent="0.25">
      <c r="A204" t="s">
        <v>778</v>
      </c>
      <c r="B204">
        <v>1197</v>
      </c>
      <c r="C204" t="s">
        <v>39</v>
      </c>
      <c r="D204">
        <v>50</v>
      </c>
      <c r="E204" t="s">
        <v>576</v>
      </c>
      <c r="F204">
        <v>50</v>
      </c>
    </row>
    <row r="205" spans="1:6" ht="15" customHeight="1" x14ac:dyDescent="0.25">
      <c r="A205" t="s">
        <v>779</v>
      </c>
      <c r="B205">
        <v>1197</v>
      </c>
      <c r="C205" t="s">
        <v>40</v>
      </c>
      <c r="D205">
        <v>50</v>
      </c>
      <c r="E205" t="s">
        <v>576</v>
      </c>
      <c r="F205">
        <v>50</v>
      </c>
    </row>
    <row r="206" spans="1:6" ht="15" customHeight="1" x14ac:dyDescent="0.25">
      <c r="A206" t="s">
        <v>780</v>
      </c>
      <c r="B206">
        <v>1197</v>
      </c>
      <c r="C206" t="s">
        <v>41</v>
      </c>
      <c r="D206">
        <v>50</v>
      </c>
      <c r="E206" t="s">
        <v>576</v>
      </c>
      <c r="F206">
        <v>50</v>
      </c>
    </row>
    <row r="207" spans="1:6" ht="15" customHeight="1" x14ac:dyDescent="0.25">
      <c r="A207" t="s">
        <v>781</v>
      </c>
      <c r="B207">
        <v>1197</v>
      </c>
      <c r="C207" t="s">
        <v>42</v>
      </c>
      <c r="D207">
        <v>50</v>
      </c>
      <c r="E207" t="s">
        <v>576</v>
      </c>
      <c r="F207">
        <v>50</v>
      </c>
    </row>
    <row r="208" spans="1:6" ht="15" customHeight="1" x14ac:dyDescent="0.25">
      <c r="A208" t="s">
        <v>782</v>
      </c>
      <c r="B208">
        <v>1200</v>
      </c>
      <c r="C208" t="s">
        <v>27</v>
      </c>
      <c r="D208">
        <v>200</v>
      </c>
      <c r="E208" t="s">
        <v>576</v>
      </c>
      <c r="F208">
        <v>200</v>
      </c>
    </row>
    <row r="209" spans="1:6" ht="15" customHeight="1" x14ac:dyDescent="0.25">
      <c r="A209" t="s">
        <v>783</v>
      </c>
      <c r="B209">
        <v>1200</v>
      </c>
      <c r="C209" t="s">
        <v>28</v>
      </c>
      <c r="D209">
        <v>200</v>
      </c>
      <c r="E209" t="s">
        <v>576</v>
      </c>
      <c r="F209">
        <v>200</v>
      </c>
    </row>
    <row r="210" spans="1:6" ht="15" customHeight="1" x14ac:dyDescent="0.25">
      <c r="A210" t="s">
        <v>784</v>
      </c>
      <c r="B210">
        <v>1200</v>
      </c>
      <c r="C210" t="s">
        <v>29</v>
      </c>
      <c r="D210">
        <v>200</v>
      </c>
      <c r="E210" t="s">
        <v>576</v>
      </c>
      <c r="F210">
        <v>200</v>
      </c>
    </row>
    <row r="211" spans="1:6" ht="15" customHeight="1" x14ac:dyDescent="0.25">
      <c r="A211" t="s">
        <v>785</v>
      </c>
      <c r="B211">
        <v>1200</v>
      </c>
      <c r="C211" t="s">
        <v>30</v>
      </c>
      <c r="D211">
        <v>200</v>
      </c>
      <c r="E211" t="s">
        <v>576</v>
      </c>
      <c r="F211">
        <v>200</v>
      </c>
    </row>
    <row r="212" spans="1:6" ht="15" customHeight="1" x14ac:dyDescent="0.25">
      <c r="A212" t="s">
        <v>786</v>
      </c>
      <c r="B212">
        <v>1200</v>
      </c>
      <c r="C212" t="s">
        <v>31</v>
      </c>
      <c r="D212">
        <v>200</v>
      </c>
      <c r="E212" t="s">
        <v>576</v>
      </c>
      <c r="F212">
        <v>200</v>
      </c>
    </row>
    <row r="213" spans="1:6" ht="15" customHeight="1" x14ac:dyDescent="0.25">
      <c r="A213" t="s">
        <v>787</v>
      </c>
      <c r="B213">
        <v>1200</v>
      </c>
      <c r="C213" t="s">
        <v>32</v>
      </c>
      <c r="D213">
        <v>200</v>
      </c>
      <c r="E213" t="s">
        <v>576</v>
      </c>
      <c r="F213">
        <v>200</v>
      </c>
    </row>
    <row r="214" spans="1:6" ht="15" customHeight="1" x14ac:dyDescent="0.25">
      <c r="A214" t="s">
        <v>788</v>
      </c>
      <c r="B214">
        <v>1200</v>
      </c>
      <c r="C214" t="s">
        <v>33</v>
      </c>
      <c r="D214">
        <v>200</v>
      </c>
      <c r="E214" t="s">
        <v>576</v>
      </c>
      <c r="F214">
        <v>200</v>
      </c>
    </row>
    <row r="215" spans="1:6" ht="15" customHeight="1" x14ac:dyDescent="0.25">
      <c r="A215" t="s">
        <v>789</v>
      </c>
      <c r="B215">
        <v>1200</v>
      </c>
      <c r="C215" t="s">
        <v>34</v>
      </c>
      <c r="D215">
        <v>200</v>
      </c>
      <c r="E215" t="s">
        <v>576</v>
      </c>
      <c r="F215">
        <v>200</v>
      </c>
    </row>
    <row r="216" spans="1:6" ht="15" customHeight="1" x14ac:dyDescent="0.25">
      <c r="A216" t="s">
        <v>790</v>
      </c>
      <c r="B216">
        <v>1200</v>
      </c>
      <c r="C216" t="s">
        <v>35</v>
      </c>
      <c r="D216">
        <v>200</v>
      </c>
      <c r="E216" t="s">
        <v>576</v>
      </c>
      <c r="F216">
        <v>200</v>
      </c>
    </row>
    <row r="217" spans="1:6" ht="15" customHeight="1" x14ac:dyDescent="0.25">
      <c r="A217" t="s">
        <v>791</v>
      </c>
      <c r="B217">
        <v>1200</v>
      </c>
      <c r="C217" t="s">
        <v>36</v>
      </c>
      <c r="D217">
        <v>200</v>
      </c>
      <c r="E217" t="s">
        <v>576</v>
      </c>
      <c r="F217">
        <v>200</v>
      </c>
    </row>
    <row r="218" spans="1:6" ht="15" customHeight="1" x14ac:dyDescent="0.25">
      <c r="A218" t="s">
        <v>792</v>
      </c>
      <c r="B218">
        <v>1200</v>
      </c>
      <c r="C218" t="s">
        <v>37</v>
      </c>
      <c r="D218">
        <v>200</v>
      </c>
      <c r="E218" t="s">
        <v>576</v>
      </c>
      <c r="F218">
        <v>200</v>
      </c>
    </row>
    <row r="219" spans="1:6" ht="15" customHeight="1" x14ac:dyDescent="0.25">
      <c r="A219" t="s">
        <v>793</v>
      </c>
      <c r="B219">
        <v>1200</v>
      </c>
      <c r="C219" t="s">
        <v>38</v>
      </c>
      <c r="D219">
        <v>200</v>
      </c>
      <c r="E219" t="s">
        <v>576</v>
      </c>
      <c r="F219">
        <v>200</v>
      </c>
    </row>
    <row r="220" spans="1:6" ht="15" customHeight="1" x14ac:dyDescent="0.25">
      <c r="A220" t="s">
        <v>794</v>
      </c>
      <c r="B220">
        <v>1200</v>
      </c>
      <c r="C220" t="s">
        <v>39</v>
      </c>
      <c r="D220">
        <v>200</v>
      </c>
      <c r="E220" t="s">
        <v>576</v>
      </c>
      <c r="F220">
        <v>200</v>
      </c>
    </row>
    <row r="221" spans="1:6" ht="15" customHeight="1" x14ac:dyDescent="0.25">
      <c r="A221" t="s">
        <v>795</v>
      </c>
      <c r="B221">
        <v>1200</v>
      </c>
      <c r="C221" t="s">
        <v>40</v>
      </c>
      <c r="D221">
        <v>200</v>
      </c>
      <c r="E221" t="s">
        <v>576</v>
      </c>
      <c r="F221">
        <v>200</v>
      </c>
    </row>
    <row r="222" spans="1:6" ht="15" customHeight="1" x14ac:dyDescent="0.25">
      <c r="A222" t="s">
        <v>796</v>
      </c>
      <c r="B222">
        <v>1200</v>
      </c>
      <c r="C222" t="s">
        <v>41</v>
      </c>
      <c r="D222">
        <v>200</v>
      </c>
      <c r="E222" t="s">
        <v>576</v>
      </c>
      <c r="F222">
        <v>200</v>
      </c>
    </row>
    <row r="223" spans="1:6" ht="15" customHeight="1" x14ac:dyDescent="0.25">
      <c r="A223" t="s">
        <v>797</v>
      </c>
      <c r="B223">
        <v>1210</v>
      </c>
      <c r="C223" t="s">
        <v>32</v>
      </c>
      <c r="D223">
        <v>500</v>
      </c>
      <c r="E223" t="s">
        <v>576</v>
      </c>
      <c r="F223">
        <v>500</v>
      </c>
    </row>
    <row r="224" spans="1:6" ht="15" customHeight="1" x14ac:dyDescent="0.25">
      <c r="A224" t="s">
        <v>798</v>
      </c>
      <c r="B224">
        <v>1210</v>
      </c>
      <c r="C224" t="s">
        <v>33</v>
      </c>
      <c r="D224">
        <v>500</v>
      </c>
      <c r="E224" t="s">
        <v>576</v>
      </c>
      <c r="F224">
        <v>500</v>
      </c>
    </row>
    <row r="225" spans="1:6" ht="15" customHeight="1" x14ac:dyDescent="0.25">
      <c r="A225" t="s">
        <v>799</v>
      </c>
      <c r="B225">
        <v>1210</v>
      </c>
      <c r="C225" t="s">
        <v>34</v>
      </c>
      <c r="D225">
        <v>500</v>
      </c>
      <c r="E225" t="s">
        <v>576</v>
      </c>
      <c r="F225">
        <v>500</v>
      </c>
    </row>
    <row r="226" spans="1:6" ht="15" customHeight="1" x14ac:dyDescent="0.25">
      <c r="A226" t="s">
        <v>800</v>
      </c>
      <c r="B226">
        <v>1210</v>
      </c>
      <c r="C226" t="s">
        <v>35</v>
      </c>
      <c r="D226">
        <v>500</v>
      </c>
      <c r="E226" t="s">
        <v>576</v>
      </c>
      <c r="F226">
        <v>500</v>
      </c>
    </row>
    <row r="227" spans="1:6" ht="15" customHeight="1" x14ac:dyDescent="0.25">
      <c r="A227" t="s">
        <v>801</v>
      </c>
      <c r="B227">
        <v>1210</v>
      </c>
      <c r="C227" t="s">
        <v>36</v>
      </c>
      <c r="D227">
        <v>500</v>
      </c>
      <c r="E227" t="s">
        <v>576</v>
      </c>
      <c r="F227">
        <v>500</v>
      </c>
    </row>
    <row r="228" spans="1:6" ht="15" customHeight="1" x14ac:dyDescent="0.25">
      <c r="A228" t="s">
        <v>802</v>
      </c>
      <c r="B228">
        <v>1210</v>
      </c>
      <c r="C228" t="s">
        <v>37</v>
      </c>
      <c r="D228">
        <v>500</v>
      </c>
      <c r="E228" t="s">
        <v>576</v>
      </c>
      <c r="F228">
        <v>500</v>
      </c>
    </row>
    <row r="229" spans="1:6" ht="15" customHeight="1" x14ac:dyDescent="0.25">
      <c r="A229" t="s">
        <v>803</v>
      </c>
      <c r="B229">
        <v>1210</v>
      </c>
      <c r="C229" t="s">
        <v>38</v>
      </c>
      <c r="D229">
        <v>500</v>
      </c>
      <c r="E229" t="s">
        <v>576</v>
      </c>
      <c r="F229">
        <v>500</v>
      </c>
    </row>
    <row r="230" spans="1:6" ht="15" customHeight="1" x14ac:dyDescent="0.25">
      <c r="A230" t="s">
        <v>804</v>
      </c>
      <c r="B230">
        <v>1214</v>
      </c>
      <c r="C230" t="s">
        <v>27</v>
      </c>
      <c r="D230">
        <v>500</v>
      </c>
      <c r="E230" t="s">
        <v>576</v>
      </c>
      <c r="F230">
        <v>500</v>
      </c>
    </row>
    <row r="231" spans="1:6" ht="15" customHeight="1" x14ac:dyDescent="0.25">
      <c r="A231" t="s">
        <v>805</v>
      </c>
      <c r="B231">
        <v>1214</v>
      </c>
      <c r="C231" t="s">
        <v>28</v>
      </c>
      <c r="D231">
        <v>500</v>
      </c>
      <c r="E231" t="s">
        <v>576</v>
      </c>
      <c r="F231">
        <v>500</v>
      </c>
    </row>
    <row r="232" spans="1:6" ht="15" customHeight="1" x14ac:dyDescent="0.25">
      <c r="A232" t="s">
        <v>806</v>
      </c>
      <c r="B232">
        <v>1214</v>
      </c>
      <c r="C232" t="s">
        <v>29</v>
      </c>
      <c r="D232">
        <v>500</v>
      </c>
      <c r="E232" t="s">
        <v>576</v>
      </c>
      <c r="F232">
        <v>500</v>
      </c>
    </row>
    <row r="233" spans="1:6" ht="15" customHeight="1" x14ac:dyDescent="0.25">
      <c r="A233" t="s">
        <v>807</v>
      </c>
      <c r="B233">
        <v>1214</v>
      </c>
      <c r="C233" t="s">
        <v>30</v>
      </c>
      <c r="D233">
        <v>500</v>
      </c>
      <c r="E233" t="s">
        <v>576</v>
      </c>
      <c r="F233">
        <v>500</v>
      </c>
    </row>
    <row r="234" spans="1:6" ht="15" customHeight="1" x14ac:dyDescent="0.25">
      <c r="A234" t="s">
        <v>808</v>
      </c>
      <c r="B234">
        <v>1214</v>
      </c>
      <c r="C234" t="s">
        <v>31</v>
      </c>
      <c r="D234">
        <v>500</v>
      </c>
      <c r="E234" t="s">
        <v>576</v>
      </c>
      <c r="F234">
        <v>500</v>
      </c>
    </row>
    <row r="235" spans="1:6" ht="15" customHeight="1" x14ac:dyDescent="0.25">
      <c r="A235" t="s">
        <v>809</v>
      </c>
      <c r="B235">
        <v>1214</v>
      </c>
      <c r="C235" t="s">
        <v>32</v>
      </c>
      <c r="D235">
        <v>500</v>
      </c>
      <c r="E235" t="s">
        <v>576</v>
      </c>
      <c r="F235">
        <v>500</v>
      </c>
    </row>
    <row r="236" spans="1:6" ht="15" customHeight="1" x14ac:dyDescent="0.25">
      <c r="A236" t="s">
        <v>810</v>
      </c>
      <c r="B236">
        <v>1214</v>
      </c>
      <c r="C236" t="s">
        <v>33</v>
      </c>
      <c r="D236">
        <v>500</v>
      </c>
      <c r="E236" t="s">
        <v>576</v>
      </c>
      <c r="F236">
        <v>500</v>
      </c>
    </row>
    <row r="237" spans="1:6" ht="15" customHeight="1" x14ac:dyDescent="0.25">
      <c r="A237" t="s">
        <v>811</v>
      </c>
      <c r="B237">
        <v>1214</v>
      </c>
      <c r="C237" t="s">
        <v>34</v>
      </c>
      <c r="D237">
        <v>500</v>
      </c>
      <c r="E237" t="s">
        <v>576</v>
      </c>
      <c r="F237">
        <v>500</v>
      </c>
    </row>
    <row r="238" spans="1:6" ht="15" customHeight="1" x14ac:dyDescent="0.25">
      <c r="A238" t="s">
        <v>812</v>
      </c>
      <c r="B238">
        <v>1214</v>
      </c>
      <c r="C238" t="s">
        <v>35</v>
      </c>
      <c r="D238">
        <v>500</v>
      </c>
      <c r="E238" t="s">
        <v>576</v>
      </c>
      <c r="F238">
        <v>500</v>
      </c>
    </row>
    <row r="239" spans="1:6" ht="15" customHeight="1" x14ac:dyDescent="0.25">
      <c r="A239" t="s">
        <v>813</v>
      </c>
      <c r="B239">
        <v>1220</v>
      </c>
      <c r="C239" t="s">
        <v>27</v>
      </c>
      <c r="D239">
        <v>50</v>
      </c>
      <c r="E239" t="s">
        <v>576</v>
      </c>
      <c r="F239">
        <v>50</v>
      </c>
    </row>
    <row r="240" spans="1:6" ht="15" customHeight="1" x14ac:dyDescent="0.25">
      <c r="A240" t="s">
        <v>814</v>
      </c>
      <c r="B240">
        <v>1220</v>
      </c>
      <c r="C240" t="s">
        <v>28</v>
      </c>
      <c r="D240">
        <v>50</v>
      </c>
      <c r="E240" t="s">
        <v>576</v>
      </c>
      <c r="F240">
        <v>50</v>
      </c>
    </row>
    <row r="241" spans="1:6" ht="15" customHeight="1" x14ac:dyDescent="0.25">
      <c r="A241" t="s">
        <v>815</v>
      </c>
      <c r="B241">
        <v>1220</v>
      </c>
      <c r="C241" t="s">
        <v>29</v>
      </c>
      <c r="D241">
        <v>50</v>
      </c>
      <c r="E241" t="s">
        <v>576</v>
      </c>
      <c r="F241">
        <v>50</v>
      </c>
    </row>
    <row r="242" spans="1:6" ht="15" customHeight="1" x14ac:dyDescent="0.25">
      <c r="A242" t="s">
        <v>816</v>
      </c>
      <c r="B242">
        <v>1220</v>
      </c>
      <c r="C242" t="s">
        <v>30</v>
      </c>
      <c r="D242">
        <v>50</v>
      </c>
      <c r="E242" t="s">
        <v>576</v>
      </c>
      <c r="F242">
        <v>50</v>
      </c>
    </row>
    <row r="243" spans="1:6" ht="15" customHeight="1" x14ac:dyDescent="0.25">
      <c r="A243" t="s">
        <v>817</v>
      </c>
      <c r="B243">
        <v>1220</v>
      </c>
      <c r="C243" t="s">
        <v>31</v>
      </c>
      <c r="D243">
        <v>50</v>
      </c>
      <c r="E243" t="s">
        <v>576</v>
      </c>
      <c r="F243">
        <v>50</v>
      </c>
    </row>
    <row r="244" spans="1:6" ht="15" customHeight="1" x14ac:dyDescent="0.25">
      <c r="A244" t="s">
        <v>818</v>
      </c>
      <c r="B244">
        <v>1220</v>
      </c>
      <c r="C244" t="s">
        <v>32</v>
      </c>
      <c r="D244">
        <v>50</v>
      </c>
      <c r="E244" t="s">
        <v>576</v>
      </c>
      <c r="F244">
        <v>50</v>
      </c>
    </row>
    <row r="245" spans="1:6" ht="15" customHeight="1" x14ac:dyDescent="0.25">
      <c r="A245" t="s">
        <v>819</v>
      </c>
      <c r="B245">
        <v>1220</v>
      </c>
      <c r="C245" t="s">
        <v>33</v>
      </c>
      <c r="D245">
        <v>50</v>
      </c>
      <c r="E245" t="s">
        <v>576</v>
      </c>
      <c r="F245">
        <v>50</v>
      </c>
    </row>
    <row r="246" spans="1:6" ht="15" customHeight="1" x14ac:dyDescent="0.25">
      <c r="A246" t="s">
        <v>820</v>
      </c>
      <c r="B246">
        <v>1220</v>
      </c>
      <c r="C246" t="s">
        <v>34</v>
      </c>
      <c r="D246">
        <v>50</v>
      </c>
      <c r="E246" t="s">
        <v>576</v>
      </c>
      <c r="F246">
        <v>50</v>
      </c>
    </row>
    <row r="247" spans="1:6" ht="15" customHeight="1" x14ac:dyDescent="0.25">
      <c r="A247" t="s">
        <v>821</v>
      </c>
      <c r="B247">
        <v>1222</v>
      </c>
      <c r="C247" t="s">
        <v>26</v>
      </c>
      <c r="D247">
        <v>200</v>
      </c>
      <c r="E247" t="s">
        <v>576</v>
      </c>
      <c r="F247">
        <v>200</v>
      </c>
    </row>
    <row r="248" spans="1:6" ht="15" customHeight="1" x14ac:dyDescent="0.25">
      <c r="A248" t="s">
        <v>822</v>
      </c>
      <c r="B248">
        <v>1222</v>
      </c>
      <c r="C248" t="s">
        <v>27</v>
      </c>
      <c r="D248">
        <v>200</v>
      </c>
      <c r="E248" t="s">
        <v>576</v>
      </c>
      <c r="F248">
        <v>200</v>
      </c>
    </row>
    <row r="249" spans="1:6" ht="15" customHeight="1" x14ac:dyDescent="0.25">
      <c r="A249" t="s">
        <v>823</v>
      </c>
      <c r="B249">
        <v>1222</v>
      </c>
      <c r="C249" t="s">
        <v>28</v>
      </c>
      <c r="D249">
        <v>200</v>
      </c>
      <c r="E249" t="s">
        <v>576</v>
      </c>
      <c r="F249">
        <v>200</v>
      </c>
    </row>
    <row r="250" spans="1:6" ht="15" customHeight="1" x14ac:dyDescent="0.25">
      <c r="A250" t="s">
        <v>824</v>
      </c>
      <c r="B250">
        <v>1222</v>
      </c>
      <c r="C250" t="s">
        <v>29</v>
      </c>
      <c r="D250">
        <v>200</v>
      </c>
      <c r="E250" t="s">
        <v>576</v>
      </c>
      <c r="F250">
        <v>200</v>
      </c>
    </row>
    <row r="251" spans="1:6" ht="15" customHeight="1" x14ac:dyDescent="0.25">
      <c r="A251" t="s">
        <v>825</v>
      </c>
      <c r="B251">
        <v>1222</v>
      </c>
      <c r="C251" t="s">
        <v>30</v>
      </c>
      <c r="D251">
        <v>200</v>
      </c>
      <c r="E251" t="s">
        <v>576</v>
      </c>
      <c r="F251">
        <v>200</v>
      </c>
    </row>
    <row r="252" spans="1:6" ht="15" customHeight="1" x14ac:dyDescent="0.25">
      <c r="A252" t="s">
        <v>826</v>
      </c>
      <c r="B252">
        <v>1222</v>
      </c>
      <c r="C252" t="s">
        <v>31</v>
      </c>
      <c r="D252">
        <v>200</v>
      </c>
      <c r="E252" t="s">
        <v>576</v>
      </c>
      <c r="F252">
        <v>200</v>
      </c>
    </row>
    <row r="253" spans="1:6" ht="15" customHeight="1" x14ac:dyDescent="0.25">
      <c r="A253" t="s">
        <v>827</v>
      </c>
      <c r="B253">
        <v>1222</v>
      </c>
      <c r="C253" t="s">
        <v>32</v>
      </c>
      <c r="D253">
        <v>200</v>
      </c>
      <c r="E253" t="s">
        <v>576</v>
      </c>
      <c r="F253">
        <v>200</v>
      </c>
    </row>
    <row r="254" spans="1:6" ht="15" customHeight="1" x14ac:dyDescent="0.25">
      <c r="A254" t="s">
        <v>828</v>
      </c>
      <c r="B254">
        <v>1222</v>
      </c>
      <c r="C254" t="s">
        <v>33</v>
      </c>
      <c r="D254">
        <v>200</v>
      </c>
      <c r="E254" t="s">
        <v>576</v>
      </c>
      <c r="F254">
        <v>200</v>
      </c>
    </row>
    <row r="255" spans="1:6" ht="15" customHeight="1" x14ac:dyDescent="0.25">
      <c r="A255" t="s">
        <v>829</v>
      </c>
      <c r="B255">
        <v>1222</v>
      </c>
      <c r="C255" t="s">
        <v>34</v>
      </c>
      <c r="D255">
        <v>200</v>
      </c>
      <c r="E255" t="s">
        <v>576</v>
      </c>
      <c r="F255">
        <v>200</v>
      </c>
    </row>
    <row r="256" spans="1:6" ht="15" customHeight="1" x14ac:dyDescent="0.25">
      <c r="A256" t="s">
        <v>830</v>
      </c>
      <c r="B256">
        <v>1222</v>
      </c>
      <c r="C256" t="s">
        <v>35</v>
      </c>
      <c r="D256">
        <v>200</v>
      </c>
      <c r="E256" t="s">
        <v>576</v>
      </c>
      <c r="F256">
        <v>200</v>
      </c>
    </row>
    <row r="257" spans="1:6" ht="15" customHeight="1" x14ac:dyDescent="0.25">
      <c r="A257" t="s">
        <v>831</v>
      </c>
      <c r="B257">
        <v>1222</v>
      </c>
      <c r="C257" t="s">
        <v>36</v>
      </c>
      <c r="D257">
        <v>200</v>
      </c>
      <c r="E257" t="s">
        <v>576</v>
      </c>
      <c r="F257">
        <v>200</v>
      </c>
    </row>
    <row r="258" spans="1:6" ht="15" customHeight="1" x14ac:dyDescent="0.25">
      <c r="A258" t="s">
        <v>832</v>
      </c>
      <c r="B258">
        <v>1222</v>
      </c>
      <c r="C258" t="s">
        <v>37</v>
      </c>
      <c r="D258">
        <v>200</v>
      </c>
      <c r="E258" t="s">
        <v>576</v>
      </c>
      <c r="F258">
        <v>200</v>
      </c>
    </row>
    <row r="259" spans="1:6" ht="15" customHeight="1" x14ac:dyDescent="0.25">
      <c r="A259" t="s">
        <v>833</v>
      </c>
      <c r="B259">
        <v>1222</v>
      </c>
      <c r="C259" t="s">
        <v>38</v>
      </c>
      <c r="D259">
        <v>200</v>
      </c>
      <c r="E259" t="s">
        <v>576</v>
      </c>
      <c r="F259">
        <v>200</v>
      </c>
    </row>
    <row r="260" spans="1:6" ht="15" customHeight="1" x14ac:dyDescent="0.25">
      <c r="A260" t="s">
        <v>834</v>
      </c>
      <c r="B260">
        <v>1222</v>
      </c>
      <c r="C260" t="s">
        <v>39</v>
      </c>
      <c r="D260">
        <v>200</v>
      </c>
      <c r="E260" t="s">
        <v>576</v>
      </c>
      <c r="F260">
        <v>200</v>
      </c>
    </row>
    <row r="261" spans="1:6" ht="15" customHeight="1" x14ac:dyDescent="0.25">
      <c r="A261" t="s">
        <v>835</v>
      </c>
      <c r="B261">
        <v>1223</v>
      </c>
      <c r="C261" t="s">
        <v>38</v>
      </c>
      <c r="D261">
        <v>500</v>
      </c>
      <c r="E261" t="s">
        <v>576</v>
      </c>
      <c r="F261">
        <v>500</v>
      </c>
    </row>
    <row r="262" spans="1:6" ht="15" customHeight="1" x14ac:dyDescent="0.25">
      <c r="A262" t="s">
        <v>836</v>
      </c>
      <c r="B262">
        <v>1223</v>
      </c>
      <c r="C262" t="s">
        <v>39</v>
      </c>
      <c r="D262">
        <v>500</v>
      </c>
      <c r="E262" t="s">
        <v>576</v>
      </c>
      <c r="F262">
        <v>500</v>
      </c>
    </row>
    <row r="263" spans="1:6" ht="15" customHeight="1" x14ac:dyDescent="0.25">
      <c r="A263" t="s">
        <v>837</v>
      </c>
      <c r="B263">
        <v>1223</v>
      </c>
      <c r="C263" t="s">
        <v>40</v>
      </c>
      <c r="D263">
        <v>500</v>
      </c>
      <c r="E263" t="s">
        <v>576</v>
      </c>
      <c r="F263">
        <v>500</v>
      </c>
    </row>
    <row r="264" spans="1:6" ht="15" customHeight="1" x14ac:dyDescent="0.25">
      <c r="A264" t="s">
        <v>838</v>
      </c>
      <c r="B264">
        <v>1225</v>
      </c>
      <c r="C264" t="s">
        <v>42</v>
      </c>
      <c r="D264">
        <v>500</v>
      </c>
      <c r="E264" t="s">
        <v>576</v>
      </c>
      <c r="F264">
        <v>500</v>
      </c>
    </row>
    <row r="265" spans="1:6" ht="15" customHeight="1" x14ac:dyDescent="0.25">
      <c r="A265" t="s">
        <v>839</v>
      </c>
      <c r="B265">
        <v>1226</v>
      </c>
      <c r="C265" t="s">
        <v>34</v>
      </c>
      <c r="D265">
        <v>50</v>
      </c>
      <c r="E265" t="s">
        <v>576</v>
      </c>
      <c r="F265">
        <v>50</v>
      </c>
    </row>
    <row r="266" spans="1:6" ht="15" customHeight="1" x14ac:dyDescent="0.25">
      <c r="A266" t="s">
        <v>840</v>
      </c>
      <c r="B266">
        <v>1226</v>
      </c>
      <c r="C266" t="s">
        <v>35</v>
      </c>
      <c r="D266">
        <v>50</v>
      </c>
      <c r="E266" t="s">
        <v>576</v>
      </c>
      <c r="F266">
        <v>50</v>
      </c>
    </row>
    <row r="267" spans="1:6" ht="15" customHeight="1" x14ac:dyDescent="0.25">
      <c r="A267" t="s">
        <v>841</v>
      </c>
      <c r="B267">
        <v>1226</v>
      </c>
      <c r="C267" t="s">
        <v>36</v>
      </c>
      <c r="D267">
        <v>50</v>
      </c>
      <c r="E267" t="s">
        <v>576</v>
      </c>
      <c r="F267">
        <v>50</v>
      </c>
    </row>
    <row r="268" spans="1:6" ht="15" customHeight="1" x14ac:dyDescent="0.25">
      <c r="A268" t="s">
        <v>842</v>
      </c>
      <c r="B268">
        <v>1226</v>
      </c>
      <c r="C268" t="s">
        <v>37</v>
      </c>
      <c r="D268">
        <v>50</v>
      </c>
      <c r="E268" t="s">
        <v>576</v>
      </c>
      <c r="F268">
        <v>50</v>
      </c>
    </row>
    <row r="269" spans="1:6" ht="15" customHeight="1" x14ac:dyDescent="0.25">
      <c r="A269" t="s">
        <v>843</v>
      </c>
      <c r="B269">
        <v>1226</v>
      </c>
      <c r="C269" t="s">
        <v>38</v>
      </c>
      <c r="D269">
        <v>50</v>
      </c>
      <c r="E269" t="s">
        <v>576</v>
      </c>
      <c r="F269">
        <v>50</v>
      </c>
    </row>
    <row r="270" spans="1:6" ht="15" customHeight="1" x14ac:dyDescent="0.25">
      <c r="A270" t="s">
        <v>844</v>
      </c>
      <c r="B270">
        <v>1226</v>
      </c>
      <c r="C270" t="s">
        <v>39</v>
      </c>
      <c r="D270">
        <v>50</v>
      </c>
      <c r="E270" t="s">
        <v>576</v>
      </c>
      <c r="F270">
        <v>50</v>
      </c>
    </row>
    <row r="271" spans="1:6" ht="15" customHeight="1" x14ac:dyDescent="0.25">
      <c r="A271" t="s">
        <v>845</v>
      </c>
      <c r="B271">
        <v>1229</v>
      </c>
      <c r="C271" t="s">
        <v>37</v>
      </c>
      <c r="D271">
        <v>500</v>
      </c>
      <c r="E271" t="s">
        <v>576</v>
      </c>
      <c r="F271">
        <v>500</v>
      </c>
    </row>
    <row r="272" spans="1:6" ht="15" customHeight="1" x14ac:dyDescent="0.25">
      <c r="A272" t="s">
        <v>846</v>
      </c>
      <c r="B272">
        <v>1229</v>
      </c>
      <c r="C272" t="s">
        <v>38</v>
      </c>
      <c r="D272">
        <v>500</v>
      </c>
      <c r="E272" t="s">
        <v>576</v>
      </c>
      <c r="F272">
        <v>500</v>
      </c>
    </row>
    <row r="273" spans="1:6" ht="15" customHeight="1" x14ac:dyDescent="0.25">
      <c r="A273" t="s">
        <v>847</v>
      </c>
      <c r="B273">
        <v>1229</v>
      </c>
      <c r="C273" t="s">
        <v>39</v>
      </c>
      <c r="D273">
        <v>500</v>
      </c>
      <c r="E273" t="s">
        <v>576</v>
      </c>
      <c r="F273">
        <v>500</v>
      </c>
    </row>
    <row r="274" spans="1:6" ht="15" customHeight="1" x14ac:dyDescent="0.25">
      <c r="A274" t="s">
        <v>848</v>
      </c>
      <c r="B274">
        <v>1229</v>
      </c>
      <c r="C274" t="s">
        <v>40</v>
      </c>
      <c r="D274">
        <v>500</v>
      </c>
      <c r="E274" t="s">
        <v>576</v>
      </c>
      <c r="F274">
        <v>500</v>
      </c>
    </row>
    <row r="275" spans="1:6" ht="15" customHeight="1" x14ac:dyDescent="0.25">
      <c r="A275" t="s">
        <v>849</v>
      </c>
      <c r="B275">
        <v>1234</v>
      </c>
      <c r="C275" t="s">
        <v>34</v>
      </c>
      <c r="D275">
        <v>50</v>
      </c>
      <c r="E275" t="s">
        <v>576</v>
      </c>
      <c r="F275">
        <v>50</v>
      </c>
    </row>
    <row r="276" spans="1:6" ht="15" customHeight="1" x14ac:dyDescent="0.25">
      <c r="A276" t="s">
        <v>850</v>
      </c>
      <c r="B276">
        <v>1234</v>
      </c>
      <c r="C276" t="s">
        <v>35</v>
      </c>
      <c r="D276">
        <v>50</v>
      </c>
      <c r="E276" t="s">
        <v>576</v>
      </c>
      <c r="F276">
        <v>50</v>
      </c>
    </row>
    <row r="277" spans="1:6" ht="15" customHeight="1" x14ac:dyDescent="0.25">
      <c r="A277" t="s">
        <v>851</v>
      </c>
      <c r="B277">
        <v>1234</v>
      </c>
      <c r="C277" t="s">
        <v>36</v>
      </c>
      <c r="D277">
        <v>50</v>
      </c>
      <c r="E277" t="s">
        <v>576</v>
      </c>
      <c r="F277">
        <v>50</v>
      </c>
    </row>
    <row r="278" spans="1:6" ht="15" customHeight="1" x14ac:dyDescent="0.25">
      <c r="A278" t="s">
        <v>852</v>
      </c>
      <c r="B278">
        <v>1234</v>
      </c>
      <c r="C278" t="s">
        <v>37</v>
      </c>
      <c r="D278">
        <v>50</v>
      </c>
      <c r="E278" t="s">
        <v>576</v>
      </c>
      <c r="F278">
        <v>50</v>
      </c>
    </row>
    <row r="279" spans="1:6" ht="15" customHeight="1" x14ac:dyDescent="0.25">
      <c r="A279" t="s">
        <v>853</v>
      </c>
      <c r="B279">
        <v>1234</v>
      </c>
      <c r="C279" t="s">
        <v>38</v>
      </c>
      <c r="D279">
        <v>50</v>
      </c>
      <c r="E279" t="s">
        <v>576</v>
      </c>
      <c r="F279">
        <v>50</v>
      </c>
    </row>
    <row r="280" spans="1:6" ht="15" customHeight="1" x14ac:dyDescent="0.25">
      <c r="A280" t="s">
        <v>854</v>
      </c>
      <c r="B280">
        <v>1235</v>
      </c>
      <c r="C280" t="s">
        <v>38</v>
      </c>
      <c r="D280">
        <v>500</v>
      </c>
      <c r="E280" t="s">
        <v>576</v>
      </c>
      <c r="F280">
        <v>500</v>
      </c>
    </row>
    <row r="281" spans="1:6" ht="15" customHeight="1" x14ac:dyDescent="0.25">
      <c r="A281" t="s">
        <v>855</v>
      </c>
      <c r="B281">
        <v>1235</v>
      </c>
      <c r="C281" t="s">
        <v>39</v>
      </c>
      <c r="D281">
        <v>500</v>
      </c>
      <c r="E281" t="s">
        <v>576</v>
      </c>
      <c r="F281">
        <v>500</v>
      </c>
    </row>
    <row r="282" spans="1:6" ht="15" customHeight="1" x14ac:dyDescent="0.25">
      <c r="A282" t="s">
        <v>856</v>
      </c>
      <c r="B282">
        <v>1239</v>
      </c>
      <c r="C282" t="s">
        <v>29</v>
      </c>
      <c r="D282">
        <v>200</v>
      </c>
      <c r="E282" t="s">
        <v>576</v>
      </c>
      <c r="F282">
        <v>200</v>
      </c>
    </row>
    <row r="283" spans="1:6" ht="15" customHeight="1" x14ac:dyDescent="0.25">
      <c r="A283" t="s">
        <v>857</v>
      </c>
      <c r="B283">
        <v>1239</v>
      </c>
      <c r="C283" t="s">
        <v>30</v>
      </c>
      <c r="D283">
        <v>200</v>
      </c>
      <c r="E283" t="s">
        <v>576</v>
      </c>
      <c r="F283">
        <v>200</v>
      </c>
    </row>
    <row r="284" spans="1:6" ht="15" customHeight="1" x14ac:dyDescent="0.25">
      <c r="A284" t="s">
        <v>858</v>
      </c>
      <c r="B284">
        <v>1239</v>
      </c>
      <c r="C284" t="s">
        <v>31</v>
      </c>
      <c r="D284">
        <v>200</v>
      </c>
      <c r="E284" t="s">
        <v>576</v>
      </c>
      <c r="F284">
        <v>200</v>
      </c>
    </row>
    <row r="285" spans="1:6" ht="15" customHeight="1" x14ac:dyDescent="0.25">
      <c r="A285" t="s">
        <v>859</v>
      </c>
      <c r="B285">
        <v>1239</v>
      </c>
      <c r="C285" t="s">
        <v>32</v>
      </c>
      <c r="D285">
        <v>200</v>
      </c>
      <c r="E285" t="s">
        <v>576</v>
      </c>
      <c r="F285">
        <v>200</v>
      </c>
    </row>
    <row r="286" spans="1:6" ht="15" customHeight="1" x14ac:dyDescent="0.25">
      <c r="A286" t="s">
        <v>860</v>
      </c>
      <c r="B286">
        <v>1239</v>
      </c>
      <c r="C286" t="s">
        <v>33</v>
      </c>
      <c r="D286">
        <v>200</v>
      </c>
      <c r="E286" t="s">
        <v>576</v>
      </c>
      <c r="F286">
        <v>200</v>
      </c>
    </row>
    <row r="287" spans="1:6" ht="15" customHeight="1" x14ac:dyDescent="0.25">
      <c r="A287" t="s">
        <v>861</v>
      </c>
      <c r="B287">
        <v>1239</v>
      </c>
      <c r="C287" t="s">
        <v>34</v>
      </c>
      <c r="D287">
        <v>200</v>
      </c>
      <c r="E287" t="s">
        <v>576</v>
      </c>
      <c r="F287">
        <v>200</v>
      </c>
    </row>
    <row r="288" spans="1:6" ht="15" customHeight="1" x14ac:dyDescent="0.25">
      <c r="A288" t="s">
        <v>862</v>
      </c>
      <c r="B288">
        <v>1239</v>
      </c>
      <c r="C288" t="s">
        <v>35</v>
      </c>
      <c r="D288">
        <v>200</v>
      </c>
      <c r="E288" t="s">
        <v>576</v>
      </c>
      <c r="F288">
        <v>200</v>
      </c>
    </row>
    <row r="289" spans="1:6" ht="15" customHeight="1" x14ac:dyDescent="0.25">
      <c r="A289" t="s">
        <v>863</v>
      </c>
      <c r="B289">
        <v>1239</v>
      </c>
      <c r="C289" t="s">
        <v>36</v>
      </c>
      <c r="D289">
        <v>200</v>
      </c>
      <c r="E289" t="s">
        <v>576</v>
      </c>
      <c r="F289">
        <v>200</v>
      </c>
    </row>
    <row r="290" spans="1:6" ht="15" customHeight="1" x14ac:dyDescent="0.25">
      <c r="A290" t="s">
        <v>864</v>
      </c>
      <c r="B290">
        <v>1239</v>
      </c>
      <c r="C290" t="s">
        <v>37</v>
      </c>
      <c r="D290">
        <v>200</v>
      </c>
      <c r="E290" t="s">
        <v>576</v>
      </c>
      <c r="F290">
        <v>200</v>
      </c>
    </row>
    <row r="291" spans="1:6" ht="15" customHeight="1" x14ac:dyDescent="0.25">
      <c r="A291" t="s">
        <v>865</v>
      </c>
      <c r="B291">
        <v>1239</v>
      </c>
      <c r="C291" t="s">
        <v>38</v>
      </c>
      <c r="D291">
        <v>200</v>
      </c>
      <c r="E291" t="s">
        <v>576</v>
      </c>
      <c r="F291">
        <v>200</v>
      </c>
    </row>
    <row r="292" spans="1:6" ht="15" customHeight="1" x14ac:dyDescent="0.25">
      <c r="A292" t="s">
        <v>866</v>
      </c>
      <c r="B292">
        <v>1239</v>
      </c>
      <c r="C292" t="s">
        <v>39</v>
      </c>
      <c r="D292">
        <v>200</v>
      </c>
      <c r="E292" t="s">
        <v>576</v>
      </c>
      <c r="F292">
        <v>200</v>
      </c>
    </row>
    <row r="293" spans="1:6" ht="15" customHeight="1" x14ac:dyDescent="0.25">
      <c r="A293" t="s">
        <v>867</v>
      </c>
      <c r="B293">
        <v>1239</v>
      </c>
      <c r="C293" t="s">
        <v>40</v>
      </c>
      <c r="D293">
        <v>200</v>
      </c>
      <c r="E293" t="s">
        <v>576</v>
      </c>
      <c r="F293">
        <v>200</v>
      </c>
    </row>
    <row r="294" spans="1:6" ht="15" customHeight="1" x14ac:dyDescent="0.25">
      <c r="A294" t="s">
        <v>868</v>
      </c>
      <c r="B294">
        <v>1239</v>
      </c>
      <c r="C294" t="s">
        <v>41</v>
      </c>
      <c r="D294">
        <v>200</v>
      </c>
      <c r="E294" t="s">
        <v>576</v>
      </c>
      <c r="F294">
        <v>200</v>
      </c>
    </row>
    <row r="295" spans="1:6" ht="15" customHeight="1" x14ac:dyDescent="0.25">
      <c r="A295" t="s">
        <v>869</v>
      </c>
      <c r="B295">
        <v>1241</v>
      </c>
      <c r="C295" t="s">
        <v>33</v>
      </c>
      <c r="D295">
        <v>200</v>
      </c>
      <c r="E295" t="s">
        <v>576</v>
      </c>
      <c r="F295">
        <v>200</v>
      </c>
    </row>
    <row r="296" spans="1:6" ht="15" customHeight="1" x14ac:dyDescent="0.25">
      <c r="A296" t="s">
        <v>870</v>
      </c>
      <c r="B296">
        <v>1241</v>
      </c>
      <c r="C296" t="s">
        <v>34</v>
      </c>
      <c r="D296">
        <v>200</v>
      </c>
      <c r="E296" t="s">
        <v>576</v>
      </c>
      <c r="F296">
        <v>200</v>
      </c>
    </row>
    <row r="297" spans="1:6" ht="15" customHeight="1" x14ac:dyDescent="0.25">
      <c r="A297" t="s">
        <v>871</v>
      </c>
      <c r="B297">
        <v>1241</v>
      </c>
      <c r="C297" t="s">
        <v>35</v>
      </c>
      <c r="D297">
        <v>200</v>
      </c>
      <c r="E297" t="s">
        <v>576</v>
      </c>
      <c r="F297">
        <v>200</v>
      </c>
    </row>
    <row r="298" spans="1:6" ht="15" customHeight="1" x14ac:dyDescent="0.25">
      <c r="A298" t="s">
        <v>872</v>
      </c>
      <c r="B298">
        <v>1241</v>
      </c>
      <c r="C298" t="s">
        <v>36</v>
      </c>
      <c r="D298">
        <v>200</v>
      </c>
      <c r="E298" t="s">
        <v>576</v>
      </c>
      <c r="F298">
        <v>200</v>
      </c>
    </row>
    <row r="299" spans="1:6" ht="15" customHeight="1" x14ac:dyDescent="0.25">
      <c r="A299" t="s">
        <v>873</v>
      </c>
      <c r="B299">
        <v>1241</v>
      </c>
      <c r="C299" t="s">
        <v>37</v>
      </c>
      <c r="D299">
        <v>200</v>
      </c>
      <c r="E299" t="s">
        <v>576</v>
      </c>
      <c r="F299">
        <v>200</v>
      </c>
    </row>
    <row r="300" spans="1:6" ht="15" customHeight="1" x14ac:dyDescent="0.25">
      <c r="A300" t="s">
        <v>874</v>
      </c>
      <c r="B300">
        <v>1241</v>
      </c>
      <c r="C300" t="s">
        <v>38</v>
      </c>
      <c r="D300">
        <v>200</v>
      </c>
      <c r="E300" t="s">
        <v>576</v>
      </c>
      <c r="F300">
        <v>200</v>
      </c>
    </row>
    <row r="301" spans="1:6" ht="15" customHeight="1" x14ac:dyDescent="0.25">
      <c r="A301" t="s">
        <v>875</v>
      </c>
      <c r="B301">
        <v>1241</v>
      </c>
      <c r="C301" t="s">
        <v>39</v>
      </c>
      <c r="D301">
        <v>200</v>
      </c>
      <c r="E301" t="s">
        <v>576</v>
      </c>
      <c r="F301">
        <v>200</v>
      </c>
    </row>
    <row r="302" spans="1:6" ht="15" customHeight="1" x14ac:dyDescent="0.25">
      <c r="A302" t="s">
        <v>876</v>
      </c>
      <c r="B302">
        <v>1242</v>
      </c>
      <c r="C302" t="s">
        <v>39</v>
      </c>
      <c r="D302">
        <v>50</v>
      </c>
      <c r="E302" t="s">
        <v>576</v>
      </c>
      <c r="F302">
        <v>50</v>
      </c>
    </row>
    <row r="303" spans="1:6" ht="15" customHeight="1" x14ac:dyDescent="0.25">
      <c r="A303" t="s">
        <v>877</v>
      </c>
      <c r="B303">
        <v>1242</v>
      </c>
      <c r="C303" t="s">
        <v>40</v>
      </c>
      <c r="D303">
        <v>50</v>
      </c>
      <c r="E303" t="s">
        <v>576</v>
      </c>
      <c r="F303">
        <v>50</v>
      </c>
    </row>
    <row r="304" spans="1:6" ht="15" customHeight="1" x14ac:dyDescent="0.25">
      <c r="A304" t="s">
        <v>878</v>
      </c>
      <c r="B304">
        <v>1242</v>
      </c>
      <c r="C304" t="s">
        <v>41</v>
      </c>
      <c r="D304">
        <v>50</v>
      </c>
      <c r="E304" t="s">
        <v>576</v>
      </c>
      <c r="F304">
        <v>50</v>
      </c>
    </row>
    <row r="305" spans="1:6" ht="15" customHeight="1" x14ac:dyDescent="0.25">
      <c r="A305" t="s">
        <v>879</v>
      </c>
      <c r="B305">
        <v>1242</v>
      </c>
      <c r="C305" t="s">
        <v>42</v>
      </c>
      <c r="D305">
        <v>50</v>
      </c>
      <c r="E305" t="s">
        <v>576</v>
      </c>
      <c r="F305">
        <v>50</v>
      </c>
    </row>
    <row r="306" spans="1:6" ht="15" customHeight="1" x14ac:dyDescent="0.25">
      <c r="A306" t="s">
        <v>880</v>
      </c>
      <c r="B306">
        <v>1247</v>
      </c>
      <c r="C306" t="s">
        <v>29</v>
      </c>
      <c r="D306">
        <v>200</v>
      </c>
      <c r="E306" t="s">
        <v>576</v>
      </c>
      <c r="F306">
        <v>200</v>
      </c>
    </row>
    <row r="307" spans="1:6" ht="15" customHeight="1" x14ac:dyDescent="0.25">
      <c r="A307" t="s">
        <v>881</v>
      </c>
      <c r="B307">
        <v>1247</v>
      </c>
      <c r="C307" t="s">
        <v>30</v>
      </c>
      <c r="D307">
        <v>200</v>
      </c>
      <c r="E307" t="s">
        <v>576</v>
      </c>
      <c r="F307">
        <v>200</v>
      </c>
    </row>
    <row r="308" spans="1:6" ht="15" customHeight="1" x14ac:dyDescent="0.25">
      <c r="A308" t="s">
        <v>882</v>
      </c>
      <c r="B308">
        <v>1247</v>
      </c>
      <c r="C308" t="s">
        <v>31</v>
      </c>
      <c r="D308">
        <v>200</v>
      </c>
      <c r="E308" t="s">
        <v>576</v>
      </c>
      <c r="F308">
        <v>200</v>
      </c>
    </row>
    <row r="309" spans="1:6" ht="15" customHeight="1" x14ac:dyDescent="0.25">
      <c r="A309" t="s">
        <v>883</v>
      </c>
      <c r="B309">
        <v>1257</v>
      </c>
      <c r="C309" t="s">
        <v>27</v>
      </c>
      <c r="D309">
        <v>500</v>
      </c>
      <c r="E309" t="s">
        <v>576</v>
      </c>
      <c r="F309">
        <v>500</v>
      </c>
    </row>
    <row r="310" spans="1:6" ht="15" customHeight="1" x14ac:dyDescent="0.25">
      <c r="A310" t="s">
        <v>884</v>
      </c>
      <c r="B310">
        <v>1257</v>
      </c>
      <c r="C310" t="s">
        <v>28</v>
      </c>
      <c r="D310">
        <v>500</v>
      </c>
      <c r="E310" t="s">
        <v>576</v>
      </c>
      <c r="F310">
        <v>500</v>
      </c>
    </row>
    <row r="311" spans="1:6" ht="15" customHeight="1" x14ac:dyDescent="0.25">
      <c r="A311" t="s">
        <v>885</v>
      </c>
      <c r="B311">
        <v>1257</v>
      </c>
      <c r="C311" t="s">
        <v>29</v>
      </c>
      <c r="D311">
        <v>500</v>
      </c>
      <c r="E311" t="s">
        <v>576</v>
      </c>
      <c r="F311">
        <v>500</v>
      </c>
    </row>
    <row r="312" spans="1:6" ht="15" customHeight="1" x14ac:dyDescent="0.25">
      <c r="A312" t="s">
        <v>886</v>
      </c>
      <c r="B312">
        <v>1263</v>
      </c>
      <c r="C312" t="s">
        <v>37</v>
      </c>
      <c r="D312">
        <v>50</v>
      </c>
      <c r="E312" t="s">
        <v>576</v>
      </c>
      <c r="F312">
        <v>50</v>
      </c>
    </row>
    <row r="313" spans="1:6" ht="15" customHeight="1" x14ac:dyDescent="0.25">
      <c r="A313" t="s">
        <v>887</v>
      </c>
      <c r="B313">
        <v>1263</v>
      </c>
      <c r="C313" t="s">
        <v>38</v>
      </c>
      <c r="D313">
        <v>50</v>
      </c>
      <c r="E313" t="s">
        <v>576</v>
      </c>
      <c r="F313">
        <v>50</v>
      </c>
    </row>
    <row r="314" spans="1:6" ht="15" customHeight="1" x14ac:dyDescent="0.25">
      <c r="A314" t="s">
        <v>888</v>
      </c>
      <c r="B314">
        <v>1263</v>
      </c>
      <c r="C314" t="s">
        <v>39</v>
      </c>
      <c r="D314">
        <v>50</v>
      </c>
      <c r="E314" t="s">
        <v>576</v>
      </c>
      <c r="F314">
        <v>50</v>
      </c>
    </row>
    <row r="315" spans="1:6" ht="15" customHeight="1" x14ac:dyDescent="0.25">
      <c r="A315" t="s">
        <v>889</v>
      </c>
      <c r="B315">
        <v>1263</v>
      </c>
      <c r="C315" t="s">
        <v>40</v>
      </c>
      <c r="D315">
        <v>50</v>
      </c>
      <c r="E315" t="s">
        <v>576</v>
      </c>
      <c r="F315">
        <v>50</v>
      </c>
    </row>
    <row r="316" spans="1:6" ht="15" customHeight="1" x14ac:dyDescent="0.25">
      <c r="A316" t="s">
        <v>890</v>
      </c>
      <c r="B316">
        <v>1263</v>
      </c>
      <c r="C316" t="s">
        <v>41</v>
      </c>
      <c r="D316">
        <v>50</v>
      </c>
      <c r="E316" t="s">
        <v>576</v>
      </c>
      <c r="F316">
        <v>50</v>
      </c>
    </row>
    <row r="317" spans="1:6" ht="15" customHeight="1" x14ac:dyDescent="0.25">
      <c r="A317" t="s">
        <v>891</v>
      </c>
      <c r="B317">
        <v>1263</v>
      </c>
      <c r="C317" t="s">
        <v>42</v>
      </c>
      <c r="D317">
        <v>50</v>
      </c>
      <c r="E317" t="s">
        <v>576</v>
      </c>
      <c r="F317">
        <v>50</v>
      </c>
    </row>
    <row r="318" spans="1:6" ht="15" customHeight="1" x14ac:dyDescent="0.25">
      <c r="A318" t="s">
        <v>892</v>
      </c>
      <c r="B318">
        <v>1265</v>
      </c>
      <c r="C318" t="s">
        <v>27</v>
      </c>
      <c r="D318">
        <v>50</v>
      </c>
      <c r="E318" t="s">
        <v>576</v>
      </c>
      <c r="F318">
        <v>50</v>
      </c>
    </row>
    <row r="319" spans="1:6" ht="15" customHeight="1" x14ac:dyDescent="0.25">
      <c r="A319" t="s">
        <v>893</v>
      </c>
      <c r="B319">
        <v>1265</v>
      </c>
      <c r="C319" t="s">
        <v>28</v>
      </c>
      <c r="D319">
        <v>50</v>
      </c>
      <c r="E319" t="s">
        <v>576</v>
      </c>
      <c r="F319">
        <v>50</v>
      </c>
    </row>
    <row r="320" spans="1:6" ht="15" customHeight="1" x14ac:dyDescent="0.25">
      <c r="A320" t="s">
        <v>894</v>
      </c>
      <c r="B320">
        <v>1265</v>
      </c>
      <c r="C320" t="s">
        <v>29</v>
      </c>
      <c r="D320">
        <v>50</v>
      </c>
      <c r="E320" t="s">
        <v>576</v>
      </c>
      <c r="F320">
        <v>50</v>
      </c>
    </row>
    <row r="321" spans="1:6" ht="15" customHeight="1" x14ac:dyDescent="0.25">
      <c r="A321" t="s">
        <v>895</v>
      </c>
      <c r="B321">
        <v>1265</v>
      </c>
      <c r="C321" t="s">
        <v>30</v>
      </c>
      <c r="D321">
        <v>50</v>
      </c>
      <c r="E321" t="s">
        <v>576</v>
      </c>
      <c r="F321">
        <v>50</v>
      </c>
    </row>
    <row r="322" spans="1:6" ht="15" customHeight="1" x14ac:dyDescent="0.25">
      <c r="A322" t="s">
        <v>896</v>
      </c>
      <c r="B322">
        <v>1268</v>
      </c>
      <c r="C322" t="s">
        <v>29</v>
      </c>
      <c r="D322">
        <v>500</v>
      </c>
      <c r="E322" t="s">
        <v>576</v>
      </c>
      <c r="F322">
        <v>500</v>
      </c>
    </row>
    <row r="323" spans="1:6" ht="15" customHeight="1" x14ac:dyDescent="0.25">
      <c r="A323" t="s">
        <v>897</v>
      </c>
      <c r="B323">
        <v>1268</v>
      </c>
      <c r="C323" t="s">
        <v>30</v>
      </c>
      <c r="D323">
        <v>500</v>
      </c>
      <c r="E323" t="s">
        <v>576</v>
      </c>
      <c r="F323">
        <v>500</v>
      </c>
    </row>
    <row r="324" spans="1:6" ht="15" customHeight="1" x14ac:dyDescent="0.25">
      <c r="A324" t="s">
        <v>898</v>
      </c>
      <c r="B324">
        <v>1268</v>
      </c>
      <c r="C324" t="s">
        <v>31</v>
      </c>
      <c r="D324">
        <v>500</v>
      </c>
      <c r="E324" t="s">
        <v>576</v>
      </c>
      <c r="F324">
        <v>500</v>
      </c>
    </row>
    <row r="325" spans="1:6" ht="15" customHeight="1" x14ac:dyDescent="0.25">
      <c r="A325" t="s">
        <v>899</v>
      </c>
      <c r="B325">
        <v>1268</v>
      </c>
      <c r="C325" t="s">
        <v>32</v>
      </c>
      <c r="D325">
        <v>500</v>
      </c>
      <c r="E325" t="s">
        <v>576</v>
      </c>
      <c r="F325">
        <v>500</v>
      </c>
    </row>
    <row r="326" spans="1:6" ht="15" customHeight="1" x14ac:dyDescent="0.25">
      <c r="A326" t="s">
        <v>900</v>
      </c>
      <c r="B326">
        <v>1268</v>
      </c>
      <c r="C326" t="s">
        <v>33</v>
      </c>
      <c r="D326">
        <v>500</v>
      </c>
      <c r="E326" t="s">
        <v>576</v>
      </c>
      <c r="F326">
        <v>500</v>
      </c>
    </row>
    <row r="327" spans="1:6" ht="15" customHeight="1" x14ac:dyDescent="0.25">
      <c r="A327" t="s">
        <v>901</v>
      </c>
      <c r="B327">
        <v>1268</v>
      </c>
      <c r="C327" t="s">
        <v>34</v>
      </c>
      <c r="D327">
        <v>500</v>
      </c>
      <c r="E327" t="s">
        <v>576</v>
      </c>
      <c r="F327">
        <v>500</v>
      </c>
    </row>
    <row r="328" spans="1:6" ht="15" customHeight="1" x14ac:dyDescent="0.25">
      <c r="A328" t="s">
        <v>902</v>
      </c>
      <c r="B328">
        <v>1268</v>
      </c>
      <c r="C328" t="s">
        <v>35</v>
      </c>
      <c r="D328">
        <v>500</v>
      </c>
      <c r="E328" t="s">
        <v>576</v>
      </c>
      <c r="F328">
        <v>500</v>
      </c>
    </row>
    <row r="329" spans="1:6" ht="15" customHeight="1" x14ac:dyDescent="0.25">
      <c r="A329" t="s">
        <v>903</v>
      </c>
      <c r="B329">
        <v>1268</v>
      </c>
      <c r="C329" t="s">
        <v>36</v>
      </c>
      <c r="D329">
        <v>500</v>
      </c>
      <c r="E329" t="s">
        <v>576</v>
      </c>
      <c r="F329">
        <v>500</v>
      </c>
    </row>
    <row r="330" spans="1:6" ht="15" customHeight="1" x14ac:dyDescent="0.25">
      <c r="A330" t="s">
        <v>904</v>
      </c>
      <c r="B330">
        <v>1268</v>
      </c>
      <c r="C330" t="s">
        <v>37</v>
      </c>
      <c r="D330">
        <v>500</v>
      </c>
      <c r="E330" t="s">
        <v>576</v>
      </c>
      <c r="F330">
        <v>500</v>
      </c>
    </row>
    <row r="331" spans="1:6" ht="15" customHeight="1" x14ac:dyDescent="0.25">
      <c r="A331" t="s">
        <v>905</v>
      </c>
      <c r="B331">
        <v>1268</v>
      </c>
      <c r="C331" t="s">
        <v>38</v>
      </c>
      <c r="D331">
        <v>500</v>
      </c>
      <c r="E331" t="s">
        <v>576</v>
      </c>
      <c r="F331">
        <v>500</v>
      </c>
    </row>
    <row r="332" spans="1:6" ht="15" customHeight="1" x14ac:dyDescent="0.25">
      <c r="A332" t="s">
        <v>906</v>
      </c>
      <c r="B332">
        <v>1268</v>
      </c>
      <c r="C332" t="s">
        <v>39</v>
      </c>
      <c r="D332">
        <v>500</v>
      </c>
      <c r="E332" t="s">
        <v>576</v>
      </c>
      <c r="F332">
        <v>500</v>
      </c>
    </row>
    <row r="333" spans="1:6" ht="15" customHeight="1" x14ac:dyDescent="0.25">
      <c r="A333" t="s">
        <v>907</v>
      </c>
      <c r="B333">
        <v>1268</v>
      </c>
      <c r="C333" t="s">
        <v>40</v>
      </c>
      <c r="D333">
        <v>500</v>
      </c>
      <c r="E333" t="s">
        <v>576</v>
      </c>
      <c r="F333">
        <v>500</v>
      </c>
    </row>
    <row r="334" spans="1:6" ht="15" customHeight="1" x14ac:dyDescent="0.25">
      <c r="A334" t="s">
        <v>908</v>
      </c>
      <c r="B334">
        <v>1268</v>
      </c>
      <c r="C334" t="s">
        <v>41</v>
      </c>
      <c r="D334">
        <v>500</v>
      </c>
      <c r="E334" t="s">
        <v>576</v>
      </c>
      <c r="F334">
        <v>500</v>
      </c>
    </row>
    <row r="335" spans="1:6" ht="15" customHeight="1" x14ac:dyDescent="0.25">
      <c r="A335" t="s">
        <v>909</v>
      </c>
      <c r="B335">
        <v>1273</v>
      </c>
      <c r="C335" t="s">
        <v>34</v>
      </c>
      <c r="D335">
        <v>200</v>
      </c>
      <c r="E335" t="s">
        <v>576</v>
      </c>
      <c r="F335">
        <v>200</v>
      </c>
    </row>
    <row r="336" spans="1:6" ht="15" customHeight="1" x14ac:dyDescent="0.25">
      <c r="A336" t="s">
        <v>910</v>
      </c>
      <c r="B336">
        <v>1273</v>
      </c>
      <c r="C336" t="s">
        <v>35</v>
      </c>
      <c r="D336">
        <v>200</v>
      </c>
      <c r="E336" t="s">
        <v>576</v>
      </c>
      <c r="F336">
        <v>200</v>
      </c>
    </row>
    <row r="337" spans="1:6" ht="15" customHeight="1" x14ac:dyDescent="0.25">
      <c r="A337" t="s">
        <v>911</v>
      </c>
      <c r="B337">
        <v>1273</v>
      </c>
      <c r="C337" t="s">
        <v>36</v>
      </c>
      <c r="D337">
        <v>200</v>
      </c>
      <c r="E337" t="s">
        <v>576</v>
      </c>
      <c r="F337">
        <v>200</v>
      </c>
    </row>
    <row r="338" spans="1:6" ht="15" customHeight="1" x14ac:dyDescent="0.25">
      <c r="A338" t="s">
        <v>912</v>
      </c>
      <c r="B338">
        <v>1273</v>
      </c>
      <c r="C338" t="s">
        <v>37</v>
      </c>
      <c r="D338">
        <v>200</v>
      </c>
      <c r="E338" t="s">
        <v>576</v>
      </c>
      <c r="F338">
        <v>200</v>
      </c>
    </row>
    <row r="339" spans="1:6" ht="15" customHeight="1" x14ac:dyDescent="0.25">
      <c r="A339" t="s">
        <v>913</v>
      </c>
      <c r="B339">
        <v>1273</v>
      </c>
      <c r="C339" t="s">
        <v>38</v>
      </c>
      <c r="D339">
        <v>200</v>
      </c>
      <c r="E339" t="s">
        <v>576</v>
      </c>
      <c r="F339">
        <v>200</v>
      </c>
    </row>
    <row r="340" spans="1:6" ht="15" customHeight="1" x14ac:dyDescent="0.25">
      <c r="A340" t="s">
        <v>914</v>
      </c>
      <c r="B340">
        <v>1273</v>
      </c>
      <c r="C340" t="s">
        <v>39</v>
      </c>
      <c r="D340">
        <v>200</v>
      </c>
      <c r="E340" t="s">
        <v>576</v>
      </c>
      <c r="F340">
        <v>200</v>
      </c>
    </row>
    <row r="341" spans="1:6" ht="15" customHeight="1" x14ac:dyDescent="0.25">
      <c r="A341" t="s">
        <v>915</v>
      </c>
      <c r="B341">
        <v>1273</v>
      </c>
      <c r="C341" t="s">
        <v>40</v>
      </c>
      <c r="D341">
        <v>200</v>
      </c>
      <c r="E341" t="s">
        <v>576</v>
      </c>
      <c r="F341">
        <v>200</v>
      </c>
    </row>
    <row r="342" spans="1:6" ht="15" customHeight="1" x14ac:dyDescent="0.25">
      <c r="A342" t="s">
        <v>916</v>
      </c>
      <c r="B342">
        <v>1276</v>
      </c>
      <c r="C342" t="s">
        <v>38</v>
      </c>
      <c r="D342">
        <v>200</v>
      </c>
      <c r="E342" t="s">
        <v>576</v>
      </c>
      <c r="F342">
        <v>200</v>
      </c>
    </row>
    <row r="343" spans="1:6" ht="15" customHeight="1" x14ac:dyDescent="0.25">
      <c r="A343" t="s">
        <v>917</v>
      </c>
      <c r="B343">
        <v>1276</v>
      </c>
      <c r="C343" t="s">
        <v>39</v>
      </c>
      <c r="D343">
        <v>200</v>
      </c>
      <c r="E343" t="s">
        <v>576</v>
      </c>
      <c r="F343">
        <v>200</v>
      </c>
    </row>
    <row r="344" spans="1:6" ht="15" customHeight="1" x14ac:dyDescent="0.25">
      <c r="A344" t="s">
        <v>918</v>
      </c>
      <c r="B344">
        <v>1277</v>
      </c>
      <c r="C344" t="s">
        <v>42</v>
      </c>
      <c r="D344">
        <v>500</v>
      </c>
      <c r="E344" t="s">
        <v>576</v>
      </c>
      <c r="F344">
        <v>500</v>
      </c>
    </row>
    <row r="345" spans="1:6" ht="15" customHeight="1" x14ac:dyDescent="0.25">
      <c r="A345" t="s">
        <v>919</v>
      </c>
      <c r="B345">
        <v>1278</v>
      </c>
      <c r="C345" t="s">
        <v>40</v>
      </c>
      <c r="D345">
        <v>500</v>
      </c>
      <c r="E345" t="s">
        <v>576</v>
      </c>
      <c r="F345">
        <v>500</v>
      </c>
    </row>
    <row r="346" spans="1:6" ht="15" customHeight="1" x14ac:dyDescent="0.25">
      <c r="A346" t="s">
        <v>920</v>
      </c>
      <c r="B346">
        <v>1278</v>
      </c>
      <c r="C346" t="s">
        <v>41</v>
      </c>
      <c r="D346">
        <v>500</v>
      </c>
      <c r="E346" t="s">
        <v>576</v>
      </c>
      <c r="F346">
        <v>500</v>
      </c>
    </row>
    <row r="347" spans="1:6" ht="15" customHeight="1" x14ac:dyDescent="0.25">
      <c r="A347" t="s">
        <v>921</v>
      </c>
      <c r="B347">
        <v>1282</v>
      </c>
      <c r="C347" t="s">
        <v>27</v>
      </c>
      <c r="D347">
        <v>200</v>
      </c>
      <c r="E347" t="s">
        <v>576</v>
      </c>
      <c r="F347">
        <v>200</v>
      </c>
    </row>
    <row r="348" spans="1:6" ht="15" customHeight="1" x14ac:dyDescent="0.25">
      <c r="A348" t="s">
        <v>922</v>
      </c>
      <c r="B348">
        <v>1282</v>
      </c>
      <c r="C348" t="s">
        <v>28</v>
      </c>
      <c r="D348">
        <v>200</v>
      </c>
      <c r="E348" t="s">
        <v>576</v>
      </c>
      <c r="F348">
        <v>200</v>
      </c>
    </row>
    <row r="349" spans="1:6" ht="15" customHeight="1" x14ac:dyDescent="0.25">
      <c r="A349" t="s">
        <v>923</v>
      </c>
      <c r="B349">
        <v>1282</v>
      </c>
      <c r="C349" t="s">
        <v>29</v>
      </c>
      <c r="D349">
        <v>200</v>
      </c>
      <c r="E349" t="s">
        <v>576</v>
      </c>
      <c r="F349">
        <v>200</v>
      </c>
    </row>
    <row r="350" spans="1:6" ht="15" customHeight="1" x14ac:dyDescent="0.25">
      <c r="A350" t="s">
        <v>924</v>
      </c>
      <c r="B350">
        <v>1282</v>
      </c>
      <c r="C350" t="s">
        <v>30</v>
      </c>
      <c r="D350">
        <v>200</v>
      </c>
      <c r="E350" t="s">
        <v>576</v>
      </c>
      <c r="F350">
        <v>200</v>
      </c>
    </row>
    <row r="351" spans="1:6" ht="15" customHeight="1" x14ac:dyDescent="0.25">
      <c r="A351" t="s">
        <v>925</v>
      </c>
      <c r="B351">
        <v>1282</v>
      </c>
      <c r="C351" t="s">
        <v>31</v>
      </c>
      <c r="D351">
        <v>200</v>
      </c>
      <c r="E351" t="s">
        <v>576</v>
      </c>
      <c r="F351">
        <v>200</v>
      </c>
    </row>
    <row r="352" spans="1:6" ht="15" customHeight="1" x14ac:dyDescent="0.25">
      <c r="A352" t="s">
        <v>926</v>
      </c>
      <c r="B352">
        <v>1282</v>
      </c>
      <c r="C352" t="s">
        <v>32</v>
      </c>
      <c r="D352">
        <v>200</v>
      </c>
      <c r="E352" t="s">
        <v>576</v>
      </c>
      <c r="F352">
        <v>200</v>
      </c>
    </row>
    <row r="353" spans="1:6" ht="15" customHeight="1" x14ac:dyDescent="0.25">
      <c r="A353" t="s">
        <v>927</v>
      </c>
      <c r="B353">
        <v>1282</v>
      </c>
      <c r="C353" t="s">
        <v>33</v>
      </c>
      <c r="D353">
        <v>200</v>
      </c>
      <c r="E353" t="s">
        <v>576</v>
      </c>
      <c r="F353">
        <v>200</v>
      </c>
    </row>
    <row r="354" spans="1:6" ht="15" customHeight="1" x14ac:dyDescent="0.25">
      <c r="A354" t="s">
        <v>928</v>
      </c>
      <c r="B354">
        <v>1282</v>
      </c>
      <c r="C354" t="s">
        <v>34</v>
      </c>
      <c r="D354">
        <v>200</v>
      </c>
      <c r="E354" t="s">
        <v>576</v>
      </c>
      <c r="F354">
        <v>200</v>
      </c>
    </row>
    <row r="355" spans="1:6" ht="15" customHeight="1" x14ac:dyDescent="0.25">
      <c r="A355" t="s">
        <v>929</v>
      </c>
      <c r="B355">
        <v>1282</v>
      </c>
      <c r="C355" t="s">
        <v>35</v>
      </c>
      <c r="D355">
        <v>200</v>
      </c>
      <c r="E355" t="s">
        <v>576</v>
      </c>
      <c r="F355">
        <v>200</v>
      </c>
    </row>
    <row r="356" spans="1:6" ht="15" customHeight="1" x14ac:dyDescent="0.25">
      <c r="A356" t="s">
        <v>930</v>
      </c>
      <c r="B356">
        <v>1282</v>
      </c>
      <c r="C356" t="s">
        <v>36</v>
      </c>
      <c r="D356">
        <v>200</v>
      </c>
      <c r="E356" t="s">
        <v>576</v>
      </c>
      <c r="F356">
        <v>200</v>
      </c>
    </row>
    <row r="357" spans="1:6" ht="15" customHeight="1" x14ac:dyDescent="0.25">
      <c r="A357" t="s">
        <v>931</v>
      </c>
      <c r="B357">
        <v>1282</v>
      </c>
      <c r="C357" t="s">
        <v>37</v>
      </c>
      <c r="D357">
        <v>200</v>
      </c>
      <c r="E357" t="s">
        <v>576</v>
      </c>
      <c r="F357">
        <v>200</v>
      </c>
    </row>
    <row r="358" spans="1:6" ht="15" customHeight="1" x14ac:dyDescent="0.25">
      <c r="A358" t="s">
        <v>932</v>
      </c>
      <c r="B358">
        <v>1282</v>
      </c>
      <c r="C358" t="s">
        <v>38</v>
      </c>
      <c r="D358">
        <v>200</v>
      </c>
      <c r="E358" t="s">
        <v>576</v>
      </c>
      <c r="F358">
        <v>200</v>
      </c>
    </row>
    <row r="359" spans="1:6" ht="15" customHeight="1" x14ac:dyDescent="0.25">
      <c r="A359" t="s">
        <v>933</v>
      </c>
      <c r="B359">
        <v>1282</v>
      </c>
      <c r="C359" t="s">
        <v>39</v>
      </c>
      <c r="D359">
        <v>200</v>
      </c>
      <c r="E359" t="s">
        <v>576</v>
      </c>
      <c r="F359">
        <v>200</v>
      </c>
    </row>
    <row r="360" spans="1:6" ht="15" customHeight="1" x14ac:dyDescent="0.25">
      <c r="A360" t="s">
        <v>934</v>
      </c>
      <c r="B360">
        <v>1282</v>
      </c>
      <c r="C360" t="s">
        <v>40</v>
      </c>
      <c r="D360">
        <v>200</v>
      </c>
      <c r="E360" t="s">
        <v>576</v>
      </c>
      <c r="F360">
        <v>200</v>
      </c>
    </row>
    <row r="361" spans="1:6" ht="15" customHeight="1" x14ac:dyDescent="0.25">
      <c r="A361" t="s">
        <v>935</v>
      </c>
      <c r="B361">
        <v>1282</v>
      </c>
      <c r="C361" t="s">
        <v>41</v>
      </c>
      <c r="D361">
        <v>200</v>
      </c>
      <c r="E361" t="s">
        <v>576</v>
      </c>
      <c r="F361">
        <v>200</v>
      </c>
    </row>
    <row r="362" spans="1:6" ht="15" customHeight="1" x14ac:dyDescent="0.25">
      <c r="A362" t="s">
        <v>936</v>
      </c>
      <c r="B362">
        <v>1282</v>
      </c>
      <c r="C362" t="s">
        <v>42</v>
      </c>
      <c r="D362">
        <v>200</v>
      </c>
      <c r="E362" t="s">
        <v>576</v>
      </c>
      <c r="F362">
        <v>200</v>
      </c>
    </row>
    <row r="363" spans="1:6" ht="15" customHeight="1" x14ac:dyDescent="0.25">
      <c r="A363" t="s">
        <v>937</v>
      </c>
      <c r="B363">
        <v>1287</v>
      </c>
      <c r="C363" t="s">
        <v>38</v>
      </c>
      <c r="D363">
        <v>50</v>
      </c>
      <c r="E363" t="s">
        <v>576</v>
      </c>
      <c r="F363">
        <v>50</v>
      </c>
    </row>
    <row r="364" spans="1:6" ht="15" customHeight="1" x14ac:dyDescent="0.25">
      <c r="A364" t="s">
        <v>938</v>
      </c>
      <c r="B364">
        <v>1287</v>
      </c>
      <c r="C364" t="s">
        <v>39</v>
      </c>
      <c r="D364">
        <v>50</v>
      </c>
      <c r="E364" t="s">
        <v>576</v>
      </c>
      <c r="F364">
        <v>50</v>
      </c>
    </row>
    <row r="365" spans="1:6" ht="15" customHeight="1" x14ac:dyDescent="0.25">
      <c r="A365" t="s">
        <v>939</v>
      </c>
      <c r="B365">
        <v>1287</v>
      </c>
      <c r="C365" t="s">
        <v>40</v>
      </c>
      <c r="D365">
        <v>50</v>
      </c>
      <c r="E365" t="s">
        <v>576</v>
      </c>
      <c r="F365">
        <v>50</v>
      </c>
    </row>
    <row r="366" spans="1:6" ht="15" customHeight="1" x14ac:dyDescent="0.25">
      <c r="A366" t="s">
        <v>940</v>
      </c>
      <c r="B366">
        <v>1291</v>
      </c>
      <c r="C366" t="s">
        <v>31</v>
      </c>
      <c r="D366">
        <v>50</v>
      </c>
      <c r="E366" t="s">
        <v>576</v>
      </c>
      <c r="F366">
        <v>50</v>
      </c>
    </row>
    <row r="367" spans="1:6" ht="15" customHeight="1" x14ac:dyDescent="0.25">
      <c r="A367" t="s">
        <v>941</v>
      </c>
      <c r="B367">
        <v>1291</v>
      </c>
      <c r="C367" t="s">
        <v>32</v>
      </c>
      <c r="D367">
        <v>50</v>
      </c>
      <c r="E367" t="s">
        <v>576</v>
      </c>
      <c r="F367">
        <v>50</v>
      </c>
    </row>
    <row r="368" spans="1:6" ht="15" customHeight="1" x14ac:dyDescent="0.25">
      <c r="A368" t="s">
        <v>942</v>
      </c>
      <c r="B368">
        <v>1292</v>
      </c>
      <c r="C368" t="s">
        <v>28</v>
      </c>
      <c r="D368">
        <v>50</v>
      </c>
      <c r="E368" t="s">
        <v>576</v>
      </c>
      <c r="F368">
        <v>50</v>
      </c>
    </row>
    <row r="369" spans="1:6" ht="15" customHeight="1" x14ac:dyDescent="0.25">
      <c r="A369" t="s">
        <v>943</v>
      </c>
      <c r="B369">
        <v>1292</v>
      </c>
      <c r="C369" t="s">
        <v>29</v>
      </c>
      <c r="D369">
        <v>50</v>
      </c>
      <c r="E369" t="s">
        <v>576</v>
      </c>
      <c r="F369">
        <v>50</v>
      </c>
    </row>
    <row r="370" spans="1:6" ht="15" customHeight="1" x14ac:dyDescent="0.25">
      <c r="A370" t="s">
        <v>944</v>
      </c>
      <c r="B370">
        <v>1292</v>
      </c>
      <c r="C370" t="s">
        <v>30</v>
      </c>
      <c r="D370">
        <v>50</v>
      </c>
      <c r="E370" t="s">
        <v>576</v>
      </c>
      <c r="F370">
        <v>50</v>
      </c>
    </row>
    <row r="371" spans="1:6" ht="15" customHeight="1" x14ac:dyDescent="0.25">
      <c r="A371" t="s">
        <v>945</v>
      </c>
      <c r="B371">
        <v>1292</v>
      </c>
      <c r="C371" t="s">
        <v>31</v>
      </c>
      <c r="D371">
        <v>50</v>
      </c>
      <c r="E371" t="s">
        <v>576</v>
      </c>
      <c r="F371">
        <v>50</v>
      </c>
    </row>
    <row r="372" spans="1:6" ht="15" customHeight="1" x14ac:dyDescent="0.25">
      <c r="A372" t="s">
        <v>946</v>
      </c>
      <c r="B372">
        <v>1294</v>
      </c>
      <c r="C372" t="s">
        <v>27</v>
      </c>
      <c r="D372">
        <v>500</v>
      </c>
      <c r="E372" t="s">
        <v>576</v>
      </c>
      <c r="F372">
        <v>500</v>
      </c>
    </row>
    <row r="373" spans="1:6" ht="15" customHeight="1" x14ac:dyDescent="0.25">
      <c r="A373" t="s">
        <v>947</v>
      </c>
      <c r="B373">
        <v>1294</v>
      </c>
      <c r="C373" t="s">
        <v>28</v>
      </c>
      <c r="D373">
        <v>500</v>
      </c>
      <c r="E373" t="s">
        <v>576</v>
      </c>
      <c r="F373">
        <v>500</v>
      </c>
    </row>
    <row r="374" spans="1:6" ht="15" customHeight="1" x14ac:dyDescent="0.25">
      <c r="A374" t="s">
        <v>948</v>
      </c>
      <c r="B374">
        <v>1294</v>
      </c>
      <c r="C374" t="s">
        <v>29</v>
      </c>
      <c r="D374">
        <v>500</v>
      </c>
      <c r="E374" t="s">
        <v>576</v>
      </c>
      <c r="F374">
        <v>500</v>
      </c>
    </row>
    <row r="375" spans="1:6" ht="15" customHeight="1" x14ac:dyDescent="0.25">
      <c r="A375" t="s">
        <v>949</v>
      </c>
      <c r="B375">
        <v>1294</v>
      </c>
      <c r="C375" t="s">
        <v>30</v>
      </c>
      <c r="D375">
        <v>500</v>
      </c>
      <c r="E375" t="s">
        <v>576</v>
      </c>
      <c r="F375">
        <v>500</v>
      </c>
    </row>
    <row r="376" spans="1:6" ht="15" customHeight="1" x14ac:dyDescent="0.25">
      <c r="A376" t="s">
        <v>950</v>
      </c>
      <c r="B376">
        <v>1294</v>
      </c>
      <c r="C376" t="s">
        <v>31</v>
      </c>
      <c r="D376">
        <v>500</v>
      </c>
      <c r="E376" t="s">
        <v>576</v>
      </c>
      <c r="F376">
        <v>500</v>
      </c>
    </row>
    <row r="377" spans="1:6" ht="15" customHeight="1" x14ac:dyDescent="0.25">
      <c r="A377" t="s">
        <v>951</v>
      </c>
      <c r="B377">
        <v>1294</v>
      </c>
      <c r="C377" t="s">
        <v>32</v>
      </c>
      <c r="D377">
        <v>500</v>
      </c>
      <c r="E377" t="s">
        <v>576</v>
      </c>
      <c r="F377">
        <v>500</v>
      </c>
    </row>
    <row r="378" spans="1:6" ht="15" customHeight="1" x14ac:dyDescent="0.25">
      <c r="A378" t="s">
        <v>952</v>
      </c>
      <c r="B378">
        <v>1294</v>
      </c>
      <c r="C378" t="s">
        <v>33</v>
      </c>
      <c r="D378">
        <v>500</v>
      </c>
      <c r="E378" t="s">
        <v>576</v>
      </c>
      <c r="F378">
        <v>500</v>
      </c>
    </row>
    <row r="379" spans="1:6" ht="15" customHeight="1" x14ac:dyDescent="0.25">
      <c r="A379" t="s">
        <v>953</v>
      </c>
      <c r="B379">
        <v>1294</v>
      </c>
      <c r="C379" t="s">
        <v>34</v>
      </c>
      <c r="D379">
        <v>500</v>
      </c>
      <c r="E379" t="s">
        <v>576</v>
      </c>
      <c r="F379">
        <v>500</v>
      </c>
    </row>
    <row r="380" spans="1:6" ht="15" customHeight="1" x14ac:dyDescent="0.25">
      <c r="A380" t="s">
        <v>954</v>
      </c>
      <c r="B380">
        <v>1294</v>
      </c>
      <c r="C380" t="s">
        <v>35</v>
      </c>
      <c r="D380">
        <v>500</v>
      </c>
      <c r="E380" t="s">
        <v>576</v>
      </c>
      <c r="F380">
        <v>500</v>
      </c>
    </row>
    <row r="381" spans="1:6" ht="15" customHeight="1" x14ac:dyDescent="0.25">
      <c r="A381" t="s">
        <v>955</v>
      </c>
      <c r="B381">
        <v>1294</v>
      </c>
      <c r="C381" t="s">
        <v>36</v>
      </c>
      <c r="D381">
        <v>500</v>
      </c>
      <c r="E381" t="s">
        <v>576</v>
      </c>
      <c r="F381">
        <v>500</v>
      </c>
    </row>
    <row r="382" spans="1:6" ht="15" customHeight="1" x14ac:dyDescent="0.25">
      <c r="A382" t="s">
        <v>956</v>
      </c>
      <c r="B382">
        <v>1294</v>
      </c>
      <c r="C382" t="s">
        <v>37</v>
      </c>
      <c r="D382">
        <v>500</v>
      </c>
      <c r="E382" t="s">
        <v>576</v>
      </c>
      <c r="F382">
        <v>500</v>
      </c>
    </row>
    <row r="383" spans="1:6" ht="15" customHeight="1" x14ac:dyDescent="0.25">
      <c r="A383" t="s">
        <v>957</v>
      </c>
      <c r="B383">
        <v>1294</v>
      </c>
      <c r="C383" t="s">
        <v>38</v>
      </c>
      <c r="D383">
        <v>500</v>
      </c>
      <c r="E383" t="s">
        <v>576</v>
      </c>
      <c r="F383">
        <v>500</v>
      </c>
    </row>
    <row r="384" spans="1:6" ht="15" customHeight="1" x14ac:dyDescent="0.25">
      <c r="A384" t="s">
        <v>958</v>
      </c>
      <c r="B384">
        <v>1294</v>
      </c>
      <c r="C384" t="s">
        <v>39</v>
      </c>
      <c r="D384">
        <v>500</v>
      </c>
      <c r="E384" t="s">
        <v>576</v>
      </c>
      <c r="F384">
        <v>500</v>
      </c>
    </row>
    <row r="385" spans="1:6" ht="15" customHeight="1" x14ac:dyDescent="0.25">
      <c r="A385" t="s">
        <v>959</v>
      </c>
      <c r="B385">
        <v>1294</v>
      </c>
      <c r="C385" t="s">
        <v>40</v>
      </c>
      <c r="D385">
        <v>500</v>
      </c>
      <c r="E385" t="s">
        <v>576</v>
      </c>
      <c r="F385">
        <v>500</v>
      </c>
    </row>
    <row r="386" spans="1:6" ht="15" customHeight="1" x14ac:dyDescent="0.25">
      <c r="A386" t="s">
        <v>960</v>
      </c>
      <c r="B386">
        <v>1294</v>
      </c>
      <c r="C386" t="s">
        <v>41</v>
      </c>
      <c r="D386">
        <v>500</v>
      </c>
      <c r="E386" t="s">
        <v>576</v>
      </c>
      <c r="F386">
        <v>500</v>
      </c>
    </row>
    <row r="387" spans="1:6" ht="15" customHeight="1" x14ac:dyDescent="0.25">
      <c r="A387" t="s">
        <v>961</v>
      </c>
      <c r="B387">
        <v>1308</v>
      </c>
      <c r="C387" t="s">
        <v>29</v>
      </c>
      <c r="D387">
        <v>50</v>
      </c>
      <c r="E387" t="s">
        <v>576</v>
      </c>
      <c r="F387">
        <v>50</v>
      </c>
    </row>
    <row r="388" spans="1:6" ht="15" customHeight="1" x14ac:dyDescent="0.25">
      <c r="A388" t="s">
        <v>962</v>
      </c>
      <c r="B388">
        <v>1308</v>
      </c>
      <c r="C388" t="s">
        <v>30</v>
      </c>
      <c r="D388">
        <v>50</v>
      </c>
      <c r="E388" t="s">
        <v>576</v>
      </c>
      <c r="F388">
        <v>50</v>
      </c>
    </row>
    <row r="389" spans="1:6" ht="15" customHeight="1" x14ac:dyDescent="0.25">
      <c r="A389" t="s">
        <v>963</v>
      </c>
      <c r="B389">
        <v>1308</v>
      </c>
      <c r="C389" t="s">
        <v>31</v>
      </c>
      <c r="D389">
        <v>50</v>
      </c>
      <c r="E389" t="s">
        <v>576</v>
      </c>
      <c r="F389">
        <v>50</v>
      </c>
    </row>
    <row r="390" spans="1:6" ht="15" customHeight="1" x14ac:dyDescent="0.25">
      <c r="A390" t="s">
        <v>964</v>
      </c>
      <c r="B390">
        <v>1308</v>
      </c>
      <c r="C390" t="s">
        <v>32</v>
      </c>
      <c r="D390">
        <v>50</v>
      </c>
      <c r="E390" t="s">
        <v>576</v>
      </c>
      <c r="F390">
        <v>50</v>
      </c>
    </row>
    <row r="391" spans="1:6" ht="15" customHeight="1" x14ac:dyDescent="0.25">
      <c r="A391" t="s">
        <v>965</v>
      </c>
      <c r="B391">
        <v>1308</v>
      </c>
      <c r="C391" t="s">
        <v>33</v>
      </c>
      <c r="D391">
        <v>50</v>
      </c>
      <c r="E391" t="s">
        <v>576</v>
      </c>
      <c r="F391">
        <v>50</v>
      </c>
    </row>
    <row r="392" spans="1:6" ht="15" customHeight="1" x14ac:dyDescent="0.25">
      <c r="A392" t="s">
        <v>966</v>
      </c>
      <c r="B392">
        <v>1308</v>
      </c>
      <c r="C392" t="s">
        <v>34</v>
      </c>
      <c r="D392">
        <v>50</v>
      </c>
      <c r="E392" t="s">
        <v>576</v>
      </c>
      <c r="F392">
        <v>50</v>
      </c>
    </row>
    <row r="393" spans="1:6" ht="15" customHeight="1" x14ac:dyDescent="0.25">
      <c r="A393" t="s">
        <v>967</v>
      </c>
      <c r="B393">
        <v>1308</v>
      </c>
      <c r="C393" t="s">
        <v>35</v>
      </c>
      <c r="D393">
        <v>50</v>
      </c>
      <c r="E393" t="s">
        <v>576</v>
      </c>
      <c r="F393">
        <v>50</v>
      </c>
    </row>
    <row r="394" spans="1:6" ht="15" customHeight="1" x14ac:dyDescent="0.25">
      <c r="A394" t="s">
        <v>968</v>
      </c>
      <c r="B394">
        <v>1308</v>
      </c>
      <c r="C394" t="s">
        <v>36</v>
      </c>
      <c r="D394">
        <v>50</v>
      </c>
      <c r="E394" t="s">
        <v>576</v>
      </c>
      <c r="F394">
        <v>50</v>
      </c>
    </row>
    <row r="395" spans="1:6" ht="15" customHeight="1" x14ac:dyDescent="0.25">
      <c r="A395" t="s">
        <v>969</v>
      </c>
      <c r="B395">
        <v>1308</v>
      </c>
      <c r="C395" t="s">
        <v>37</v>
      </c>
      <c r="D395">
        <v>50</v>
      </c>
      <c r="E395" t="s">
        <v>576</v>
      </c>
      <c r="F395">
        <v>50</v>
      </c>
    </row>
    <row r="396" spans="1:6" ht="15" customHeight="1" x14ac:dyDescent="0.25">
      <c r="A396" t="s">
        <v>970</v>
      </c>
      <c r="B396">
        <v>1308</v>
      </c>
      <c r="C396" t="s">
        <v>38</v>
      </c>
      <c r="D396">
        <v>50</v>
      </c>
      <c r="E396" t="s">
        <v>576</v>
      </c>
      <c r="F396">
        <v>50</v>
      </c>
    </row>
    <row r="397" spans="1:6" ht="15" customHeight="1" x14ac:dyDescent="0.25">
      <c r="A397" t="s">
        <v>971</v>
      </c>
      <c r="B397">
        <v>1308</v>
      </c>
      <c r="C397" t="s">
        <v>39</v>
      </c>
      <c r="D397">
        <v>50</v>
      </c>
      <c r="E397" t="s">
        <v>576</v>
      </c>
      <c r="F397">
        <v>50</v>
      </c>
    </row>
    <row r="398" spans="1:6" ht="15" customHeight="1" x14ac:dyDescent="0.25">
      <c r="A398" t="s">
        <v>972</v>
      </c>
      <c r="B398">
        <v>1309</v>
      </c>
      <c r="C398" t="s">
        <v>32</v>
      </c>
      <c r="D398">
        <v>50</v>
      </c>
      <c r="E398" t="s">
        <v>576</v>
      </c>
      <c r="F398">
        <v>50</v>
      </c>
    </row>
    <row r="399" spans="1:6" ht="15" customHeight="1" x14ac:dyDescent="0.25">
      <c r="A399" t="s">
        <v>973</v>
      </c>
      <c r="B399">
        <v>1309</v>
      </c>
      <c r="C399" t="s">
        <v>33</v>
      </c>
      <c r="D399">
        <v>50</v>
      </c>
      <c r="E399" t="s">
        <v>576</v>
      </c>
      <c r="F399">
        <v>50</v>
      </c>
    </row>
    <row r="400" spans="1:6" ht="15" customHeight="1" x14ac:dyDescent="0.25">
      <c r="A400" t="s">
        <v>974</v>
      </c>
      <c r="B400">
        <v>1309</v>
      </c>
      <c r="C400" t="s">
        <v>34</v>
      </c>
      <c r="D400">
        <v>50</v>
      </c>
      <c r="E400" t="s">
        <v>576</v>
      </c>
      <c r="F400">
        <v>50</v>
      </c>
    </row>
    <row r="401" spans="1:6" ht="15" customHeight="1" x14ac:dyDescent="0.25">
      <c r="A401" t="s">
        <v>975</v>
      </c>
      <c r="B401">
        <v>1312</v>
      </c>
      <c r="C401" t="s">
        <v>35</v>
      </c>
      <c r="D401">
        <v>50</v>
      </c>
      <c r="E401" t="s">
        <v>576</v>
      </c>
      <c r="F401">
        <v>50</v>
      </c>
    </row>
    <row r="402" spans="1:6" ht="15" customHeight="1" x14ac:dyDescent="0.25">
      <c r="A402" t="s">
        <v>976</v>
      </c>
      <c r="B402">
        <v>1312</v>
      </c>
      <c r="C402" t="s">
        <v>36</v>
      </c>
      <c r="D402">
        <v>50</v>
      </c>
      <c r="E402" t="s">
        <v>576</v>
      </c>
      <c r="F402">
        <v>50</v>
      </c>
    </row>
    <row r="403" spans="1:6" ht="15" customHeight="1" x14ac:dyDescent="0.25">
      <c r="A403" t="s">
        <v>977</v>
      </c>
      <c r="B403">
        <v>1312</v>
      </c>
      <c r="C403" t="s">
        <v>37</v>
      </c>
      <c r="D403">
        <v>50</v>
      </c>
      <c r="E403" t="s">
        <v>576</v>
      </c>
      <c r="F403">
        <v>50</v>
      </c>
    </row>
    <row r="404" spans="1:6" ht="15" customHeight="1" x14ac:dyDescent="0.25">
      <c r="A404" t="s">
        <v>978</v>
      </c>
      <c r="B404">
        <v>1312</v>
      </c>
      <c r="C404" t="s">
        <v>38</v>
      </c>
      <c r="D404">
        <v>50</v>
      </c>
      <c r="E404" t="s">
        <v>576</v>
      </c>
      <c r="F404">
        <v>50</v>
      </c>
    </row>
    <row r="405" spans="1:6" ht="15" customHeight="1" x14ac:dyDescent="0.25">
      <c r="A405" t="s">
        <v>979</v>
      </c>
      <c r="B405">
        <v>1313</v>
      </c>
      <c r="C405" t="s">
        <v>26</v>
      </c>
      <c r="D405">
        <v>500</v>
      </c>
      <c r="E405" t="s">
        <v>576</v>
      </c>
      <c r="F405">
        <v>500</v>
      </c>
    </row>
    <row r="406" spans="1:6" ht="15" customHeight="1" x14ac:dyDescent="0.25">
      <c r="A406" t="s">
        <v>980</v>
      </c>
      <c r="B406">
        <v>1313</v>
      </c>
      <c r="C406" t="s">
        <v>27</v>
      </c>
      <c r="D406">
        <v>500</v>
      </c>
      <c r="E406" t="s">
        <v>576</v>
      </c>
      <c r="F406">
        <v>500</v>
      </c>
    </row>
    <row r="407" spans="1:6" ht="15" customHeight="1" x14ac:dyDescent="0.25">
      <c r="A407" t="s">
        <v>981</v>
      </c>
      <c r="B407">
        <v>1313</v>
      </c>
      <c r="C407" t="s">
        <v>28</v>
      </c>
      <c r="D407">
        <v>500</v>
      </c>
      <c r="E407" t="s">
        <v>576</v>
      </c>
      <c r="F407">
        <v>500</v>
      </c>
    </row>
    <row r="408" spans="1:6" ht="15" customHeight="1" x14ac:dyDescent="0.25">
      <c r="A408" t="s">
        <v>982</v>
      </c>
      <c r="B408">
        <v>1313</v>
      </c>
      <c r="C408" t="s">
        <v>29</v>
      </c>
      <c r="D408">
        <v>500</v>
      </c>
      <c r="E408" t="s">
        <v>576</v>
      </c>
      <c r="F408">
        <v>500</v>
      </c>
    </row>
    <row r="409" spans="1:6" ht="15" customHeight="1" x14ac:dyDescent="0.25">
      <c r="A409" t="s">
        <v>983</v>
      </c>
      <c r="B409">
        <v>1313</v>
      </c>
      <c r="C409" t="s">
        <v>30</v>
      </c>
      <c r="D409">
        <v>500</v>
      </c>
      <c r="E409" t="s">
        <v>576</v>
      </c>
      <c r="F409">
        <v>500</v>
      </c>
    </row>
    <row r="410" spans="1:6" ht="15" customHeight="1" x14ac:dyDescent="0.25">
      <c r="A410" t="s">
        <v>984</v>
      </c>
      <c r="B410">
        <v>1313</v>
      </c>
      <c r="C410" t="s">
        <v>31</v>
      </c>
      <c r="D410">
        <v>500</v>
      </c>
      <c r="E410" t="s">
        <v>576</v>
      </c>
      <c r="F410">
        <v>500</v>
      </c>
    </row>
    <row r="411" spans="1:6" ht="15" customHeight="1" x14ac:dyDescent="0.25">
      <c r="A411" t="s">
        <v>985</v>
      </c>
      <c r="B411">
        <v>1313</v>
      </c>
      <c r="C411" t="s">
        <v>32</v>
      </c>
      <c r="D411">
        <v>500</v>
      </c>
      <c r="E411" t="s">
        <v>576</v>
      </c>
      <c r="F411">
        <v>500</v>
      </c>
    </row>
    <row r="412" spans="1:6" ht="15" customHeight="1" x14ac:dyDescent="0.25">
      <c r="A412" t="s">
        <v>986</v>
      </c>
      <c r="B412">
        <v>1313</v>
      </c>
      <c r="C412" t="s">
        <v>33</v>
      </c>
      <c r="D412">
        <v>500</v>
      </c>
      <c r="E412" t="s">
        <v>576</v>
      </c>
      <c r="F412">
        <v>500</v>
      </c>
    </row>
    <row r="413" spans="1:6" ht="15" customHeight="1" x14ac:dyDescent="0.25">
      <c r="A413" t="s">
        <v>987</v>
      </c>
      <c r="B413">
        <v>1313</v>
      </c>
      <c r="C413" t="s">
        <v>34</v>
      </c>
      <c r="D413">
        <v>500</v>
      </c>
      <c r="E413" t="s">
        <v>576</v>
      </c>
      <c r="F413">
        <v>500</v>
      </c>
    </row>
    <row r="414" spans="1:6" ht="15" customHeight="1" x14ac:dyDescent="0.25">
      <c r="A414" t="s">
        <v>988</v>
      </c>
      <c r="B414">
        <v>1313</v>
      </c>
      <c r="C414" t="s">
        <v>35</v>
      </c>
      <c r="D414">
        <v>500</v>
      </c>
      <c r="E414" t="s">
        <v>576</v>
      </c>
      <c r="F414">
        <v>500</v>
      </c>
    </row>
    <row r="415" spans="1:6" ht="15" customHeight="1" x14ac:dyDescent="0.25">
      <c r="A415" t="s">
        <v>989</v>
      </c>
      <c r="B415">
        <v>1313</v>
      </c>
      <c r="C415" t="s">
        <v>36</v>
      </c>
      <c r="D415">
        <v>500</v>
      </c>
      <c r="E415" t="s">
        <v>576</v>
      </c>
      <c r="F415">
        <v>500</v>
      </c>
    </row>
    <row r="416" spans="1:6" ht="15" customHeight="1" x14ac:dyDescent="0.25">
      <c r="A416" t="s">
        <v>990</v>
      </c>
      <c r="B416">
        <v>1313</v>
      </c>
      <c r="C416" t="s">
        <v>37</v>
      </c>
      <c r="D416">
        <v>500</v>
      </c>
      <c r="E416" t="s">
        <v>576</v>
      </c>
      <c r="F416">
        <v>500</v>
      </c>
    </row>
    <row r="417" spans="1:6" ht="15" customHeight="1" x14ac:dyDescent="0.25">
      <c r="A417" t="s">
        <v>991</v>
      </c>
      <c r="B417">
        <v>1313</v>
      </c>
      <c r="C417" t="s">
        <v>38</v>
      </c>
      <c r="D417">
        <v>500</v>
      </c>
      <c r="E417" t="s">
        <v>576</v>
      </c>
      <c r="F417">
        <v>500</v>
      </c>
    </row>
    <row r="418" spans="1:6" ht="15" customHeight="1" x14ac:dyDescent="0.25">
      <c r="A418" t="s">
        <v>992</v>
      </c>
      <c r="B418">
        <v>1332</v>
      </c>
      <c r="C418" t="s">
        <v>37</v>
      </c>
      <c r="D418">
        <v>200</v>
      </c>
      <c r="E418" t="s">
        <v>576</v>
      </c>
      <c r="F418">
        <v>200</v>
      </c>
    </row>
    <row r="419" spans="1:6" ht="15" customHeight="1" x14ac:dyDescent="0.25">
      <c r="A419" t="s">
        <v>993</v>
      </c>
      <c r="B419">
        <v>1332</v>
      </c>
      <c r="C419" t="s">
        <v>38</v>
      </c>
      <c r="D419">
        <v>200</v>
      </c>
      <c r="E419" t="s">
        <v>576</v>
      </c>
      <c r="F419">
        <v>200</v>
      </c>
    </row>
    <row r="420" spans="1:6" ht="15" customHeight="1" x14ac:dyDescent="0.25">
      <c r="A420" t="s">
        <v>994</v>
      </c>
      <c r="B420">
        <v>1332</v>
      </c>
      <c r="C420" t="s">
        <v>39</v>
      </c>
      <c r="D420">
        <v>200</v>
      </c>
      <c r="E420" t="s">
        <v>576</v>
      </c>
      <c r="F420">
        <v>200</v>
      </c>
    </row>
    <row r="421" spans="1:6" ht="15" customHeight="1" x14ac:dyDescent="0.25">
      <c r="A421" t="s">
        <v>995</v>
      </c>
      <c r="B421">
        <v>1337</v>
      </c>
      <c r="C421" t="s">
        <v>32</v>
      </c>
      <c r="D421">
        <v>50</v>
      </c>
      <c r="E421" t="s">
        <v>576</v>
      </c>
      <c r="F421">
        <v>50</v>
      </c>
    </row>
    <row r="422" spans="1:6" ht="15" customHeight="1" x14ac:dyDescent="0.25">
      <c r="A422" t="s">
        <v>996</v>
      </c>
      <c r="B422">
        <v>1337</v>
      </c>
      <c r="C422" t="s">
        <v>33</v>
      </c>
      <c r="D422">
        <v>50</v>
      </c>
      <c r="E422" t="s">
        <v>576</v>
      </c>
      <c r="F422">
        <v>50</v>
      </c>
    </row>
    <row r="423" spans="1:6" ht="15" customHeight="1" x14ac:dyDescent="0.25">
      <c r="A423" t="s">
        <v>997</v>
      </c>
      <c r="B423">
        <v>1337</v>
      </c>
      <c r="C423" t="s">
        <v>34</v>
      </c>
      <c r="D423">
        <v>50</v>
      </c>
      <c r="E423" t="s">
        <v>576</v>
      </c>
      <c r="F423">
        <v>50</v>
      </c>
    </row>
    <row r="424" spans="1:6" ht="15" customHeight="1" x14ac:dyDescent="0.25">
      <c r="A424" t="s">
        <v>998</v>
      </c>
      <c r="B424">
        <v>1337</v>
      </c>
      <c r="C424" t="s">
        <v>35</v>
      </c>
      <c r="D424">
        <v>50</v>
      </c>
      <c r="E424" t="s">
        <v>576</v>
      </c>
      <c r="F424">
        <v>50</v>
      </c>
    </row>
    <row r="425" spans="1:6" ht="15" customHeight="1" x14ac:dyDescent="0.25">
      <c r="A425" t="s">
        <v>999</v>
      </c>
      <c r="B425">
        <v>1346</v>
      </c>
      <c r="C425" t="s">
        <v>27</v>
      </c>
      <c r="D425">
        <v>200</v>
      </c>
      <c r="E425" t="s">
        <v>576</v>
      </c>
      <c r="F425">
        <v>200</v>
      </c>
    </row>
    <row r="426" spans="1:6" ht="15" customHeight="1" x14ac:dyDescent="0.25">
      <c r="A426" t="s">
        <v>1000</v>
      </c>
      <c r="B426">
        <v>1346</v>
      </c>
      <c r="C426" t="s">
        <v>28</v>
      </c>
      <c r="D426">
        <v>200</v>
      </c>
      <c r="E426" t="s">
        <v>576</v>
      </c>
      <c r="F426">
        <v>200</v>
      </c>
    </row>
    <row r="427" spans="1:6" ht="15" customHeight="1" x14ac:dyDescent="0.25">
      <c r="A427" t="s">
        <v>1001</v>
      </c>
      <c r="B427">
        <v>1346</v>
      </c>
      <c r="C427" t="s">
        <v>29</v>
      </c>
      <c r="D427">
        <v>200</v>
      </c>
      <c r="E427" t="s">
        <v>576</v>
      </c>
      <c r="F427">
        <v>200</v>
      </c>
    </row>
    <row r="428" spans="1:6" ht="15" customHeight="1" x14ac:dyDescent="0.25">
      <c r="A428" t="s">
        <v>1002</v>
      </c>
      <c r="B428">
        <v>1346</v>
      </c>
      <c r="C428" t="s">
        <v>30</v>
      </c>
      <c r="D428">
        <v>200</v>
      </c>
      <c r="E428" t="s">
        <v>576</v>
      </c>
      <c r="F428">
        <v>200</v>
      </c>
    </row>
    <row r="429" spans="1:6" ht="15" customHeight="1" x14ac:dyDescent="0.25">
      <c r="A429" t="s">
        <v>1003</v>
      </c>
      <c r="B429">
        <v>1347</v>
      </c>
      <c r="C429" t="s">
        <v>35</v>
      </c>
      <c r="D429">
        <v>50</v>
      </c>
      <c r="E429" t="s">
        <v>576</v>
      </c>
      <c r="F429">
        <v>50</v>
      </c>
    </row>
    <row r="430" spans="1:6" ht="15" customHeight="1" x14ac:dyDescent="0.25">
      <c r="A430" t="s">
        <v>1004</v>
      </c>
      <c r="B430">
        <v>1347</v>
      </c>
      <c r="C430" t="s">
        <v>36</v>
      </c>
      <c r="D430">
        <v>50</v>
      </c>
      <c r="E430" t="s">
        <v>576</v>
      </c>
      <c r="F430">
        <v>50</v>
      </c>
    </row>
    <row r="431" spans="1:6" ht="15" customHeight="1" x14ac:dyDescent="0.25">
      <c r="A431" t="s">
        <v>1005</v>
      </c>
      <c r="B431">
        <v>1347</v>
      </c>
      <c r="C431" t="s">
        <v>37</v>
      </c>
      <c r="D431">
        <v>50</v>
      </c>
      <c r="E431" t="s">
        <v>576</v>
      </c>
      <c r="F431">
        <v>50</v>
      </c>
    </row>
    <row r="432" spans="1:6" ht="15" customHeight="1" x14ac:dyDescent="0.25">
      <c r="A432" t="s">
        <v>1006</v>
      </c>
      <c r="B432">
        <v>1347</v>
      </c>
      <c r="C432" t="s">
        <v>38</v>
      </c>
      <c r="D432">
        <v>50</v>
      </c>
      <c r="E432" t="s">
        <v>576</v>
      </c>
      <c r="F432">
        <v>50</v>
      </c>
    </row>
    <row r="433" spans="1:6" ht="15" customHeight="1" x14ac:dyDescent="0.25">
      <c r="A433" t="s">
        <v>1007</v>
      </c>
      <c r="B433">
        <v>1347</v>
      </c>
      <c r="C433" t="s">
        <v>39</v>
      </c>
      <c r="D433">
        <v>50</v>
      </c>
      <c r="E433" t="s">
        <v>576</v>
      </c>
      <c r="F433">
        <v>50</v>
      </c>
    </row>
    <row r="434" spans="1:6" ht="15" customHeight="1" x14ac:dyDescent="0.25">
      <c r="A434" t="s">
        <v>1008</v>
      </c>
      <c r="B434">
        <v>1347</v>
      </c>
      <c r="C434" t="s">
        <v>40</v>
      </c>
      <c r="D434">
        <v>50</v>
      </c>
      <c r="E434" t="s">
        <v>576</v>
      </c>
      <c r="F434">
        <v>50</v>
      </c>
    </row>
    <row r="435" spans="1:6" ht="15" customHeight="1" x14ac:dyDescent="0.25">
      <c r="A435" t="s">
        <v>1009</v>
      </c>
      <c r="B435">
        <v>1352</v>
      </c>
      <c r="C435" t="s">
        <v>26</v>
      </c>
      <c r="D435">
        <v>500</v>
      </c>
      <c r="E435" t="s">
        <v>576</v>
      </c>
      <c r="F435">
        <v>500</v>
      </c>
    </row>
    <row r="436" spans="1:6" ht="15" customHeight="1" x14ac:dyDescent="0.25">
      <c r="A436" t="s">
        <v>1010</v>
      </c>
      <c r="B436">
        <v>1352</v>
      </c>
      <c r="C436" t="s">
        <v>27</v>
      </c>
      <c r="D436">
        <v>500</v>
      </c>
      <c r="E436" t="s">
        <v>576</v>
      </c>
      <c r="F436">
        <v>500</v>
      </c>
    </row>
    <row r="437" spans="1:6" ht="15" customHeight="1" x14ac:dyDescent="0.25">
      <c r="A437" t="s">
        <v>1011</v>
      </c>
      <c r="B437">
        <v>1352</v>
      </c>
      <c r="C437" t="s">
        <v>28</v>
      </c>
      <c r="D437">
        <v>500</v>
      </c>
      <c r="E437" t="s">
        <v>576</v>
      </c>
      <c r="F437">
        <v>500</v>
      </c>
    </row>
    <row r="438" spans="1:6" ht="15" customHeight="1" x14ac:dyDescent="0.25">
      <c r="A438" t="s">
        <v>1012</v>
      </c>
      <c r="B438">
        <v>1352</v>
      </c>
      <c r="C438" t="s">
        <v>29</v>
      </c>
      <c r="D438">
        <v>500</v>
      </c>
      <c r="E438" t="s">
        <v>576</v>
      </c>
      <c r="F438">
        <v>500</v>
      </c>
    </row>
    <row r="439" spans="1:6" ht="15" customHeight="1" x14ac:dyDescent="0.25">
      <c r="A439" t="s">
        <v>1013</v>
      </c>
      <c r="B439">
        <v>1352</v>
      </c>
      <c r="C439" t="s">
        <v>30</v>
      </c>
      <c r="D439">
        <v>500</v>
      </c>
      <c r="E439" t="s">
        <v>576</v>
      </c>
      <c r="F439">
        <v>500</v>
      </c>
    </row>
    <row r="440" spans="1:6" ht="15" customHeight="1" x14ac:dyDescent="0.25">
      <c r="A440" t="s">
        <v>1014</v>
      </c>
      <c r="B440">
        <v>1352</v>
      </c>
      <c r="C440" t="s">
        <v>31</v>
      </c>
      <c r="D440">
        <v>500</v>
      </c>
      <c r="E440" t="s">
        <v>576</v>
      </c>
      <c r="F440">
        <v>500</v>
      </c>
    </row>
    <row r="441" spans="1:6" ht="15" customHeight="1" x14ac:dyDescent="0.25">
      <c r="A441" t="s">
        <v>1015</v>
      </c>
      <c r="B441">
        <v>1352</v>
      </c>
      <c r="C441" t="s">
        <v>32</v>
      </c>
      <c r="D441">
        <v>500</v>
      </c>
      <c r="E441" t="s">
        <v>576</v>
      </c>
      <c r="F441">
        <v>500</v>
      </c>
    </row>
    <row r="442" spans="1:6" ht="15" customHeight="1" x14ac:dyDescent="0.25">
      <c r="A442" t="s">
        <v>1016</v>
      </c>
      <c r="B442">
        <v>1352</v>
      </c>
      <c r="C442" t="s">
        <v>33</v>
      </c>
      <c r="D442">
        <v>500</v>
      </c>
      <c r="E442" t="s">
        <v>576</v>
      </c>
      <c r="F442">
        <v>500</v>
      </c>
    </row>
    <row r="443" spans="1:6" ht="15" customHeight="1" x14ac:dyDescent="0.25">
      <c r="A443" t="s">
        <v>1017</v>
      </c>
      <c r="B443">
        <v>1352</v>
      </c>
      <c r="C443" t="s">
        <v>34</v>
      </c>
      <c r="D443">
        <v>500</v>
      </c>
      <c r="E443" t="s">
        <v>576</v>
      </c>
      <c r="F443">
        <v>500</v>
      </c>
    </row>
    <row r="444" spans="1:6" ht="15" customHeight="1" x14ac:dyDescent="0.25">
      <c r="A444" t="s">
        <v>1018</v>
      </c>
      <c r="B444">
        <v>1355</v>
      </c>
      <c r="C444" t="s">
        <v>36</v>
      </c>
      <c r="D444">
        <v>500</v>
      </c>
      <c r="E444" t="s">
        <v>576</v>
      </c>
      <c r="F444">
        <v>500</v>
      </c>
    </row>
    <row r="445" spans="1:6" ht="15" customHeight="1" x14ac:dyDescent="0.25">
      <c r="A445" t="s">
        <v>1019</v>
      </c>
      <c r="B445">
        <v>1355</v>
      </c>
      <c r="C445" t="s">
        <v>37</v>
      </c>
      <c r="D445">
        <v>500</v>
      </c>
      <c r="E445" t="s">
        <v>576</v>
      </c>
      <c r="F445">
        <v>500</v>
      </c>
    </row>
    <row r="446" spans="1:6" ht="15" customHeight="1" x14ac:dyDescent="0.25">
      <c r="A446" t="s">
        <v>1020</v>
      </c>
      <c r="B446">
        <v>1355</v>
      </c>
      <c r="C446" t="s">
        <v>38</v>
      </c>
      <c r="D446">
        <v>500</v>
      </c>
      <c r="E446" t="s">
        <v>576</v>
      </c>
      <c r="F446">
        <v>500</v>
      </c>
    </row>
    <row r="447" spans="1:6" ht="15" customHeight="1" x14ac:dyDescent="0.25">
      <c r="A447" t="s">
        <v>1021</v>
      </c>
      <c r="B447">
        <v>1355</v>
      </c>
      <c r="C447" t="s">
        <v>39</v>
      </c>
      <c r="D447">
        <v>500</v>
      </c>
      <c r="E447" t="s">
        <v>576</v>
      </c>
      <c r="F447">
        <v>500</v>
      </c>
    </row>
    <row r="448" spans="1:6" ht="15" customHeight="1" x14ac:dyDescent="0.25">
      <c r="A448" t="s">
        <v>1022</v>
      </c>
      <c r="B448">
        <v>1358</v>
      </c>
      <c r="C448" t="s">
        <v>30</v>
      </c>
      <c r="D448">
        <v>500</v>
      </c>
      <c r="E448" t="s">
        <v>576</v>
      </c>
      <c r="F448">
        <v>500</v>
      </c>
    </row>
    <row r="449" spans="1:6" ht="15" customHeight="1" x14ac:dyDescent="0.25">
      <c r="A449" t="s">
        <v>1023</v>
      </c>
      <c r="B449">
        <v>1358</v>
      </c>
      <c r="C449" t="s">
        <v>31</v>
      </c>
      <c r="D449">
        <v>500</v>
      </c>
      <c r="E449" t="s">
        <v>576</v>
      </c>
      <c r="F449">
        <v>500</v>
      </c>
    </row>
    <row r="450" spans="1:6" ht="15" customHeight="1" x14ac:dyDescent="0.25">
      <c r="A450" t="s">
        <v>1024</v>
      </c>
      <c r="B450">
        <v>1358</v>
      </c>
      <c r="C450" t="s">
        <v>32</v>
      </c>
      <c r="D450">
        <v>500</v>
      </c>
      <c r="E450" t="s">
        <v>576</v>
      </c>
      <c r="F450">
        <v>500</v>
      </c>
    </row>
    <row r="451" spans="1:6" ht="15" customHeight="1" x14ac:dyDescent="0.25">
      <c r="A451" t="s">
        <v>1025</v>
      </c>
      <c r="B451">
        <v>1358</v>
      </c>
      <c r="C451" t="s">
        <v>33</v>
      </c>
      <c r="D451">
        <v>500</v>
      </c>
      <c r="E451" t="s">
        <v>576</v>
      </c>
      <c r="F451">
        <v>500</v>
      </c>
    </row>
    <row r="452" spans="1:6" ht="15" customHeight="1" x14ac:dyDescent="0.25">
      <c r="A452" t="s">
        <v>1026</v>
      </c>
      <c r="B452">
        <v>1358</v>
      </c>
      <c r="C452" t="s">
        <v>34</v>
      </c>
      <c r="D452">
        <v>500</v>
      </c>
      <c r="E452" t="s">
        <v>576</v>
      </c>
      <c r="F452">
        <v>500</v>
      </c>
    </row>
    <row r="453" spans="1:6" ht="15" customHeight="1" x14ac:dyDescent="0.25">
      <c r="A453" t="s">
        <v>1027</v>
      </c>
      <c r="B453">
        <v>1358</v>
      </c>
      <c r="C453" t="s">
        <v>35</v>
      </c>
      <c r="D453">
        <v>500</v>
      </c>
      <c r="E453" t="s">
        <v>576</v>
      </c>
      <c r="F453">
        <v>500</v>
      </c>
    </row>
    <row r="454" spans="1:6" ht="15" customHeight="1" x14ac:dyDescent="0.25">
      <c r="A454" t="s">
        <v>1028</v>
      </c>
      <c r="B454">
        <v>1358</v>
      </c>
      <c r="C454" t="s">
        <v>36</v>
      </c>
      <c r="D454">
        <v>500</v>
      </c>
      <c r="E454" t="s">
        <v>576</v>
      </c>
      <c r="F454">
        <v>500</v>
      </c>
    </row>
    <row r="455" spans="1:6" ht="15" customHeight="1" x14ac:dyDescent="0.25">
      <c r="A455" t="s">
        <v>1029</v>
      </c>
      <c r="B455">
        <v>1358</v>
      </c>
      <c r="C455" t="s">
        <v>37</v>
      </c>
      <c r="D455">
        <v>500</v>
      </c>
      <c r="E455" t="s">
        <v>576</v>
      </c>
      <c r="F455">
        <v>500</v>
      </c>
    </row>
    <row r="456" spans="1:6" ht="15" customHeight="1" x14ac:dyDescent="0.25">
      <c r="A456" t="s">
        <v>1030</v>
      </c>
      <c r="B456">
        <v>1358</v>
      </c>
      <c r="C456" t="s">
        <v>38</v>
      </c>
      <c r="D456">
        <v>500</v>
      </c>
      <c r="E456" t="s">
        <v>576</v>
      </c>
      <c r="F456">
        <v>500</v>
      </c>
    </row>
    <row r="457" spans="1:6" ht="15" customHeight="1" x14ac:dyDescent="0.25">
      <c r="A457" t="s">
        <v>1031</v>
      </c>
      <c r="B457">
        <v>1358</v>
      </c>
      <c r="C457" t="s">
        <v>39</v>
      </c>
      <c r="D457">
        <v>500</v>
      </c>
      <c r="E457" t="s">
        <v>576</v>
      </c>
      <c r="F457">
        <v>500</v>
      </c>
    </row>
    <row r="458" spans="1:6" ht="15" customHeight="1" x14ac:dyDescent="0.25">
      <c r="A458" t="s">
        <v>1032</v>
      </c>
      <c r="B458">
        <v>1359</v>
      </c>
      <c r="C458" t="s">
        <v>40</v>
      </c>
      <c r="D458">
        <v>50</v>
      </c>
      <c r="E458" t="s">
        <v>576</v>
      </c>
      <c r="F458">
        <v>50</v>
      </c>
    </row>
    <row r="459" spans="1:6" ht="15" customHeight="1" x14ac:dyDescent="0.25">
      <c r="A459" t="s">
        <v>1033</v>
      </c>
      <c r="B459">
        <v>1359</v>
      </c>
      <c r="C459" t="s">
        <v>41</v>
      </c>
      <c r="D459">
        <v>50</v>
      </c>
      <c r="E459" t="s">
        <v>576</v>
      </c>
      <c r="F459">
        <v>50</v>
      </c>
    </row>
    <row r="460" spans="1:6" ht="15" customHeight="1" x14ac:dyDescent="0.25">
      <c r="A460" t="s">
        <v>1034</v>
      </c>
      <c r="B460">
        <v>1359</v>
      </c>
      <c r="C460" t="s">
        <v>42</v>
      </c>
      <c r="D460">
        <v>50</v>
      </c>
      <c r="E460" t="s">
        <v>576</v>
      </c>
      <c r="F460">
        <v>50</v>
      </c>
    </row>
    <row r="461" spans="1:6" ht="15" customHeight="1" x14ac:dyDescent="0.25">
      <c r="A461" t="s">
        <v>1035</v>
      </c>
      <c r="B461">
        <v>1379</v>
      </c>
      <c r="C461" t="s">
        <v>33</v>
      </c>
      <c r="D461">
        <v>50</v>
      </c>
      <c r="E461" t="s">
        <v>576</v>
      </c>
      <c r="F461">
        <v>50</v>
      </c>
    </row>
    <row r="462" spans="1:6" ht="15" customHeight="1" x14ac:dyDescent="0.25">
      <c r="A462" t="s">
        <v>1036</v>
      </c>
      <c r="B462">
        <v>1379</v>
      </c>
      <c r="C462" t="s">
        <v>34</v>
      </c>
      <c r="D462">
        <v>50</v>
      </c>
      <c r="E462" t="s">
        <v>576</v>
      </c>
      <c r="F462">
        <v>50</v>
      </c>
    </row>
    <row r="463" spans="1:6" ht="15" customHeight="1" x14ac:dyDescent="0.25">
      <c r="A463" t="s">
        <v>1037</v>
      </c>
      <c r="B463">
        <v>1379</v>
      </c>
      <c r="C463" t="s">
        <v>35</v>
      </c>
      <c r="D463">
        <v>50</v>
      </c>
      <c r="E463" t="s">
        <v>576</v>
      </c>
      <c r="F463">
        <v>50</v>
      </c>
    </row>
    <row r="464" spans="1:6" ht="15" customHeight="1" x14ac:dyDescent="0.25">
      <c r="A464" t="s">
        <v>1038</v>
      </c>
      <c r="B464">
        <v>1379</v>
      </c>
      <c r="C464" t="s">
        <v>36</v>
      </c>
      <c r="D464">
        <v>50</v>
      </c>
      <c r="E464" t="s">
        <v>576</v>
      </c>
      <c r="F464">
        <v>50</v>
      </c>
    </row>
    <row r="465" spans="1:6" ht="15" customHeight="1" x14ac:dyDescent="0.25">
      <c r="A465" t="s">
        <v>1039</v>
      </c>
      <c r="B465">
        <v>1379</v>
      </c>
      <c r="C465" t="s">
        <v>37</v>
      </c>
      <c r="D465">
        <v>50</v>
      </c>
      <c r="E465" t="s">
        <v>576</v>
      </c>
      <c r="F465">
        <v>50</v>
      </c>
    </row>
    <row r="466" spans="1:6" ht="15" customHeight="1" x14ac:dyDescent="0.25">
      <c r="A466" t="s">
        <v>1040</v>
      </c>
      <c r="B466">
        <v>1379</v>
      </c>
      <c r="C466" t="s">
        <v>38</v>
      </c>
      <c r="D466">
        <v>50</v>
      </c>
      <c r="E466" t="s">
        <v>576</v>
      </c>
      <c r="F466">
        <v>50</v>
      </c>
    </row>
    <row r="467" spans="1:6" ht="15" customHeight="1" x14ac:dyDescent="0.25">
      <c r="A467" t="s">
        <v>1041</v>
      </c>
      <c r="B467">
        <v>1380</v>
      </c>
      <c r="C467" t="s">
        <v>27</v>
      </c>
      <c r="D467">
        <v>200</v>
      </c>
      <c r="E467" t="s">
        <v>576</v>
      </c>
      <c r="F467">
        <v>200</v>
      </c>
    </row>
    <row r="468" spans="1:6" ht="15" customHeight="1" x14ac:dyDescent="0.25">
      <c r="A468" t="s">
        <v>1042</v>
      </c>
      <c r="B468">
        <v>1380</v>
      </c>
      <c r="C468" t="s">
        <v>28</v>
      </c>
      <c r="D468">
        <v>200</v>
      </c>
      <c r="E468" t="s">
        <v>576</v>
      </c>
      <c r="F468">
        <v>200</v>
      </c>
    </row>
    <row r="469" spans="1:6" ht="15" customHeight="1" x14ac:dyDescent="0.25">
      <c r="A469" t="s">
        <v>1043</v>
      </c>
      <c r="B469">
        <v>1380</v>
      </c>
      <c r="C469" t="s">
        <v>29</v>
      </c>
      <c r="D469">
        <v>200</v>
      </c>
      <c r="E469" t="s">
        <v>576</v>
      </c>
      <c r="F469">
        <v>200</v>
      </c>
    </row>
    <row r="470" spans="1:6" ht="15" customHeight="1" x14ac:dyDescent="0.25">
      <c r="A470" t="s">
        <v>1044</v>
      </c>
      <c r="B470">
        <v>1380</v>
      </c>
      <c r="C470" t="s">
        <v>30</v>
      </c>
      <c r="D470">
        <v>200</v>
      </c>
      <c r="E470" t="s">
        <v>576</v>
      </c>
      <c r="F470">
        <v>200</v>
      </c>
    </row>
    <row r="471" spans="1:6" ht="15" customHeight="1" x14ac:dyDescent="0.25">
      <c r="A471" t="s">
        <v>1045</v>
      </c>
      <c r="B471">
        <v>1380</v>
      </c>
      <c r="C471" t="s">
        <v>31</v>
      </c>
      <c r="D471">
        <v>200</v>
      </c>
      <c r="E471" t="s">
        <v>576</v>
      </c>
      <c r="F471">
        <v>200</v>
      </c>
    </row>
    <row r="472" spans="1:6" ht="15" customHeight="1" x14ac:dyDescent="0.25">
      <c r="A472" t="s">
        <v>1046</v>
      </c>
      <c r="B472">
        <v>1380</v>
      </c>
      <c r="C472" t="s">
        <v>32</v>
      </c>
      <c r="D472">
        <v>200</v>
      </c>
      <c r="E472" t="s">
        <v>576</v>
      </c>
      <c r="F472">
        <v>200</v>
      </c>
    </row>
    <row r="473" spans="1:6" ht="15" customHeight="1" x14ac:dyDescent="0.25">
      <c r="A473" t="s">
        <v>1047</v>
      </c>
      <c r="B473">
        <v>1380</v>
      </c>
      <c r="C473" t="s">
        <v>33</v>
      </c>
      <c r="D473">
        <v>200</v>
      </c>
      <c r="E473" t="s">
        <v>576</v>
      </c>
      <c r="F473">
        <v>200</v>
      </c>
    </row>
    <row r="474" spans="1:6" ht="15" customHeight="1" x14ac:dyDescent="0.25">
      <c r="A474" t="s">
        <v>1048</v>
      </c>
      <c r="B474">
        <v>1380</v>
      </c>
      <c r="C474" t="s">
        <v>34</v>
      </c>
      <c r="D474">
        <v>200</v>
      </c>
      <c r="E474" t="s">
        <v>576</v>
      </c>
      <c r="F474">
        <v>200</v>
      </c>
    </row>
    <row r="475" spans="1:6" ht="15" customHeight="1" x14ac:dyDescent="0.25">
      <c r="A475" t="s">
        <v>1049</v>
      </c>
      <c r="B475">
        <v>1380</v>
      </c>
      <c r="C475" t="s">
        <v>35</v>
      </c>
      <c r="D475">
        <v>200</v>
      </c>
      <c r="E475" t="s">
        <v>576</v>
      </c>
      <c r="F475">
        <v>200</v>
      </c>
    </row>
    <row r="476" spans="1:6" ht="15" customHeight="1" x14ac:dyDescent="0.25">
      <c r="A476" t="s">
        <v>1050</v>
      </c>
      <c r="B476">
        <v>1380</v>
      </c>
      <c r="C476" t="s">
        <v>36</v>
      </c>
      <c r="D476">
        <v>200</v>
      </c>
      <c r="E476" t="s">
        <v>576</v>
      </c>
      <c r="F476">
        <v>200</v>
      </c>
    </row>
    <row r="477" spans="1:6" ht="15" customHeight="1" x14ac:dyDescent="0.25">
      <c r="A477" t="s">
        <v>1051</v>
      </c>
      <c r="B477">
        <v>1380</v>
      </c>
      <c r="C477" t="s">
        <v>37</v>
      </c>
      <c r="D477">
        <v>200</v>
      </c>
      <c r="E477" t="s">
        <v>576</v>
      </c>
      <c r="F477">
        <v>200</v>
      </c>
    </row>
    <row r="478" spans="1:6" ht="15" customHeight="1" x14ac:dyDescent="0.25">
      <c r="A478" t="s">
        <v>1052</v>
      </c>
      <c r="B478">
        <v>1380</v>
      </c>
      <c r="C478" t="s">
        <v>38</v>
      </c>
      <c r="D478">
        <v>200</v>
      </c>
      <c r="E478" t="s">
        <v>576</v>
      </c>
      <c r="F478">
        <v>200</v>
      </c>
    </row>
    <row r="479" spans="1:6" ht="15" customHeight="1" x14ac:dyDescent="0.25">
      <c r="A479" t="s">
        <v>1053</v>
      </c>
      <c r="B479">
        <v>1380</v>
      </c>
      <c r="C479" t="s">
        <v>39</v>
      </c>
      <c r="D479">
        <v>200</v>
      </c>
      <c r="E479" t="s">
        <v>576</v>
      </c>
      <c r="F479">
        <v>200</v>
      </c>
    </row>
    <row r="480" spans="1:6" ht="15" customHeight="1" x14ac:dyDescent="0.25">
      <c r="A480" t="s">
        <v>1054</v>
      </c>
      <c r="B480">
        <v>1380</v>
      </c>
      <c r="C480" t="s">
        <v>40</v>
      </c>
      <c r="D480">
        <v>200</v>
      </c>
      <c r="E480" t="s">
        <v>576</v>
      </c>
      <c r="F480">
        <v>200</v>
      </c>
    </row>
    <row r="481" spans="1:6" ht="15" customHeight="1" x14ac:dyDescent="0.25">
      <c r="A481" t="s">
        <v>1055</v>
      </c>
      <c r="B481">
        <v>1380</v>
      </c>
      <c r="C481" t="s">
        <v>41</v>
      </c>
      <c r="D481">
        <v>200</v>
      </c>
      <c r="E481" t="s">
        <v>576</v>
      </c>
      <c r="F481">
        <v>200</v>
      </c>
    </row>
    <row r="482" spans="1:6" ht="15" customHeight="1" x14ac:dyDescent="0.25">
      <c r="A482" t="s">
        <v>1056</v>
      </c>
      <c r="B482">
        <v>1382</v>
      </c>
      <c r="C482" t="s">
        <v>40</v>
      </c>
      <c r="D482">
        <v>200</v>
      </c>
      <c r="E482" t="s">
        <v>576</v>
      </c>
      <c r="F482">
        <v>200</v>
      </c>
    </row>
    <row r="483" spans="1:6" ht="15" customHeight="1" x14ac:dyDescent="0.25">
      <c r="A483" t="s">
        <v>1057</v>
      </c>
      <c r="B483">
        <v>1382</v>
      </c>
      <c r="C483" t="s">
        <v>41</v>
      </c>
      <c r="D483">
        <v>200</v>
      </c>
      <c r="E483" t="s">
        <v>576</v>
      </c>
      <c r="F483">
        <v>200</v>
      </c>
    </row>
    <row r="484" spans="1:6" ht="15" customHeight="1" x14ac:dyDescent="0.25">
      <c r="A484" t="s">
        <v>1058</v>
      </c>
      <c r="B484">
        <v>1386</v>
      </c>
      <c r="C484" t="s">
        <v>28</v>
      </c>
      <c r="D484">
        <v>500</v>
      </c>
      <c r="E484" t="s">
        <v>576</v>
      </c>
      <c r="F484">
        <v>500</v>
      </c>
    </row>
    <row r="485" spans="1:6" ht="15" customHeight="1" x14ac:dyDescent="0.25">
      <c r="A485" t="s">
        <v>1059</v>
      </c>
      <c r="B485">
        <v>1386</v>
      </c>
      <c r="C485" t="s">
        <v>29</v>
      </c>
      <c r="D485">
        <v>500</v>
      </c>
      <c r="E485" t="s">
        <v>576</v>
      </c>
      <c r="F485">
        <v>500</v>
      </c>
    </row>
    <row r="486" spans="1:6" ht="15" customHeight="1" x14ac:dyDescent="0.25">
      <c r="A486" t="s">
        <v>1060</v>
      </c>
      <c r="B486">
        <v>1386</v>
      </c>
      <c r="C486" t="s">
        <v>30</v>
      </c>
      <c r="D486">
        <v>500</v>
      </c>
      <c r="E486" t="s">
        <v>576</v>
      </c>
      <c r="F486">
        <v>500</v>
      </c>
    </row>
    <row r="487" spans="1:6" ht="15" customHeight="1" x14ac:dyDescent="0.25">
      <c r="A487" t="s">
        <v>1061</v>
      </c>
      <c r="B487">
        <v>1386</v>
      </c>
      <c r="C487" t="s">
        <v>31</v>
      </c>
      <c r="D487">
        <v>500</v>
      </c>
      <c r="E487" t="s">
        <v>576</v>
      </c>
      <c r="F487">
        <v>500</v>
      </c>
    </row>
    <row r="488" spans="1:6" ht="15" customHeight="1" x14ac:dyDescent="0.25">
      <c r="A488" t="s">
        <v>1062</v>
      </c>
      <c r="B488">
        <v>1386</v>
      </c>
      <c r="C488" t="s">
        <v>32</v>
      </c>
      <c r="D488">
        <v>500</v>
      </c>
      <c r="E488" t="s">
        <v>576</v>
      </c>
      <c r="F488">
        <v>500</v>
      </c>
    </row>
    <row r="489" spans="1:6" ht="15" customHeight="1" x14ac:dyDescent="0.25">
      <c r="A489" t="s">
        <v>1063</v>
      </c>
      <c r="B489">
        <v>1386</v>
      </c>
      <c r="C489" t="s">
        <v>33</v>
      </c>
      <c r="D489">
        <v>500</v>
      </c>
      <c r="E489" t="s">
        <v>576</v>
      </c>
      <c r="F489">
        <v>500</v>
      </c>
    </row>
    <row r="490" spans="1:6" ht="15" customHeight="1" x14ac:dyDescent="0.25">
      <c r="A490" t="s">
        <v>1064</v>
      </c>
      <c r="B490">
        <v>1386</v>
      </c>
      <c r="C490" t="s">
        <v>34</v>
      </c>
      <c r="D490">
        <v>500</v>
      </c>
      <c r="E490" t="s">
        <v>576</v>
      </c>
      <c r="F490">
        <v>500</v>
      </c>
    </row>
    <row r="491" spans="1:6" ht="15" customHeight="1" x14ac:dyDescent="0.25">
      <c r="A491" t="s">
        <v>1065</v>
      </c>
      <c r="B491">
        <v>1393</v>
      </c>
      <c r="C491" t="s">
        <v>33</v>
      </c>
      <c r="D491">
        <v>500</v>
      </c>
      <c r="E491" t="s">
        <v>576</v>
      </c>
      <c r="F491">
        <v>500</v>
      </c>
    </row>
    <row r="492" spans="1:6" ht="15" customHeight="1" x14ac:dyDescent="0.25">
      <c r="A492" t="s">
        <v>1066</v>
      </c>
      <c r="B492">
        <v>1393</v>
      </c>
      <c r="C492" t="s">
        <v>34</v>
      </c>
      <c r="D492">
        <v>500</v>
      </c>
      <c r="E492" t="s">
        <v>576</v>
      </c>
      <c r="F492">
        <v>500</v>
      </c>
    </row>
    <row r="493" spans="1:6" ht="15" customHeight="1" x14ac:dyDescent="0.25">
      <c r="A493" t="s">
        <v>1067</v>
      </c>
      <c r="B493">
        <v>1393</v>
      </c>
      <c r="C493" t="s">
        <v>35</v>
      </c>
      <c r="D493">
        <v>500</v>
      </c>
      <c r="E493" t="s">
        <v>576</v>
      </c>
      <c r="F493">
        <v>500</v>
      </c>
    </row>
    <row r="494" spans="1:6" ht="15" customHeight="1" x14ac:dyDescent="0.25">
      <c r="A494" t="s">
        <v>1068</v>
      </c>
      <c r="B494">
        <v>1393</v>
      </c>
      <c r="C494" t="s">
        <v>36</v>
      </c>
      <c r="D494">
        <v>500</v>
      </c>
      <c r="E494" t="s">
        <v>576</v>
      </c>
      <c r="F494">
        <v>500</v>
      </c>
    </row>
    <row r="495" spans="1:6" ht="15" customHeight="1" x14ac:dyDescent="0.25">
      <c r="A495" t="s">
        <v>1069</v>
      </c>
      <c r="B495">
        <v>1393</v>
      </c>
      <c r="C495" t="s">
        <v>37</v>
      </c>
      <c r="D495">
        <v>500</v>
      </c>
      <c r="E495" t="s">
        <v>576</v>
      </c>
      <c r="F495">
        <v>500</v>
      </c>
    </row>
    <row r="496" spans="1:6" ht="15" customHeight="1" x14ac:dyDescent="0.25">
      <c r="A496" t="s">
        <v>1070</v>
      </c>
      <c r="B496">
        <v>1393</v>
      </c>
      <c r="C496" t="s">
        <v>38</v>
      </c>
      <c r="D496">
        <v>500</v>
      </c>
      <c r="E496" t="s">
        <v>576</v>
      </c>
      <c r="F496">
        <v>500</v>
      </c>
    </row>
    <row r="497" spans="1:6" ht="15" customHeight="1" x14ac:dyDescent="0.25">
      <c r="A497" t="s">
        <v>1071</v>
      </c>
      <c r="B497">
        <v>1393</v>
      </c>
      <c r="C497" t="s">
        <v>39</v>
      </c>
      <c r="D497">
        <v>500</v>
      </c>
      <c r="E497" t="s">
        <v>576</v>
      </c>
      <c r="F497">
        <v>500</v>
      </c>
    </row>
    <row r="498" spans="1:6" ht="15" customHeight="1" x14ac:dyDescent="0.25">
      <c r="A498" t="s">
        <v>1072</v>
      </c>
      <c r="B498">
        <v>1393</v>
      </c>
      <c r="C498" t="s">
        <v>40</v>
      </c>
      <c r="D498">
        <v>500</v>
      </c>
      <c r="E498" t="s">
        <v>576</v>
      </c>
      <c r="F498">
        <v>500</v>
      </c>
    </row>
    <row r="499" spans="1:6" ht="15" customHeight="1" x14ac:dyDescent="0.25">
      <c r="A499" t="s">
        <v>1073</v>
      </c>
      <c r="B499">
        <v>1397</v>
      </c>
      <c r="C499" t="s">
        <v>29</v>
      </c>
      <c r="D499">
        <v>50</v>
      </c>
      <c r="E499" t="s">
        <v>576</v>
      </c>
      <c r="F499">
        <v>50</v>
      </c>
    </row>
    <row r="500" spans="1:6" ht="15" customHeight="1" x14ac:dyDescent="0.25">
      <c r="A500" t="s">
        <v>1074</v>
      </c>
      <c r="B500">
        <v>1397</v>
      </c>
      <c r="C500" t="s">
        <v>30</v>
      </c>
      <c r="D500">
        <v>50</v>
      </c>
      <c r="E500" t="s">
        <v>576</v>
      </c>
      <c r="F500">
        <v>50</v>
      </c>
    </row>
    <row r="501" spans="1:6" ht="15" customHeight="1" x14ac:dyDescent="0.25">
      <c r="A501" t="s">
        <v>1075</v>
      </c>
      <c r="B501">
        <v>1397</v>
      </c>
      <c r="C501" t="s">
        <v>31</v>
      </c>
      <c r="D501">
        <v>50</v>
      </c>
      <c r="E501" t="s">
        <v>576</v>
      </c>
      <c r="F501">
        <v>50</v>
      </c>
    </row>
    <row r="502" spans="1:6" ht="15" customHeight="1" x14ac:dyDescent="0.25">
      <c r="A502" t="s">
        <v>1076</v>
      </c>
      <c r="B502">
        <v>1397</v>
      </c>
      <c r="C502" t="s">
        <v>32</v>
      </c>
      <c r="D502">
        <v>50</v>
      </c>
      <c r="E502" t="s">
        <v>576</v>
      </c>
      <c r="F502">
        <v>50</v>
      </c>
    </row>
    <row r="503" spans="1:6" ht="15" customHeight="1" x14ac:dyDescent="0.25">
      <c r="A503" t="s">
        <v>1077</v>
      </c>
      <c r="B503">
        <v>1397</v>
      </c>
      <c r="C503" t="s">
        <v>33</v>
      </c>
      <c r="D503">
        <v>50</v>
      </c>
      <c r="E503" t="s">
        <v>576</v>
      </c>
      <c r="F503">
        <v>50</v>
      </c>
    </row>
    <row r="504" spans="1:6" ht="15" customHeight="1" x14ac:dyDescent="0.25">
      <c r="A504" t="s">
        <v>1078</v>
      </c>
      <c r="B504">
        <v>1397</v>
      </c>
      <c r="C504" t="s">
        <v>34</v>
      </c>
      <c r="D504">
        <v>50</v>
      </c>
      <c r="E504" t="s">
        <v>576</v>
      </c>
      <c r="F504">
        <v>50</v>
      </c>
    </row>
    <row r="505" spans="1:6" ht="15" customHeight="1" x14ac:dyDescent="0.25">
      <c r="A505" t="s">
        <v>1079</v>
      </c>
      <c r="B505">
        <v>1397</v>
      </c>
      <c r="C505" t="s">
        <v>35</v>
      </c>
      <c r="D505">
        <v>50</v>
      </c>
      <c r="E505" t="s">
        <v>576</v>
      </c>
      <c r="F505">
        <v>50</v>
      </c>
    </row>
    <row r="506" spans="1:6" ht="15" customHeight="1" x14ac:dyDescent="0.25">
      <c r="A506" t="s">
        <v>1080</v>
      </c>
      <c r="B506">
        <v>1397</v>
      </c>
      <c r="C506" t="s">
        <v>36</v>
      </c>
      <c r="D506">
        <v>50</v>
      </c>
      <c r="E506" t="s">
        <v>576</v>
      </c>
      <c r="F506">
        <v>50</v>
      </c>
    </row>
    <row r="507" spans="1:6" ht="15" customHeight="1" x14ac:dyDescent="0.25">
      <c r="A507" t="s">
        <v>1081</v>
      </c>
      <c r="B507">
        <v>1397</v>
      </c>
      <c r="C507" t="s">
        <v>37</v>
      </c>
      <c r="D507">
        <v>50</v>
      </c>
      <c r="E507" t="s">
        <v>576</v>
      </c>
      <c r="F507">
        <v>50</v>
      </c>
    </row>
    <row r="508" spans="1:6" ht="15" customHeight="1" x14ac:dyDescent="0.25">
      <c r="A508" t="s">
        <v>1082</v>
      </c>
      <c r="B508">
        <v>1397</v>
      </c>
      <c r="C508" t="s">
        <v>38</v>
      </c>
      <c r="D508">
        <v>50</v>
      </c>
      <c r="E508" t="s">
        <v>576</v>
      </c>
      <c r="F508">
        <v>50</v>
      </c>
    </row>
    <row r="509" spans="1:6" ht="15" customHeight="1" x14ac:dyDescent="0.25">
      <c r="A509" t="s">
        <v>1083</v>
      </c>
      <c r="B509">
        <v>1397</v>
      </c>
      <c r="C509" t="s">
        <v>39</v>
      </c>
      <c r="D509">
        <v>50</v>
      </c>
      <c r="E509" t="s">
        <v>576</v>
      </c>
      <c r="F509">
        <v>50</v>
      </c>
    </row>
    <row r="510" spans="1:6" ht="15" customHeight="1" x14ac:dyDescent="0.25">
      <c r="A510" t="s">
        <v>1084</v>
      </c>
      <c r="B510">
        <v>1397</v>
      </c>
      <c r="C510" t="s">
        <v>40</v>
      </c>
      <c r="D510">
        <v>50</v>
      </c>
      <c r="E510" t="s">
        <v>576</v>
      </c>
      <c r="F510">
        <v>50</v>
      </c>
    </row>
    <row r="511" spans="1:6" ht="15" customHeight="1" x14ac:dyDescent="0.25">
      <c r="A511" t="s">
        <v>1085</v>
      </c>
      <c r="B511">
        <v>1401</v>
      </c>
      <c r="C511" t="s">
        <v>37</v>
      </c>
      <c r="D511">
        <v>500</v>
      </c>
      <c r="E511" t="s">
        <v>576</v>
      </c>
      <c r="F511">
        <v>500</v>
      </c>
    </row>
    <row r="512" spans="1:6" ht="15" customHeight="1" x14ac:dyDescent="0.25">
      <c r="A512" t="s">
        <v>1086</v>
      </c>
      <c r="B512">
        <v>1401</v>
      </c>
      <c r="C512" t="s">
        <v>38</v>
      </c>
      <c r="D512">
        <v>500</v>
      </c>
      <c r="E512" t="s">
        <v>576</v>
      </c>
      <c r="F512">
        <v>500</v>
      </c>
    </row>
    <row r="513" spans="1:6" ht="15" customHeight="1" x14ac:dyDescent="0.25">
      <c r="A513" t="s">
        <v>1087</v>
      </c>
      <c r="B513">
        <v>1401</v>
      </c>
      <c r="C513" t="s">
        <v>39</v>
      </c>
      <c r="D513">
        <v>500</v>
      </c>
      <c r="E513" t="s">
        <v>576</v>
      </c>
      <c r="F513">
        <v>500</v>
      </c>
    </row>
    <row r="514" spans="1:6" ht="15" customHeight="1" x14ac:dyDescent="0.25">
      <c r="A514" t="s">
        <v>1088</v>
      </c>
      <c r="B514">
        <v>1401</v>
      </c>
      <c r="C514" t="s">
        <v>40</v>
      </c>
      <c r="D514">
        <v>500</v>
      </c>
      <c r="E514" t="s">
        <v>576</v>
      </c>
      <c r="F514">
        <v>500</v>
      </c>
    </row>
    <row r="515" spans="1:6" ht="15" customHeight="1" x14ac:dyDescent="0.25">
      <c r="A515" t="s">
        <v>1089</v>
      </c>
      <c r="B515">
        <v>1401</v>
      </c>
      <c r="C515" t="s">
        <v>41</v>
      </c>
      <c r="D515">
        <v>500</v>
      </c>
      <c r="E515" t="s">
        <v>576</v>
      </c>
      <c r="F515">
        <v>500</v>
      </c>
    </row>
    <row r="516" spans="1:6" ht="15" customHeight="1" x14ac:dyDescent="0.25">
      <c r="A516" t="s">
        <v>1090</v>
      </c>
      <c r="B516">
        <v>1403</v>
      </c>
      <c r="C516" t="s">
        <v>39</v>
      </c>
      <c r="D516">
        <v>200</v>
      </c>
      <c r="E516" t="s">
        <v>576</v>
      </c>
      <c r="F516">
        <v>200</v>
      </c>
    </row>
    <row r="517" spans="1:6" ht="15" customHeight="1" x14ac:dyDescent="0.25">
      <c r="A517" t="s">
        <v>1091</v>
      </c>
      <c r="B517">
        <v>1403</v>
      </c>
      <c r="C517" t="s">
        <v>40</v>
      </c>
      <c r="D517">
        <v>200</v>
      </c>
      <c r="E517" t="s">
        <v>576</v>
      </c>
      <c r="F517">
        <v>200</v>
      </c>
    </row>
    <row r="518" spans="1:6" ht="15" customHeight="1" x14ac:dyDescent="0.25">
      <c r="A518" t="s">
        <v>1092</v>
      </c>
      <c r="B518">
        <v>1404</v>
      </c>
      <c r="C518" t="s">
        <v>40</v>
      </c>
      <c r="D518">
        <v>50</v>
      </c>
      <c r="E518" t="s">
        <v>576</v>
      </c>
      <c r="F518">
        <v>50</v>
      </c>
    </row>
    <row r="519" spans="1:6" ht="15" customHeight="1" x14ac:dyDescent="0.25">
      <c r="A519" t="s">
        <v>1093</v>
      </c>
      <c r="B519">
        <v>1404</v>
      </c>
      <c r="C519" t="s">
        <v>41</v>
      </c>
      <c r="D519">
        <v>50</v>
      </c>
      <c r="E519" t="s">
        <v>576</v>
      </c>
      <c r="F519">
        <v>50</v>
      </c>
    </row>
    <row r="520" spans="1:6" ht="15" customHeight="1" x14ac:dyDescent="0.25">
      <c r="A520" t="s">
        <v>1094</v>
      </c>
      <c r="B520">
        <v>1414</v>
      </c>
      <c r="C520" t="s">
        <v>38</v>
      </c>
      <c r="D520">
        <v>500</v>
      </c>
      <c r="E520" t="s">
        <v>576</v>
      </c>
      <c r="F520">
        <v>500</v>
      </c>
    </row>
    <row r="521" spans="1:6" ht="15" customHeight="1" x14ac:dyDescent="0.25">
      <c r="A521" t="s">
        <v>1095</v>
      </c>
      <c r="B521">
        <v>1414</v>
      </c>
      <c r="C521" t="s">
        <v>39</v>
      </c>
      <c r="D521">
        <v>500</v>
      </c>
      <c r="E521" t="s">
        <v>576</v>
      </c>
      <c r="F521">
        <v>500</v>
      </c>
    </row>
    <row r="522" spans="1:6" ht="15" customHeight="1" x14ac:dyDescent="0.25">
      <c r="A522" t="s">
        <v>1096</v>
      </c>
      <c r="B522">
        <v>1414</v>
      </c>
      <c r="C522" t="s">
        <v>40</v>
      </c>
      <c r="D522">
        <v>500</v>
      </c>
      <c r="E522" t="s">
        <v>576</v>
      </c>
      <c r="F522">
        <v>500</v>
      </c>
    </row>
    <row r="523" spans="1:6" ht="15" customHeight="1" x14ac:dyDescent="0.25">
      <c r="A523" t="s">
        <v>1097</v>
      </c>
      <c r="B523">
        <v>1414</v>
      </c>
      <c r="C523" t="s">
        <v>41</v>
      </c>
      <c r="D523">
        <v>500</v>
      </c>
      <c r="E523" t="s">
        <v>576</v>
      </c>
      <c r="F523">
        <v>500</v>
      </c>
    </row>
    <row r="524" spans="1:6" ht="15" customHeight="1" x14ac:dyDescent="0.25">
      <c r="A524" t="s">
        <v>1098</v>
      </c>
      <c r="B524">
        <v>1419</v>
      </c>
      <c r="C524" t="s">
        <v>37</v>
      </c>
      <c r="D524">
        <v>200</v>
      </c>
      <c r="E524" t="s">
        <v>576</v>
      </c>
      <c r="F524">
        <v>200</v>
      </c>
    </row>
    <row r="525" spans="1:6" ht="15" customHeight="1" x14ac:dyDescent="0.25">
      <c r="A525" t="s">
        <v>1099</v>
      </c>
      <c r="B525">
        <v>1419</v>
      </c>
      <c r="C525" t="s">
        <v>38</v>
      </c>
      <c r="D525">
        <v>200</v>
      </c>
      <c r="E525" t="s">
        <v>576</v>
      </c>
      <c r="F525">
        <v>200</v>
      </c>
    </row>
    <row r="526" spans="1:6" ht="15" customHeight="1" x14ac:dyDescent="0.25">
      <c r="A526" t="s">
        <v>1100</v>
      </c>
      <c r="B526">
        <v>1419</v>
      </c>
      <c r="C526" t="s">
        <v>39</v>
      </c>
      <c r="D526">
        <v>200</v>
      </c>
      <c r="E526" t="s">
        <v>576</v>
      </c>
      <c r="F526">
        <v>200</v>
      </c>
    </row>
    <row r="527" spans="1:6" ht="15" customHeight="1" x14ac:dyDescent="0.25">
      <c r="A527" t="s">
        <v>1101</v>
      </c>
      <c r="B527">
        <v>1424</v>
      </c>
      <c r="C527" t="s">
        <v>40</v>
      </c>
      <c r="D527">
        <v>500</v>
      </c>
      <c r="E527" t="s">
        <v>576</v>
      </c>
      <c r="F527">
        <v>500</v>
      </c>
    </row>
    <row r="528" spans="1:6" ht="15" customHeight="1" x14ac:dyDescent="0.25">
      <c r="A528" t="s">
        <v>1102</v>
      </c>
      <c r="B528">
        <v>1424</v>
      </c>
      <c r="C528" t="s">
        <v>41</v>
      </c>
      <c r="D528">
        <v>500</v>
      </c>
      <c r="E528" t="s">
        <v>576</v>
      </c>
      <c r="F528">
        <v>500</v>
      </c>
    </row>
    <row r="529" spans="1:6" ht="15" customHeight="1" x14ac:dyDescent="0.25">
      <c r="A529" t="s">
        <v>1103</v>
      </c>
      <c r="B529">
        <v>1428</v>
      </c>
      <c r="C529" t="s">
        <v>30</v>
      </c>
      <c r="D529">
        <v>500</v>
      </c>
      <c r="E529" t="s">
        <v>576</v>
      </c>
      <c r="F529">
        <v>500</v>
      </c>
    </row>
    <row r="530" spans="1:6" ht="15" customHeight="1" x14ac:dyDescent="0.25">
      <c r="A530" t="s">
        <v>1104</v>
      </c>
      <c r="B530">
        <v>1428</v>
      </c>
      <c r="C530" t="s">
        <v>31</v>
      </c>
      <c r="D530">
        <v>500</v>
      </c>
      <c r="E530" t="s">
        <v>576</v>
      </c>
      <c r="F530">
        <v>500</v>
      </c>
    </row>
    <row r="531" spans="1:6" ht="15" customHeight="1" x14ac:dyDescent="0.25">
      <c r="A531" t="s">
        <v>1105</v>
      </c>
      <c r="B531">
        <v>1428</v>
      </c>
      <c r="C531" t="s">
        <v>32</v>
      </c>
      <c r="D531">
        <v>500</v>
      </c>
      <c r="E531" t="s">
        <v>576</v>
      </c>
      <c r="F531">
        <v>500</v>
      </c>
    </row>
    <row r="532" spans="1:6" ht="15" customHeight="1" x14ac:dyDescent="0.25">
      <c r="A532" t="s">
        <v>1106</v>
      </c>
      <c r="B532">
        <v>1428</v>
      </c>
      <c r="C532" t="s">
        <v>33</v>
      </c>
      <c r="D532">
        <v>500</v>
      </c>
      <c r="E532" t="s">
        <v>576</v>
      </c>
      <c r="F532">
        <v>500</v>
      </c>
    </row>
    <row r="533" spans="1:6" ht="15" customHeight="1" x14ac:dyDescent="0.25">
      <c r="A533" t="s">
        <v>1107</v>
      </c>
      <c r="B533">
        <v>1428</v>
      </c>
      <c r="C533" t="s">
        <v>34</v>
      </c>
      <c r="D533">
        <v>500</v>
      </c>
      <c r="E533" t="s">
        <v>576</v>
      </c>
      <c r="F533">
        <v>500</v>
      </c>
    </row>
    <row r="534" spans="1:6" ht="15" customHeight="1" x14ac:dyDescent="0.25">
      <c r="A534" t="s">
        <v>1108</v>
      </c>
      <c r="B534">
        <v>1428</v>
      </c>
      <c r="C534" t="s">
        <v>35</v>
      </c>
      <c r="D534">
        <v>500</v>
      </c>
      <c r="E534" t="s">
        <v>576</v>
      </c>
      <c r="F534">
        <v>500</v>
      </c>
    </row>
    <row r="535" spans="1:6" ht="15" customHeight="1" x14ac:dyDescent="0.25">
      <c r="A535" t="s">
        <v>1109</v>
      </c>
      <c r="B535">
        <v>1428</v>
      </c>
      <c r="C535" t="s">
        <v>36</v>
      </c>
      <c r="D535">
        <v>500</v>
      </c>
      <c r="E535" t="s">
        <v>576</v>
      </c>
      <c r="F535">
        <v>500</v>
      </c>
    </row>
    <row r="536" spans="1:6" ht="15" customHeight="1" x14ac:dyDescent="0.25">
      <c r="A536" t="s">
        <v>1110</v>
      </c>
      <c r="B536">
        <v>1428</v>
      </c>
      <c r="C536" t="s">
        <v>37</v>
      </c>
      <c r="D536">
        <v>500</v>
      </c>
      <c r="E536" t="s">
        <v>576</v>
      </c>
      <c r="F536">
        <v>500</v>
      </c>
    </row>
    <row r="537" spans="1:6" ht="15" customHeight="1" x14ac:dyDescent="0.25">
      <c r="A537" t="s">
        <v>1111</v>
      </c>
      <c r="B537">
        <v>1428</v>
      </c>
      <c r="C537" t="s">
        <v>38</v>
      </c>
      <c r="D537">
        <v>500</v>
      </c>
      <c r="E537" t="s">
        <v>576</v>
      </c>
      <c r="F537">
        <v>500</v>
      </c>
    </row>
    <row r="538" spans="1:6" ht="15" customHeight="1" x14ac:dyDescent="0.25">
      <c r="A538" t="s">
        <v>1112</v>
      </c>
      <c r="B538">
        <v>1438</v>
      </c>
      <c r="C538" t="s">
        <v>39</v>
      </c>
      <c r="D538">
        <v>200</v>
      </c>
      <c r="E538" t="s">
        <v>576</v>
      </c>
      <c r="F538">
        <v>200</v>
      </c>
    </row>
    <row r="539" spans="1:6" ht="15" customHeight="1" x14ac:dyDescent="0.25">
      <c r="A539" t="s">
        <v>1113</v>
      </c>
      <c r="B539">
        <v>1438</v>
      </c>
      <c r="C539" t="s">
        <v>40</v>
      </c>
      <c r="D539">
        <v>200</v>
      </c>
      <c r="E539" t="s">
        <v>576</v>
      </c>
      <c r="F539">
        <v>200</v>
      </c>
    </row>
    <row r="540" spans="1:6" ht="15" customHeight="1" x14ac:dyDescent="0.25">
      <c r="A540" t="s">
        <v>1114</v>
      </c>
      <c r="B540">
        <v>1442</v>
      </c>
      <c r="C540" t="s">
        <v>37</v>
      </c>
      <c r="D540">
        <v>50</v>
      </c>
      <c r="E540" t="s">
        <v>576</v>
      </c>
      <c r="F540">
        <v>50</v>
      </c>
    </row>
    <row r="541" spans="1:6" ht="15" customHeight="1" x14ac:dyDescent="0.25">
      <c r="A541" t="s">
        <v>1115</v>
      </c>
      <c r="B541">
        <v>1442</v>
      </c>
      <c r="C541" t="s">
        <v>38</v>
      </c>
      <c r="D541">
        <v>50</v>
      </c>
      <c r="E541" t="s">
        <v>576</v>
      </c>
      <c r="F541">
        <v>50</v>
      </c>
    </row>
    <row r="542" spans="1:6" ht="15" customHeight="1" x14ac:dyDescent="0.25">
      <c r="A542" t="s">
        <v>1116</v>
      </c>
      <c r="B542">
        <v>1442</v>
      </c>
      <c r="C542" t="s">
        <v>39</v>
      </c>
      <c r="D542">
        <v>50</v>
      </c>
      <c r="E542" t="s">
        <v>576</v>
      </c>
      <c r="F542">
        <v>50</v>
      </c>
    </row>
    <row r="543" spans="1:6" ht="15" customHeight="1" x14ac:dyDescent="0.25">
      <c r="A543" t="s">
        <v>1117</v>
      </c>
      <c r="B543">
        <v>1443</v>
      </c>
      <c r="C543" t="s">
        <v>38</v>
      </c>
      <c r="D543">
        <v>500</v>
      </c>
      <c r="E543" t="s">
        <v>576</v>
      </c>
      <c r="F543">
        <v>500</v>
      </c>
    </row>
    <row r="544" spans="1:6" ht="15" customHeight="1" x14ac:dyDescent="0.25">
      <c r="A544" t="s">
        <v>1118</v>
      </c>
      <c r="B544">
        <v>1443</v>
      </c>
      <c r="C544" t="s">
        <v>39</v>
      </c>
      <c r="D544">
        <v>500</v>
      </c>
      <c r="E544" t="s">
        <v>576</v>
      </c>
      <c r="F544">
        <v>500</v>
      </c>
    </row>
    <row r="545" spans="1:6" ht="15" customHeight="1" x14ac:dyDescent="0.25">
      <c r="A545" t="s">
        <v>1119</v>
      </c>
      <c r="B545">
        <v>1443</v>
      </c>
      <c r="C545" t="s">
        <v>40</v>
      </c>
      <c r="D545">
        <v>500</v>
      </c>
      <c r="E545" t="s">
        <v>576</v>
      </c>
      <c r="F545">
        <v>500</v>
      </c>
    </row>
    <row r="546" spans="1:6" ht="15" customHeight="1" x14ac:dyDescent="0.25">
      <c r="A546" t="s">
        <v>1120</v>
      </c>
      <c r="B546">
        <v>1443</v>
      </c>
      <c r="C546" t="s">
        <v>41</v>
      </c>
      <c r="D546">
        <v>500</v>
      </c>
      <c r="E546" t="s">
        <v>576</v>
      </c>
      <c r="F546">
        <v>500</v>
      </c>
    </row>
    <row r="547" spans="1:6" ht="15" customHeight="1" x14ac:dyDescent="0.25">
      <c r="A547" t="s">
        <v>1121</v>
      </c>
      <c r="B547">
        <v>1443</v>
      </c>
      <c r="C547" t="s">
        <v>42</v>
      </c>
      <c r="D547">
        <v>500</v>
      </c>
      <c r="E547" t="s">
        <v>576</v>
      </c>
      <c r="F547">
        <v>500</v>
      </c>
    </row>
    <row r="548" spans="1:6" ht="15" customHeight="1" x14ac:dyDescent="0.25">
      <c r="A548" t="s">
        <v>1122</v>
      </c>
      <c r="B548">
        <v>1448</v>
      </c>
      <c r="C548" t="s">
        <v>30</v>
      </c>
      <c r="D548">
        <v>200</v>
      </c>
      <c r="E548" t="s">
        <v>576</v>
      </c>
      <c r="F548">
        <v>200</v>
      </c>
    </row>
    <row r="549" spans="1:6" ht="15" customHeight="1" x14ac:dyDescent="0.25">
      <c r="A549" t="s">
        <v>1123</v>
      </c>
      <c r="B549">
        <v>1448</v>
      </c>
      <c r="C549" t="s">
        <v>31</v>
      </c>
      <c r="D549">
        <v>200</v>
      </c>
      <c r="E549" t="s">
        <v>576</v>
      </c>
      <c r="F549">
        <v>200</v>
      </c>
    </row>
    <row r="550" spans="1:6" ht="15" customHeight="1" x14ac:dyDescent="0.25">
      <c r="A550" t="s">
        <v>1124</v>
      </c>
      <c r="B550">
        <v>1448</v>
      </c>
      <c r="C550" t="s">
        <v>32</v>
      </c>
      <c r="D550">
        <v>200</v>
      </c>
      <c r="E550" t="s">
        <v>576</v>
      </c>
      <c r="F550">
        <v>200</v>
      </c>
    </row>
    <row r="551" spans="1:6" ht="15" customHeight="1" x14ac:dyDescent="0.25">
      <c r="A551" t="s">
        <v>1125</v>
      </c>
      <c r="B551">
        <v>1450</v>
      </c>
      <c r="C551" t="s">
        <v>27</v>
      </c>
      <c r="D551">
        <v>50</v>
      </c>
      <c r="E551" t="s">
        <v>576</v>
      </c>
      <c r="F551">
        <v>50</v>
      </c>
    </row>
    <row r="552" spans="1:6" ht="15" customHeight="1" x14ac:dyDescent="0.25">
      <c r="A552" t="s">
        <v>1126</v>
      </c>
      <c r="B552">
        <v>1450</v>
      </c>
      <c r="C552" t="s">
        <v>28</v>
      </c>
      <c r="D552">
        <v>50</v>
      </c>
      <c r="E552" t="s">
        <v>576</v>
      </c>
      <c r="F552">
        <v>50</v>
      </c>
    </row>
    <row r="553" spans="1:6" ht="15" customHeight="1" x14ac:dyDescent="0.25">
      <c r="A553" t="s">
        <v>1127</v>
      </c>
      <c r="B553">
        <v>1450</v>
      </c>
      <c r="C553" t="s">
        <v>29</v>
      </c>
      <c r="D553">
        <v>50</v>
      </c>
      <c r="E553" t="s">
        <v>576</v>
      </c>
      <c r="F553">
        <v>50</v>
      </c>
    </row>
    <row r="554" spans="1:6" ht="15" customHeight="1" x14ac:dyDescent="0.25">
      <c r="A554" t="s">
        <v>1128</v>
      </c>
      <c r="B554">
        <v>1450</v>
      </c>
      <c r="C554" t="s">
        <v>30</v>
      </c>
      <c r="D554">
        <v>50</v>
      </c>
      <c r="E554" t="s">
        <v>576</v>
      </c>
      <c r="F554">
        <v>50</v>
      </c>
    </row>
    <row r="555" spans="1:6" ht="15" customHeight="1" x14ac:dyDescent="0.25">
      <c r="A555" t="s">
        <v>1129</v>
      </c>
      <c r="B555">
        <v>1450</v>
      </c>
      <c r="C555" t="s">
        <v>31</v>
      </c>
      <c r="D555">
        <v>50</v>
      </c>
      <c r="E555" t="s">
        <v>576</v>
      </c>
      <c r="F555">
        <v>50</v>
      </c>
    </row>
    <row r="556" spans="1:6" ht="15" customHeight="1" x14ac:dyDescent="0.25">
      <c r="A556" t="s">
        <v>1130</v>
      </c>
      <c r="B556">
        <v>1450</v>
      </c>
      <c r="C556" t="s">
        <v>32</v>
      </c>
      <c r="D556">
        <v>50</v>
      </c>
      <c r="E556" t="s">
        <v>576</v>
      </c>
      <c r="F556">
        <v>50</v>
      </c>
    </row>
    <row r="557" spans="1:6" ht="15" customHeight="1" x14ac:dyDescent="0.25">
      <c r="A557" t="s">
        <v>1131</v>
      </c>
      <c r="B557">
        <v>1450</v>
      </c>
      <c r="C557" t="s">
        <v>33</v>
      </c>
      <c r="D557">
        <v>50</v>
      </c>
      <c r="E557" t="s">
        <v>576</v>
      </c>
      <c r="F557">
        <v>50</v>
      </c>
    </row>
    <row r="558" spans="1:6" ht="15" customHeight="1" x14ac:dyDescent="0.25">
      <c r="A558" t="s">
        <v>1132</v>
      </c>
      <c r="B558">
        <v>1450</v>
      </c>
      <c r="C558" t="s">
        <v>34</v>
      </c>
      <c r="D558">
        <v>50</v>
      </c>
      <c r="E558" t="s">
        <v>576</v>
      </c>
      <c r="F558">
        <v>50</v>
      </c>
    </row>
    <row r="559" spans="1:6" ht="15" customHeight="1" x14ac:dyDescent="0.25">
      <c r="A559" t="s">
        <v>1133</v>
      </c>
      <c r="B559">
        <v>1450</v>
      </c>
      <c r="C559" t="s">
        <v>35</v>
      </c>
      <c r="D559">
        <v>50</v>
      </c>
      <c r="E559" t="s">
        <v>576</v>
      </c>
      <c r="F559">
        <v>50</v>
      </c>
    </row>
    <row r="560" spans="1:6" ht="15" customHeight="1" x14ac:dyDescent="0.25">
      <c r="A560" t="s">
        <v>1134</v>
      </c>
      <c r="B560">
        <v>1450</v>
      </c>
      <c r="C560" t="s">
        <v>36</v>
      </c>
      <c r="D560">
        <v>50</v>
      </c>
      <c r="E560" t="s">
        <v>576</v>
      </c>
      <c r="F560">
        <v>50</v>
      </c>
    </row>
    <row r="561" spans="1:6" ht="15" customHeight="1" x14ac:dyDescent="0.25">
      <c r="A561" t="s">
        <v>1135</v>
      </c>
      <c r="B561">
        <v>1450</v>
      </c>
      <c r="C561" t="s">
        <v>37</v>
      </c>
      <c r="D561">
        <v>50</v>
      </c>
      <c r="E561" t="s">
        <v>576</v>
      </c>
      <c r="F561">
        <v>50</v>
      </c>
    </row>
    <row r="562" spans="1:6" ht="15" customHeight="1" x14ac:dyDescent="0.25">
      <c r="A562" t="s">
        <v>1136</v>
      </c>
      <c r="B562">
        <v>1450</v>
      </c>
      <c r="C562" t="s">
        <v>38</v>
      </c>
      <c r="D562">
        <v>50</v>
      </c>
      <c r="E562" t="s">
        <v>576</v>
      </c>
      <c r="F562">
        <v>50</v>
      </c>
    </row>
    <row r="563" spans="1:6" ht="15" customHeight="1" x14ac:dyDescent="0.25">
      <c r="A563" t="s">
        <v>1137</v>
      </c>
      <c r="B563">
        <v>1450</v>
      </c>
      <c r="C563" t="s">
        <v>39</v>
      </c>
      <c r="D563">
        <v>50</v>
      </c>
      <c r="E563" t="s">
        <v>576</v>
      </c>
      <c r="F563">
        <v>50</v>
      </c>
    </row>
    <row r="564" spans="1:6" ht="15" customHeight="1" x14ac:dyDescent="0.25">
      <c r="A564" t="s">
        <v>1138</v>
      </c>
      <c r="B564">
        <v>1450</v>
      </c>
      <c r="C564" t="s">
        <v>40</v>
      </c>
      <c r="D564">
        <v>50</v>
      </c>
      <c r="E564" t="s">
        <v>576</v>
      </c>
      <c r="F564">
        <v>50</v>
      </c>
    </row>
    <row r="565" spans="1:6" ht="15" customHeight="1" x14ac:dyDescent="0.25">
      <c r="A565" t="s">
        <v>1139</v>
      </c>
      <c r="B565">
        <v>1453</v>
      </c>
      <c r="C565" t="s">
        <v>40</v>
      </c>
      <c r="D565">
        <v>500</v>
      </c>
      <c r="E565" t="s">
        <v>576</v>
      </c>
      <c r="F565">
        <v>500</v>
      </c>
    </row>
    <row r="566" spans="1:6" ht="15" customHeight="1" x14ac:dyDescent="0.25">
      <c r="A566" t="s">
        <v>1140</v>
      </c>
      <c r="B566">
        <v>1453</v>
      </c>
      <c r="C566" t="s">
        <v>41</v>
      </c>
      <c r="D566">
        <v>500</v>
      </c>
      <c r="E566" t="s">
        <v>576</v>
      </c>
      <c r="F566">
        <v>500</v>
      </c>
    </row>
    <row r="567" spans="1:6" ht="15" customHeight="1" x14ac:dyDescent="0.25">
      <c r="A567" t="s">
        <v>1141</v>
      </c>
      <c r="B567">
        <v>1457</v>
      </c>
      <c r="C567" t="s">
        <v>37</v>
      </c>
      <c r="D567">
        <v>500</v>
      </c>
      <c r="E567" t="s">
        <v>576</v>
      </c>
      <c r="F567">
        <v>500</v>
      </c>
    </row>
    <row r="568" spans="1:6" ht="15" customHeight="1" x14ac:dyDescent="0.25">
      <c r="A568" t="s">
        <v>1142</v>
      </c>
      <c r="B568">
        <v>1457</v>
      </c>
      <c r="C568" t="s">
        <v>38</v>
      </c>
      <c r="D568">
        <v>500</v>
      </c>
      <c r="E568" t="s">
        <v>576</v>
      </c>
      <c r="F568">
        <v>500</v>
      </c>
    </row>
    <row r="569" spans="1:6" ht="15" customHeight="1" x14ac:dyDescent="0.25">
      <c r="A569" t="s">
        <v>1143</v>
      </c>
      <c r="B569">
        <v>1457</v>
      </c>
      <c r="C569" t="s">
        <v>39</v>
      </c>
      <c r="D569">
        <v>500</v>
      </c>
      <c r="E569" t="s">
        <v>576</v>
      </c>
      <c r="F569">
        <v>500</v>
      </c>
    </row>
    <row r="570" spans="1:6" ht="15" customHeight="1" x14ac:dyDescent="0.25">
      <c r="A570" t="s">
        <v>1144</v>
      </c>
      <c r="B570">
        <v>1457</v>
      </c>
      <c r="C570" t="s">
        <v>40</v>
      </c>
      <c r="D570">
        <v>500</v>
      </c>
      <c r="E570" t="s">
        <v>576</v>
      </c>
      <c r="F570">
        <v>500</v>
      </c>
    </row>
    <row r="571" spans="1:6" ht="15" customHeight="1" x14ac:dyDescent="0.25">
      <c r="A571" t="s">
        <v>1145</v>
      </c>
      <c r="B571">
        <v>1457</v>
      </c>
      <c r="C571" t="s">
        <v>41</v>
      </c>
      <c r="D571">
        <v>500</v>
      </c>
      <c r="E571" t="s">
        <v>576</v>
      </c>
      <c r="F571">
        <v>500</v>
      </c>
    </row>
    <row r="572" spans="1:6" ht="15" customHeight="1" x14ac:dyDescent="0.25">
      <c r="A572" t="s">
        <v>1146</v>
      </c>
      <c r="B572">
        <v>1465</v>
      </c>
      <c r="C572" t="s">
        <v>33</v>
      </c>
      <c r="D572">
        <v>50</v>
      </c>
      <c r="E572" t="s">
        <v>576</v>
      </c>
      <c r="F572">
        <v>50</v>
      </c>
    </row>
    <row r="573" spans="1:6" ht="15" customHeight="1" x14ac:dyDescent="0.25">
      <c r="A573" t="s">
        <v>1147</v>
      </c>
      <c r="B573">
        <v>1465</v>
      </c>
      <c r="C573" t="s">
        <v>34</v>
      </c>
      <c r="D573">
        <v>50</v>
      </c>
      <c r="E573" t="s">
        <v>576</v>
      </c>
      <c r="F573">
        <v>50</v>
      </c>
    </row>
    <row r="574" spans="1:6" ht="15" customHeight="1" x14ac:dyDescent="0.25">
      <c r="A574" t="s">
        <v>1148</v>
      </c>
      <c r="B574">
        <v>1465</v>
      </c>
      <c r="C574" t="s">
        <v>35</v>
      </c>
      <c r="D574">
        <v>50</v>
      </c>
      <c r="E574" t="s">
        <v>576</v>
      </c>
      <c r="F574">
        <v>50</v>
      </c>
    </row>
    <row r="575" spans="1:6" ht="15" customHeight="1" x14ac:dyDescent="0.25">
      <c r="A575" t="s">
        <v>1149</v>
      </c>
      <c r="B575">
        <v>1471</v>
      </c>
      <c r="C575" t="s">
        <v>25</v>
      </c>
      <c r="D575">
        <v>200</v>
      </c>
      <c r="E575" t="s">
        <v>576</v>
      </c>
      <c r="F575">
        <v>200</v>
      </c>
    </row>
    <row r="576" spans="1:6" ht="15" customHeight="1" x14ac:dyDescent="0.25">
      <c r="A576" t="s">
        <v>1150</v>
      </c>
      <c r="B576">
        <v>1471</v>
      </c>
      <c r="C576" t="s">
        <v>26</v>
      </c>
      <c r="D576">
        <v>200</v>
      </c>
      <c r="E576" t="s">
        <v>576</v>
      </c>
      <c r="F576">
        <v>200</v>
      </c>
    </row>
    <row r="577" spans="1:6" ht="15" customHeight="1" x14ac:dyDescent="0.25">
      <c r="A577" t="s">
        <v>1151</v>
      </c>
      <c r="B577">
        <v>1471</v>
      </c>
      <c r="C577" t="s">
        <v>27</v>
      </c>
      <c r="D577">
        <v>200</v>
      </c>
      <c r="E577" t="s">
        <v>576</v>
      </c>
      <c r="F577">
        <v>200</v>
      </c>
    </row>
    <row r="578" spans="1:6" ht="15" customHeight="1" x14ac:dyDescent="0.25">
      <c r="A578" t="s">
        <v>1152</v>
      </c>
      <c r="B578">
        <v>1471</v>
      </c>
      <c r="C578" t="s">
        <v>28</v>
      </c>
      <c r="D578">
        <v>200</v>
      </c>
      <c r="E578" t="s">
        <v>576</v>
      </c>
      <c r="F578">
        <v>200</v>
      </c>
    </row>
    <row r="579" spans="1:6" ht="15" customHeight="1" x14ac:dyDescent="0.25">
      <c r="A579" t="s">
        <v>1153</v>
      </c>
      <c r="B579">
        <v>1471</v>
      </c>
      <c r="C579" t="s">
        <v>29</v>
      </c>
      <c r="D579">
        <v>200</v>
      </c>
      <c r="E579" t="s">
        <v>576</v>
      </c>
      <c r="F579">
        <v>200</v>
      </c>
    </row>
    <row r="580" spans="1:6" ht="15" customHeight="1" x14ac:dyDescent="0.25">
      <c r="A580" t="s">
        <v>1154</v>
      </c>
      <c r="B580">
        <v>1475</v>
      </c>
      <c r="C580" t="s">
        <v>32</v>
      </c>
      <c r="D580">
        <v>200</v>
      </c>
      <c r="E580" t="s">
        <v>576</v>
      </c>
      <c r="F580">
        <v>200</v>
      </c>
    </row>
    <row r="581" spans="1:6" ht="15" customHeight="1" x14ac:dyDescent="0.25">
      <c r="A581" t="s">
        <v>1155</v>
      </c>
      <c r="B581">
        <v>1475</v>
      </c>
      <c r="C581" t="s">
        <v>33</v>
      </c>
      <c r="D581">
        <v>200</v>
      </c>
      <c r="E581" t="s">
        <v>576</v>
      </c>
      <c r="F581">
        <v>200</v>
      </c>
    </row>
    <row r="582" spans="1:6" ht="15" customHeight="1" x14ac:dyDescent="0.25">
      <c r="A582" t="s">
        <v>1156</v>
      </c>
      <c r="B582">
        <v>1475</v>
      </c>
      <c r="C582" t="s">
        <v>34</v>
      </c>
      <c r="D582">
        <v>200</v>
      </c>
      <c r="E582" t="s">
        <v>576</v>
      </c>
      <c r="F582">
        <v>200</v>
      </c>
    </row>
    <row r="583" spans="1:6" ht="15" customHeight="1" x14ac:dyDescent="0.25">
      <c r="A583" t="s">
        <v>1157</v>
      </c>
      <c r="B583">
        <v>1475</v>
      </c>
      <c r="C583" t="s">
        <v>35</v>
      </c>
      <c r="D583">
        <v>200</v>
      </c>
      <c r="E583" t="s">
        <v>576</v>
      </c>
      <c r="F583">
        <v>200</v>
      </c>
    </row>
    <row r="584" spans="1:6" ht="15" customHeight="1" x14ac:dyDescent="0.25">
      <c r="A584" t="s">
        <v>1158</v>
      </c>
      <c r="B584">
        <v>1475</v>
      </c>
      <c r="C584" t="s">
        <v>36</v>
      </c>
      <c r="D584">
        <v>200</v>
      </c>
      <c r="E584" t="s">
        <v>576</v>
      </c>
      <c r="F584">
        <v>200</v>
      </c>
    </row>
    <row r="585" spans="1:6" ht="15" customHeight="1" x14ac:dyDescent="0.25">
      <c r="A585" t="s">
        <v>1159</v>
      </c>
      <c r="B585">
        <v>1475</v>
      </c>
      <c r="C585" t="s">
        <v>37</v>
      </c>
      <c r="D585">
        <v>200</v>
      </c>
      <c r="E585" t="s">
        <v>576</v>
      </c>
      <c r="F585">
        <v>200</v>
      </c>
    </row>
    <row r="586" spans="1:6" ht="15" customHeight="1" x14ac:dyDescent="0.25">
      <c r="A586" t="s">
        <v>1160</v>
      </c>
      <c r="B586">
        <v>1475</v>
      </c>
      <c r="C586" t="s">
        <v>38</v>
      </c>
      <c r="D586">
        <v>200</v>
      </c>
      <c r="E586" t="s">
        <v>576</v>
      </c>
      <c r="F586">
        <v>200</v>
      </c>
    </row>
    <row r="587" spans="1:6" ht="15" customHeight="1" x14ac:dyDescent="0.25">
      <c r="A587" t="s">
        <v>1161</v>
      </c>
      <c r="B587">
        <v>1475</v>
      </c>
      <c r="C587" t="s">
        <v>39</v>
      </c>
      <c r="D587">
        <v>200</v>
      </c>
      <c r="E587" t="s">
        <v>576</v>
      </c>
      <c r="F587">
        <v>200</v>
      </c>
    </row>
    <row r="588" spans="1:6" ht="15" customHeight="1" x14ac:dyDescent="0.25">
      <c r="A588" t="s">
        <v>1162</v>
      </c>
      <c r="B588">
        <v>1478</v>
      </c>
      <c r="C588" t="s">
        <v>27</v>
      </c>
      <c r="D588">
        <v>200</v>
      </c>
      <c r="E588" t="s">
        <v>576</v>
      </c>
      <c r="F588">
        <v>200</v>
      </c>
    </row>
    <row r="589" spans="1:6" ht="15" customHeight="1" x14ac:dyDescent="0.25">
      <c r="A589" t="s">
        <v>1163</v>
      </c>
      <c r="B589">
        <v>1478</v>
      </c>
      <c r="C589" t="s">
        <v>28</v>
      </c>
      <c r="D589">
        <v>200</v>
      </c>
      <c r="E589" t="s">
        <v>576</v>
      </c>
      <c r="F589">
        <v>200</v>
      </c>
    </row>
    <row r="590" spans="1:6" ht="15" customHeight="1" x14ac:dyDescent="0.25">
      <c r="A590" t="s">
        <v>1164</v>
      </c>
      <c r="B590">
        <v>1478</v>
      </c>
      <c r="C590" t="s">
        <v>29</v>
      </c>
      <c r="D590">
        <v>200</v>
      </c>
      <c r="E590" t="s">
        <v>576</v>
      </c>
      <c r="F590">
        <v>200</v>
      </c>
    </row>
    <row r="591" spans="1:6" ht="15" customHeight="1" x14ac:dyDescent="0.25">
      <c r="A591" t="s">
        <v>1165</v>
      </c>
      <c r="B591">
        <v>1478</v>
      </c>
      <c r="C591" t="s">
        <v>30</v>
      </c>
      <c r="D591">
        <v>200</v>
      </c>
      <c r="E591" t="s">
        <v>576</v>
      </c>
      <c r="F591">
        <v>200</v>
      </c>
    </row>
    <row r="592" spans="1:6" ht="15" customHeight="1" x14ac:dyDescent="0.25">
      <c r="A592" t="s">
        <v>1166</v>
      </c>
      <c r="B592">
        <v>1478</v>
      </c>
      <c r="C592" t="s">
        <v>31</v>
      </c>
      <c r="D592">
        <v>200</v>
      </c>
      <c r="E592" t="s">
        <v>576</v>
      </c>
      <c r="F592">
        <v>200</v>
      </c>
    </row>
    <row r="593" spans="1:6" ht="15" customHeight="1" x14ac:dyDescent="0.25">
      <c r="A593" t="s">
        <v>1167</v>
      </c>
      <c r="B593">
        <v>1478</v>
      </c>
      <c r="C593" t="s">
        <v>32</v>
      </c>
      <c r="D593">
        <v>200</v>
      </c>
      <c r="E593" t="s">
        <v>576</v>
      </c>
      <c r="F593">
        <v>200</v>
      </c>
    </row>
    <row r="594" spans="1:6" ht="15" customHeight="1" x14ac:dyDescent="0.25">
      <c r="A594" t="s">
        <v>1168</v>
      </c>
      <c r="B594">
        <v>1478</v>
      </c>
      <c r="C594" t="s">
        <v>33</v>
      </c>
      <c r="D594">
        <v>200</v>
      </c>
      <c r="E594" t="s">
        <v>576</v>
      </c>
      <c r="F594">
        <v>200</v>
      </c>
    </row>
    <row r="595" spans="1:6" ht="15" customHeight="1" x14ac:dyDescent="0.25">
      <c r="A595" t="s">
        <v>1169</v>
      </c>
      <c r="B595">
        <v>1501</v>
      </c>
      <c r="C595" t="s">
        <v>39</v>
      </c>
      <c r="D595">
        <v>500</v>
      </c>
      <c r="E595" t="s">
        <v>576</v>
      </c>
      <c r="F595">
        <v>500</v>
      </c>
    </row>
    <row r="596" spans="1:6" ht="15" customHeight="1" x14ac:dyDescent="0.25">
      <c r="A596" t="s">
        <v>1170</v>
      </c>
      <c r="B596">
        <v>1501</v>
      </c>
      <c r="C596" t="s">
        <v>40</v>
      </c>
      <c r="D596">
        <v>500</v>
      </c>
      <c r="E596" t="s">
        <v>576</v>
      </c>
      <c r="F596">
        <v>500</v>
      </c>
    </row>
    <row r="597" spans="1:6" ht="15" customHeight="1" x14ac:dyDescent="0.25">
      <c r="A597" t="s">
        <v>1171</v>
      </c>
      <c r="B597">
        <v>1501</v>
      </c>
      <c r="C597" t="s">
        <v>41</v>
      </c>
      <c r="D597">
        <v>500</v>
      </c>
      <c r="E597" t="s">
        <v>576</v>
      </c>
      <c r="F597">
        <v>500</v>
      </c>
    </row>
    <row r="598" spans="1:6" ht="15" customHeight="1" x14ac:dyDescent="0.25">
      <c r="A598" t="s">
        <v>1172</v>
      </c>
      <c r="B598">
        <v>1510</v>
      </c>
      <c r="C598" t="s">
        <v>25</v>
      </c>
      <c r="D598">
        <v>500</v>
      </c>
      <c r="E598" t="s">
        <v>576</v>
      </c>
      <c r="F598">
        <v>500</v>
      </c>
    </row>
    <row r="599" spans="1:6" ht="15" customHeight="1" x14ac:dyDescent="0.25">
      <c r="A599" t="s">
        <v>1173</v>
      </c>
      <c r="B599">
        <v>1510</v>
      </c>
      <c r="C599" t="s">
        <v>26</v>
      </c>
      <c r="D599">
        <v>500</v>
      </c>
      <c r="E599" t="s">
        <v>576</v>
      </c>
      <c r="F599">
        <v>500</v>
      </c>
    </row>
    <row r="600" spans="1:6" ht="15" customHeight="1" x14ac:dyDescent="0.25">
      <c r="A600" t="s">
        <v>1174</v>
      </c>
      <c r="B600">
        <v>1510</v>
      </c>
      <c r="C600" t="s">
        <v>27</v>
      </c>
      <c r="D600">
        <v>500</v>
      </c>
      <c r="E600" t="s">
        <v>576</v>
      </c>
      <c r="F600">
        <v>500</v>
      </c>
    </row>
    <row r="601" spans="1:6" ht="15" customHeight="1" x14ac:dyDescent="0.25">
      <c r="A601" t="s">
        <v>1175</v>
      </c>
      <c r="B601">
        <v>1510</v>
      </c>
      <c r="C601" t="s">
        <v>28</v>
      </c>
      <c r="D601">
        <v>500</v>
      </c>
      <c r="E601" t="s">
        <v>576</v>
      </c>
      <c r="F601">
        <v>500</v>
      </c>
    </row>
    <row r="602" spans="1:6" ht="15" customHeight="1" x14ac:dyDescent="0.25">
      <c r="A602" t="s">
        <v>1176</v>
      </c>
      <c r="B602">
        <v>1510</v>
      </c>
      <c r="C602" t="s">
        <v>29</v>
      </c>
      <c r="D602">
        <v>500</v>
      </c>
      <c r="E602" t="s">
        <v>576</v>
      </c>
      <c r="F602">
        <v>500</v>
      </c>
    </row>
    <row r="603" spans="1:6" ht="15" customHeight="1" x14ac:dyDescent="0.25">
      <c r="A603" t="s">
        <v>1177</v>
      </c>
      <c r="B603">
        <v>1510</v>
      </c>
      <c r="C603" t="s">
        <v>30</v>
      </c>
      <c r="D603">
        <v>500</v>
      </c>
      <c r="E603" t="s">
        <v>576</v>
      </c>
      <c r="F603">
        <v>500</v>
      </c>
    </row>
    <row r="604" spans="1:6" ht="15" customHeight="1" x14ac:dyDescent="0.25">
      <c r="A604" t="s">
        <v>1178</v>
      </c>
      <c r="B604">
        <v>1510</v>
      </c>
      <c r="C604" t="s">
        <v>31</v>
      </c>
      <c r="D604">
        <v>500</v>
      </c>
      <c r="E604" t="s">
        <v>576</v>
      </c>
      <c r="F604">
        <v>500</v>
      </c>
    </row>
    <row r="605" spans="1:6" ht="15" customHeight="1" x14ac:dyDescent="0.25">
      <c r="A605" t="s">
        <v>1179</v>
      </c>
      <c r="B605">
        <v>1510</v>
      </c>
      <c r="C605" t="s">
        <v>32</v>
      </c>
      <c r="D605">
        <v>500</v>
      </c>
      <c r="E605" t="s">
        <v>576</v>
      </c>
      <c r="F605">
        <v>500</v>
      </c>
    </row>
    <row r="606" spans="1:6" ht="15" customHeight="1" x14ac:dyDescent="0.25">
      <c r="A606" t="s">
        <v>1180</v>
      </c>
      <c r="B606">
        <v>1510</v>
      </c>
      <c r="C606" t="s">
        <v>33</v>
      </c>
      <c r="D606">
        <v>500</v>
      </c>
      <c r="E606" t="s">
        <v>576</v>
      </c>
      <c r="F606">
        <v>500</v>
      </c>
    </row>
    <row r="607" spans="1:6" ht="15" customHeight="1" x14ac:dyDescent="0.25">
      <c r="A607" t="s">
        <v>1181</v>
      </c>
      <c r="B607">
        <v>1510</v>
      </c>
      <c r="C607" t="s">
        <v>34</v>
      </c>
      <c r="D607">
        <v>500</v>
      </c>
      <c r="E607" t="s">
        <v>576</v>
      </c>
      <c r="F607">
        <v>500</v>
      </c>
    </row>
    <row r="608" spans="1:6" ht="15" customHeight="1" x14ac:dyDescent="0.25">
      <c r="A608" t="s">
        <v>1182</v>
      </c>
      <c r="B608">
        <v>1510</v>
      </c>
      <c r="C608" t="s">
        <v>35</v>
      </c>
      <c r="D608">
        <v>500</v>
      </c>
      <c r="E608" t="s">
        <v>576</v>
      </c>
      <c r="F608">
        <v>500</v>
      </c>
    </row>
    <row r="609" spans="1:6" ht="15" customHeight="1" x14ac:dyDescent="0.25">
      <c r="A609" t="s">
        <v>1183</v>
      </c>
      <c r="B609">
        <v>1519</v>
      </c>
      <c r="C609" t="s">
        <v>26</v>
      </c>
      <c r="D609">
        <v>500</v>
      </c>
      <c r="E609" t="s">
        <v>576</v>
      </c>
      <c r="F609">
        <v>500</v>
      </c>
    </row>
    <row r="610" spans="1:6" ht="15" customHeight="1" x14ac:dyDescent="0.25">
      <c r="A610" t="s">
        <v>1184</v>
      </c>
      <c r="B610">
        <v>1519</v>
      </c>
      <c r="C610" t="s">
        <v>27</v>
      </c>
      <c r="D610">
        <v>500</v>
      </c>
      <c r="E610" t="s">
        <v>576</v>
      </c>
      <c r="F610">
        <v>500</v>
      </c>
    </row>
    <row r="611" spans="1:6" ht="15" customHeight="1" x14ac:dyDescent="0.25">
      <c r="A611" t="s">
        <v>1185</v>
      </c>
      <c r="B611">
        <v>1519</v>
      </c>
      <c r="C611" t="s">
        <v>28</v>
      </c>
      <c r="D611">
        <v>500</v>
      </c>
      <c r="E611" t="s">
        <v>576</v>
      </c>
      <c r="F611">
        <v>500</v>
      </c>
    </row>
    <row r="612" spans="1:6" ht="15" customHeight="1" x14ac:dyDescent="0.25">
      <c r="A612" t="s">
        <v>1186</v>
      </c>
      <c r="B612">
        <v>1519</v>
      </c>
      <c r="C612" t="s">
        <v>29</v>
      </c>
      <c r="D612">
        <v>500</v>
      </c>
      <c r="E612" t="s">
        <v>576</v>
      </c>
      <c r="F612">
        <v>500</v>
      </c>
    </row>
    <row r="613" spans="1:6" ht="15" customHeight="1" x14ac:dyDescent="0.25">
      <c r="A613" t="s">
        <v>1187</v>
      </c>
      <c r="B613">
        <v>1519</v>
      </c>
      <c r="C613" t="s">
        <v>30</v>
      </c>
      <c r="D613">
        <v>500</v>
      </c>
      <c r="E613" t="s">
        <v>576</v>
      </c>
      <c r="F613">
        <v>500</v>
      </c>
    </row>
    <row r="614" spans="1:6" ht="15" customHeight="1" x14ac:dyDescent="0.25">
      <c r="A614" t="s">
        <v>1188</v>
      </c>
      <c r="B614">
        <v>1519</v>
      </c>
      <c r="C614" t="s">
        <v>31</v>
      </c>
      <c r="D614">
        <v>500</v>
      </c>
      <c r="E614" t="s">
        <v>576</v>
      </c>
      <c r="F614">
        <v>500</v>
      </c>
    </row>
    <row r="615" spans="1:6" ht="15" customHeight="1" x14ac:dyDescent="0.25">
      <c r="A615" t="s">
        <v>1189</v>
      </c>
      <c r="B615">
        <v>1519</v>
      </c>
      <c r="C615" t="s">
        <v>32</v>
      </c>
      <c r="D615">
        <v>500</v>
      </c>
      <c r="E615" t="s">
        <v>576</v>
      </c>
      <c r="F615">
        <v>500</v>
      </c>
    </row>
    <row r="616" spans="1:6" ht="15" customHeight="1" x14ac:dyDescent="0.25">
      <c r="A616" t="s">
        <v>1190</v>
      </c>
      <c r="B616">
        <v>1519</v>
      </c>
      <c r="C616" t="s">
        <v>33</v>
      </c>
      <c r="D616">
        <v>500</v>
      </c>
      <c r="E616" t="s">
        <v>576</v>
      </c>
      <c r="F616">
        <v>500</v>
      </c>
    </row>
    <row r="617" spans="1:6" ht="15" customHeight="1" x14ac:dyDescent="0.25">
      <c r="A617" t="s">
        <v>1191</v>
      </c>
      <c r="B617">
        <v>1519</v>
      </c>
      <c r="C617" t="s">
        <v>34</v>
      </c>
      <c r="D617">
        <v>500</v>
      </c>
      <c r="E617" t="s">
        <v>576</v>
      </c>
      <c r="F617">
        <v>500</v>
      </c>
    </row>
    <row r="618" spans="1:6" ht="15" customHeight="1" x14ac:dyDescent="0.25">
      <c r="A618" t="s">
        <v>1192</v>
      </c>
      <c r="B618">
        <v>1519</v>
      </c>
      <c r="C618" t="s">
        <v>35</v>
      </c>
      <c r="D618">
        <v>500</v>
      </c>
      <c r="E618" t="s">
        <v>576</v>
      </c>
      <c r="F618">
        <v>500</v>
      </c>
    </row>
    <row r="619" spans="1:6" ht="15" customHeight="1" x14ac:dyDescent="0.25">
      <c r="A619" t="s">
        <v>1193</v>
      </c>
      <c r="B619">
        <v>1519</v>
      </c>
      <c r="C619" t="s">
        <v>36</v>
      </c>
      <c r="D619">
        <v>500</v>
      </c>
      <c r="E619" t="s">
        <v>576</v>
      </c>
      <c r="F619">
        <v>500</v>
      </c>
    </row>
    <row r="620" spans="1:6" ht="15" customHeight="1" x14ac:dyDescent="0.25">
      <c r="A620" t="s">
        <v>1194</v>
      </c>
      <c r="B620">
        <v>1519</v>
      </c>
      <c r="C620" t="s">
        <v>37</v>
      </c>
      <c r="D620">
        <v>500</v>
      </c>
      <c r="E620" t="s">
        <v>576</v>
      </c>
      <c r="F620">
        <v>500</v>
      </c>
    </row>
    <row r="621" spans="1:6" ht="15" customHeight="1" x14ac:dyDescent="0.25">
      <c r="A621" t="s">
        <v>1195</v>
      </c>
      <c r="B621">
        <v>1519</v>
      </c>
      <c r="C621" t="s">
        <v>38</v>
      </c>
      <c r="D621">
        <v>500</v>
      </c>
      <c r="E621" t="s">
        <v>576</v>
      </c>
      <c r="F621">
        <v>500</v>
      </c>
    </row>
    <row r="622" spans="1:6" ht="15" customHeight="1" x14ac:dyDescent="0.25">
      <c r="A622" t="s">
        <v>1196</v>
      </c>
      <c r="B622">
        <v>1519</v>
      </c>
      <c r="C622" t="s">
        <v>39</v>
      </c>
      <c r="D622">
        <v>500</v>
      </c>
      <c r="E622" t="s">
        <v>576</v>
      </c>
      <c r="F622">
        <v>500</v>
      </c>
    </row>
    <row r="623" spans="1:6" ht="15" customHeight="1" x14ac:dyDescent="0.25">
      <c r="A623" t="s">
        <v>1197</v>
      </c>
      <c r="B623">
        <v>1519</v>
      </c>
      <c r="C623" t="s">
        <v>40</v>
      </c>
      <c r="D623">
        <v>500</v>
      </c>
      <c r="E623" t="s">
        <v>576</v>
      </c>
      <c r="F623">
        <v>500</v>
      </c>
    </row>
    <row r="624" spans="1:6" ht="15" customHeight="1" x14ac:dyDescent="0.25">
      <c r="A624" t="s">
        <v>1198</v>
      </c>
      <c r="B624">
        <v>1519</v>
      </c>
      <c r="C624" t="s">
        <v>41</v>
      </c>
      <c r="D624">
        <v>500</v>
      </c>
      <c r="E624" t="s">
        <v>576</v>
      </c>
      <c r="F624">
        <v>500</v>
      </c>
    </row>
    <row r="625" spans="1:6" ht="15" customHeight="1" x14ac:dyDescent="0.25">
      <c r="A625" t="s">
        <v>1199</v>
      </c>
      <c r="B625">
        <v>1525</v>
      </c>
      <c r="C625" t="s">
        <v>38</v>
      </c>
      <c r="D625">
        <v>500</v>
      </c>
      <c r="E625" t="s">
        <v>576</v>
      </c>
      <c r="F625">
        <v>500</v>
      </c>
    </row>
    <row r="626" spans="1:6" ht="15" customHeight="1" x14ac:dyDescent="0.25">
      <c r="A626" t="s">
        <v>1200</v>
      </c>
      <c r="B626">
        <v>1525</v>
      </c>
      <c r="C626" t="s">
        <v>39</v>
      </c>
      <c r="D626">
        <v>500</v>
      </c>
      <c r="E626" t="s">
        <v>576</v>
      </c>
      <c r="F626">
        <v>500</v>
      </c>
    </row>
    <row r="627" spans="1:6" ht="15" customHeight="1" x14ac:dyDescent="0.25">
      <c r="A627" t="s">
        <v>1201</v>
      </c>
      <c r="B627">
        <v>1525</v>
      </c>
      <c r="C627" t="s">
        <v>40</v>
      </c>
      <c r="D627">
        <v>500</v>
      </c>
      <c r="E627" t="s">
        <v>576</v>
      </c>
      <c r="F627">
        <v>500</v>
      </c>
    </row>
    <row r="628" spans="1:6" ht="15" customHeight="1" x14ac:dyDescent="0.25">
      <c r="A628" t="s">
        <v>1202</v>
      </c>
      <c r="B628">
        <v>1544</v>
      </c>
      <c r="C628" t="s">
        <v>35</v>
      </c>
      <c r="D628">
        <v>200</v>
      </c>
      <c r="E628" t="s">
        <v>576</v>
      </c>
      <c r="F628">
        <v>200</v>
      </c>
    </row>
    <row r="629" spans="1:6" ht="15" customHeight="1" x14ac:dyDescent="0.25">
      <c r="A629" t="s">
        <v>1203</v>
      </c>
      <c r="B629">
        <v>1544</v>
      </c>
      <c r="C629" t="s">
        <v>36</v>
      </c>
      <c r="D629">
        <v>200</v>
      </c>
      <c r="E629" t="s">
        <v>576</v>
      </c>
      <c r="F629">
        <v>200</v>
      </c>
    </row>
    <row r="630" spans="1:6" ht="15" customHeight="1" x14ac:dyDescent="0.25">
      <c r="A630" t="s">
        <v>1204</v>
      </c>
      <c r="B630">
        <v>1544</v>
      </c>
      <c r="C630" t="s">
        <v>37</v>
      </c>
      <c r="D630">
        <v>200</v>
      </c>
      <c r="E630" t="s">
        <v>576</v>
      </c>
      <c r="F630">
        <v>200</v>
      </c>
    </row>
    <row r="631" spans="1:6" ht="15" customHeight="1" x14ac:dyDescent="0.25">
      <c r="A631" t="s">
        <v>1205</v>
      </c>
      <c r="B631">
        <v>1544</v>
      </c>
      <c r="C631" t="s">
        <v>38</v>
      </c>
      <c r="D631">
        <v>200</v>
      </c>
      <c r="E631" t="s">
        <v>576</v>
      </c>
      <c r="F631">
        <v>200</v>
      </c>
    </row>
    <row r="632" spans="1:6" ht="15" customHeight="1" x14ac:dyDescent="0.25">
      <c r="A632" t="s">
        <v>1206</v>
      </c>
      <c r="B632">
        <v>1544</v>
      </c>
      <c r="C632" t="s">
        <v>39</v>
      </c>
      <c r="D632">
        <v>200</v>
      </c>
      <c r="E632" t="s">
        <v>576</v>
      </c>
      <c r="F632">
        <v>200</v>
      </c>
    </row>
    <row r="633" spans="1:6" ht="15" customHeight="1" x14ac:dyDescent="0.25">
      <c r="A633" t="s">
        <v>1207</v>
      </c>
      <c r="B633">
        <v>1544</v>
      </c>
      <c r="C633" t="s">
        <v>40</v>
      </c>
      <c r="D633">
        <v>200</v>
      </c>
      <c r="E633" t="s">
        <v>576</v>
      </c>
      <c r="F633">
        <v>200</v>
      </c>
    </row>
    <row r="634" spans="1:6" ht="15" customHeight="1" x14ac:dyDescent="0.25">
      <c r="A634" t="s">
        <v>1208</v>
      </c>
      <c r="B634">
        <v>1552</v>
      </c>
      <c r="C634" t="s">
        <v>31</v>
      </c>
      <c r="D634">
        <v>500</v>
      </c>
      <c r="E634" t="s">
        <v>576</v>
      </c>
      <c r="F634">
        <v>500</v>
      </c>
    </row>
    <row r="635" spans="1:6" ht="15" customHeight="1" x14ac:dyDescent="0.25">
      <c r="A635" t="s">
        <v>1209</v>
      </c>
      <c r="B635">
        <v>1552</v>
      </c>
      <c r="C635" t="s">
        <v>32</v>
      </c>
      <c r="D635">
        <v>500</v>
      </c>
      <c r="E635" t="s">
        <v>576</v>
      </c>
      <c r="F635">
        <v>500</v>
      </c>
    </row>
    <row r="636" spans="1:6" ht="15" customHeight="1" x14ac:dyDescent="0.25">
      <c r="A636" t="s">
        <v>1210</v>
      </c>
      <c r="B636">
        <v>1552</v>
      </c>
      <c r="C636" t="s">
        <v>33</v>
      </c>
      <c r="D636">
        <v>500</v>
      </c>
      <c r="E636" t="s">
        <v>576</v>
      </c>
      <c r="F636">
        <v>500</v>
      </c>
    </row>
    <row r="637" spans="1:6" ht="15" customHeight="1" x14ac:dyDescent="0.25">
      <c r="A637" t="s">
        <v>1211</v>
      </c>
      <c r="B637">
        <v>1552</v>
      </c>
      <c r="C637" t="s">
        <v>34</v>
      </c>
      <c r="D637">
        <v>500</v>
      </c>
      <c r="E637" t="s">
        <v>576</v>
      </c>
      <c r="F637">
        <v>500</v>
      </c>
    </row>
    <row r="638" spans="1:6" ht="15" customHeight="1" x14ac:dyDescent="0.25">
      <c r="A638" t="s">
        <v>1212</v>
      </c>
      <c r="B638">
        <v>1552</v>
      </c>
      <c r="C638" t="s">
        <v>35</v>
      </c>
      <c r="D638">
        <v>500</v>
      </c>
      <c r="E638" t="s">
        <v>576</v>
      </c>
      <c r="F638">
        <v>500</v>
      </c>
    </row>
    <row r="639" spans="1:6" ht="15" customHeight="1" x14ac:dyDescent="0.25">
      <c r="A639" t="s">
        <v>1213</v>
      </c>
      <c r="B639">
        <v>1552</v>
      </c>
      <c r="C639" t="s">
        <v>36</v>
      </c>
      <c r="D639">
        <v>500</v>
      </c>
      <c r="E639" t="s">
        <v>576</v>
      </c>
      <c r="F639">
        <v>500</v>
      </c>
    </row>
    <row r="640" spans="1:6" ht="15" customHeight="1" x14ac:dyDescent="0.25">
      <c r="A640" t="s">
        <v>1214</v>
      </c>
      <c r="B640">
        <v>1552</v>
      </c>
      <c r="C640" t="s">
        <v>37</v>
      </c>
      <c r="D640">
        <v>500</v>
      </c>
      <c r="E640" t="s">
        <v>576</v>
      </c>
      <c r="F640">
        <v>500</v>
      </c>
    </row>
    <row r="641" spans="1:6" ht="15" customHeight="1" x14ac:dyDescent="0.25">
      <c r="A641" t="s">
        <v>1215</v>
      </c>
      <c r="B641">
        <v>1552</v>
      </c>
      <c r="C641" t="s">
        <v>38</v>
      </c>
      <c r="D641">
        <v>500</v>
      </c>
      <c r="E641" t="s">
        <v>576</v>
      </c>
      <c r="F641">
        <v>500</v>
      </c>
    </row>
    <row r="642" spans="1:6" ht="15" customHeight="1" x14ac:dyDescent="0.25">
      <c r="A642" t="s">
        <v>1216</v>
      </c>
      <c r="B642">
        <v>1552</v>
      </c>
      <c r="C642" t="s">
        <v>39</v>
      </c>
      <c r="D642">
        <v>500</v>
      </c>
      <c r="E642" t="s">
        <v>576</v>
      </c>
      <c r="F642">
        <v>500</v>
      </c>
    </row>
    <row r="643" spans="1:6" ht="15" customHeight="1" x14ac:dyDescent="0.25">
      <c r="A643" t="s">
        <v>1217</v>
      </c>
      <c r="B643">
        <v>1557</v>
      </c>
      <c r="C643" t="s">
        <v>39</v>
      </c>
      <c r="D643">
        <v>500</v>
      </c>
      <c r="E643" t="s">
        <v>576</v>
      </c>
      <c r="F643">
        <v>500</v>
      </c>
    </row>
    <row r="644" spans="1:6" ht="15" customHeight="1" x14ac:dyDescent="0.25">
      <c r="A644" t="s">
        <v>1218</v>
      </c>
      <c r="B644">
        <v>1557</v>
      </c>
      <c r="C644" t="s">
        <v>40</v>
      </c>
      <c r="D644">
        <v>500</v>
      </c>
      <c r="E644" t="s">
        <v>576</v>
      </c>
      <c r="F644">
        <v>500</v>
      </c>
    </row>
    <row r="645" spans="1:6" ht="15" customHeight="1" x14ac:dyDescent="0.25">
      <c r="A645" t="s">
        <v>1219</v>
      </c>
      <c r="B645">
        <v>1558</v>
      </c>
      <c r="C645" t="s">
        <v>26</v>
      </c>
      <c r="D645">
        <v>500</v>
      </c>
      <c r="E645" t="s">
        <v>576</v>
      </c>
      <c r="F645">
        <v>500</v>
      </c>
    </row>
    <row r="646" spans="1:6" ht="15" customHeight="1" x14ac:dyDescent="0.25">
      <c r="A646" t="s">
        <v>1220</v>
      </c>
      <c r="B646">
        <v>1558</v>
      </c>
      <c r="C646" t="s">
        <v>27</v>
      </c>
      <c r="D646">
        <v>500</v>
      </c>
      <c r="E646" t="s">
        <v>576</v>
      </c>
      <c r="F646">
        <v>500</v>
      </c>
    </row>
    <row r="647" spans="1:6" ht="15" customHeight="1" x14ac:dyDescent="0.25">
      <c r="A647" t="s">
        <v>1221</v>
      </c>
      <c r="B647">
        <v>1565</v>
      </c>
      <c r="C647" t="s">
        <v>27</v>
      </c>
      <c r="D647">
        <v>200</v>
      </c>
      <c r="E647" t="s">
        <v>576</v>
      </c>
      <c r="F647">
        <v>200</v>
      </c>
    </row>
    <row r="648" spans="1:6" ht="15" customHeight="1" x14ac:dyDescent="0.25">
      <c r="A648" t="s">
        <v>1222</v>
      </c>
      <c r="B648">
        <v>1565</v>
      </c>
      <c r="C648" t="s">
        <v>28</v>
      </c>
      <c r="D648">
        <v>200</v>
      </c>
      <c r="E648" t="s">
        <v>576</v>
      </c>
      <c r="F648">
        <v>200</v>
      </c>
    </row>
    <row r="649" spans="1:6" ht="15" customHeight="1" x14ac:dyDescent="0.25">
      <c r="A649" t="s">
        <v>1223</v>
      </c>
      <c r="B649">
        <v>1565</v>
      </c>
      <c r="C649" t="s">
        <v>29</v>
      </c>
      <c r="D649">
        <v>200</v>
      </c>
      <c r="E649" t="s">
        <v>576</v>
      </c>
      <c r="F649">
        <v>200</v>
      </c>
    </row>
    <row r="650" spans="1:6" ht="15" customHeight="1" x14ac:dyDescent="0.25">
      <c r="A650" t="s">
        <v>1224</v>
      </c>
      <c r="B650">
        <v>1570</v>
      </c>
      <c r="C650" t="s">
        <v>26</v>
      </c>
      <c r="D650">
        <v>500</v>
      </c>
      <c r="E650" t="s">
        <v>576</v>
      </c>
      <c r="F650">
        <v>500</v>
      </c>
    </row>
    <row r="651" spans="1:6" ht="15" customHeight="1" x14ac:dyDescent="0.25">
      <c r="A651" t="s">
        <v>1225</v>
      </c>
      <c r="B651">
        <v>1570</v>
      </c>
      <c r="C651" t="s">
        <v>27</v>
      </c>
      <c r="D651">
        <v>500</v>
      </c>
      <c r="E651" t="s">
        <v>576</v>
      </c>
      <c r="F651">
        <v>500</v>
      </c>
    </row>
    <row r="652" spans="1:6" ht="15" customHeight="1" x14ac:dyDescent="0.25">
      <c r="A652" t="s">
        <v>1226</v>
      </c>
      <c r="B652">
        <v>1570</v>
      </c>
      <c r="C652" t="s">
        <v>28</v>
      </c>
      <c r="D652">
        <v>500</v>
      </c>
      <c r="E652" t="s">
        <v>576</v>
      </c>
      <c r="F652">
        <v>500</v>
      </c>
    </row>
    <row r="653" spans="1:6" ht="15" customHeight="1" x14ac:dyDescent="0.25">
      <c r="A653" t="s">
        <v>1227</v>
      </c>
      <c r="B653">
        <v>1570</v>
      </c>
      <c r="C653" t="s">
        <v>29</v>
      </c>
      <c r="D653">
        <v>500</v>
      </c>
      <c r="E653" t="s">
        <v>576</v>
      </c>
      <c r="F653">
        <v>500</v>
      </c>
    </row>
    <row r="654" spans="1:6" ht="15" customHeight="1" x14ac:dyDescent="0.25">
      <c r="A654" t="s">
        <v>1228</v>
      </c>
      <c r="B654">
        <v>1570</v>
      </c>
      <c r="C654" t="s">
        <v>30</v>
      </c>
      <c r="D654">
        <v>500</v>
      </c>
      <c r="E654" t="s">
        <v>576</v>
      </c>
      <c r="F654">
        <v>500</v>
      </c>
    </row>
    <row r="655" spans="1:6" ht="15" customHeight="1" x14ac:dyDescent="0.25">
      <c r="A655" t="s">
        <v>1229</v>
      </c>
      <c r="B655">
        <v>1570</v>
      </c>
      <c r="C655" t="s">
        <v>31</v>
      </c>
      <c r="D655">
        <v>500</v>
      </c>
      <c r="E655" t="s">
        <v>576</v>
      </c>
      <c r="F655">
        <v>500</v>
      </c>
    </row>
    <row r="656" spans="1:6" ht="15" customHeight="1" x14ac:dyDescent="0.25">
      <c r="A656" t="s">
        <v>1230</v>
      </c>
      <c r="B656">
        <v>1570</v>
      </c>
      <c r="C656" t="s">
        <v>32</v>
      </c>
      <c r="D656">
        <v>500</v>
      </c>
      <c r="E656" t="s">
        <v>576</v>
      </c>
      <c r="F656">
        <v>500</v>
      </c>
    </row>
    <row r="657" spans="1:6" ht="15" customHeight="1" x14ac:dyDescent="0.25">
      <c r="A657" t="s">
        <v>1231</v>
      </c>
      <c r="B657">
        <v>1570</v>
      </c>
      <c r="C657" t="s">
        <v>33</v>
      </c>
      <c r="D657">
        <v>500</v>
      </c>
      <c r="E657" t="s">
        <v>576</v>
      </c>
      <c r="F657">
        <v>500</v>
      </c>
    </row>
    <row r="658" spans="1:6" ht="15" customHeight="1" x14ac:dyDescent="0.25">
      <c r="A658" t="s">
        <v>1232</v>
      </c>
      <c r="B658">
        <v>1570</v>
      </c>
      <c r="C658" t="s">
        <v>34</v>
      </c>
      <c r="D658">
        <v>500</v>
      </c>
      <c r="E658" t="s">
        <v>576</v>
      </c>
      <c r="F658">
        <v>500</v>
      </c>
    </row>
    <row r="659" spans="1:6" ht="15" customHeight="1" x14ac:dyDescent="0.25">
      <c r="A659" t="s">
        <v>1233</v>
      </c>
      <c r="B659">
        <v>1570</v>
      </c>
      <c r="C659" t="s">
        <v>35</v>
      </c>
      <c r="D659">
        <v>500</v>
      </c>
      <c r="E659" t="s">
        <v>576</v>
      </c>
      <c r="F659">
        <v>500</v>
      </c>
    </row>
    <row r="660" spans="1:6" ht="15" customHeight="1" x14ac:dyDescent="0.25">
      <c r="A660" t="s">
        <v>1234</v>
      </c>
      <c r="B660">
        <v>1570</v>
      </c>
      <c r="C660" t="s">
        <v>36</v>
      </c>
      <c r="D660">
        <v>500</v>
      </c>
      <c r="E660" t="s">
        <v>576</v>
      </c>
      <c r="F660">
        <v>500</v>
      </c>
    </row>
    <row r="661" spans="1:6" ht="15" customHeight="1" x14ac:dyDescent="0.25">
      <c r="A661" t="s">
        <v>1235</v>
      </c>
      <c r="B661">
        <v>1570</v>
      </c>
      <c r="C661" t="s">
        <v>37</v>
      </c>
      <c r="D661">
        <v>500</v>
      </c>
      <c r="E661" t="s">
        <v>576</v>
      </c>
      <c r="F661">
        <v>500</v>
      </c>
    </row>
    <row r="662" spans="1:6" ht="15" customHeight="1" x14ac:dyDescent="0.25">
      <c r="A662" t="s">
        <v>1236</v>
      </c>
      <c r="B662">
        <v>1570</v>
      </c>
      <c r="C662" t="s">
        <v>38</v>
      </c>
      <c r="D662">
        <v>500</v>
      </c>
      <c r="E662" t="s">
        <v>576</v>
      </c>
      <c r="F662">
        <v>500</v>
      </c>
    </row>
    <row r="663" spans="1:6" ht="15" customHeight="1" x14ac:dyDescent="0.25">
      <c r="A663" t="s">
        <v>1237</v>
      </c>
      <c r="B663">
        <v>1570</v>
      </c>
      <c r="C663" t="s">
        <v>39</v>
      </c>
      <c r="D663">
        <v>500</v>
      </c>
      <c r="E663" t="s">
        <v>576</v>
      </c>
      <c r="F663">
        <v>500</v>
      </c>
    </row>
    <row r="664" spans="1:6" ht="15" customHeight="1" x14ac:dyDescent="0.25">
      <c r="A664" t="s">
        <v>1238</v>
      </c>
      <c r="B664">
        <v>1576</v>
      </c>
      <c r="C664" t="s">
        <v>30</v>
      </c>
      <c r="D664">
        <v>200</v>
      </c>
      <c r="E664" t="s">
        <v>576</v>
      </c>
      <c r="F664">
        <v>200</v>
      </c>
    </row>
    <row r="665" spans="1:6" ht="15" customHeight="1" x14ac:dyDescent="0.25">
      <c r="A665" t="s">
        <v>1239</v>
      </c>
      <c r="B665">
        <v>1576</v>
      </c>
      <c r="C665" t="s">
        <v>31</v>
      </c>
      <c r="D665">
        <v>200</v>
      </c>
      <c r="E665" t="s">
        <v>576</v>
      </c>
      <c r="F665">
        <v>200</v>
      </c>
    </row>
    <row r="666" spans="1:6" ht="15" customHeight="1" x14ac:dyDescent="0.25">
      <c r="A666" t="s">
        <v>1240</v>
      </c>
      <c r="B666">
        <v>1576</v>
      </c>
      <c r="C666" t="s">
        <v>32</v>
      </c>
      <c r="D666">
        <v>200</v>
      </c>
      <c r="E666" t="s">
        <v>576</v>
      </c>
      <c r="F666">
        <v>200</v>
      </c>
    </row>
    <row r="667" spans="1:6" ht="15" customHeight="1" x14ac:dyDescent="0.25">
      <c r="A667" t="s">
        <v>1241</v>
      </c>
      <c r="B667">
        <v>1576</v>
      </c>
      <c r="C667" t="s">
        <v>33</v>
      </c>
      <c r="D667">
        <v>200</v>
      </c>
      <c r="E667" t="s">
        <v>576</v>
      </c>
      <c r="F667">
        <v>200</v>
      </c>
    </row>
    <row r="668" spans="1:6" ht="15" customHeight="1" x14ac:dyDescent="0.25">
      <c r="A668" t="s">
        <v>1242</v>
      </c>
      <c r="B668">
        <v>1576</v>
      </c>
      <c r="C668" t="s">
        <v>34</v>
      </c>
      <c r="D668">
        <v>200</v>
      </c>
      <c r="E668" t="s">
        <v>576</v>
      </c>
      <c r="F668">
        <v>200</v>
      </c>
    </row>
    <row r="669" spans="1:6" ht="15" customHeight="1" x14ac:dyDescent="0.25">
      <c r="A669" t="s">
        <v>1243</v>
      </c>
      <c r="B669">
        <v>1576</v>
      </c>
      <c r="C669" t="s">
        <v>35</v>
      </c>
      <c r="D669">
        <v>200</v>
      </c>
      <c r="E669" t="s">
        <v>576</v>
      </c>
      <c r="F669">
        <v>200</v>
      </c>
    </row>
    <row r="670" spans="1:6" ht="15" customHeight="1" x14ac:dyDescent="0.25">
      <c r="A670" t="s">
        <v>1244</v>
      </c>
      <c r="B670">
        <v>1576</v>
      </c>
      <c r="C670" t="s">
        <v>36</v>
      </c>
      <c r="D670">
        <v>200</v>
      </c>
      <c r="E670" t="s">
        <v>576</v>
      </c>
      <c r="F670">
        <v>200</v>
      </c>
    </row>
    <row r="671" spans="1:6" ht="15" customHeight="1" x14ac:dyDescent="0.25">
      <c r="A671" t="s">
        <v>1245</v>
      </c>
      <c r="B671">
        <v>1576</v>
      </c>
      <c r="C671" t="s">
        <v>37</v>
      </c>
      <c r="D671">
        <v>200</v>
      </c>
      <c r="E671" t="s">
        <v>576</v>
      </c>
      <c r="F671">
        <v>200</v>
      </c>
    </row>
    <row r="672" spans="1:6" ht="15" customHeight="1" x14ac:dyDescent="0.25">
      <c r="A672" t="s">
        <v>1246</v>
      </c>
      <c r="B672">
        <v>1576</v>
      </c>
      <c r="C672" t="s">
        <v>38</v>
      </c>
      <c r="D672">
        <v>200</v>
      </c>
      <c r="E672" t="s">
        <v>576</v>
      </c>
      <c r="F672">
        <v>200</v>
      </c>
    </row>
    <row r="673" spans="1:6" ht="15" customHeight="1" x14ac:dyDescent="0.25">
      <c r="A673" t="s">
        <v>1247</v>
      </c>
      <c r="B673">
        <v>1576</v>
      </c>
      <c r="C673" t="s">
        <v>39</v>
      </c>
      <c r="D673">
        <v>200</v>
      </c>
      <c r="E673" t="s">
        <v>576</v>
      </c>
      <c r="F673">
        <v>200</v>
      </c>
    </row>
    <row r="674" spans="1:6" ht="15" customHeight="1" x14ac:dyDescent="0.25">
      <c r="A674" t="s">
        <v>1248</v>
      </c>
      <c r="B674">
        <v>1579</v>
      </c>
      <c r="C674" t="s">
        <v>38</v>
      </c>
      <c r="D674">
        <v>50</v>
      </c>
      <c r="E674" t="s">
        <v>576</v>
      </c>
      <c r="F674">
        <v>50</v>
      </c>
    </row>
    <row r="675" spans="1:6" ht="15" customHeight="1" x14ac:dyDescent="0.25">
      <c r="A675" t="s">
        <v>1249</v>
      </c>
      <c r="B675">
        <v>1579</v>
      </c>
      <c r="C675" t="s">
        <v>39</v>
      </c>
      <c r="D675">
        <v>50</v>
      </c>
      <c r="E675" t="s">
        <v>576</v>
      </c>
      <c r="F675">
        <v>50</v>
      </c>
    </row>
    <row r="676" spans="1:6" ht="15" customHeight="1" x14ac:dyDescent="0.25">
      <c r="A676" t="s">
        <v>1250</v>
      </c>
      <c r="B676">
        <v>1579</v>
      </c>
      <c r="C676" t="s">
        <v>40</v>
      </c>
      <c r="D676">
        <v>50</v>
      </c>
      <c r="E676" t="s">
        <v>576</v>
      </c>
      <c r="F676">
        <v>50</v>
      </c>
    </row>
    <row r="677" spans="1:6" ht="15" customHeight="1" x14ac:dyDescent="0.25">
      <c r="A677" t="s">
        <v>1251</v>
      </c>
      <c r="B677">
        <v>1586</v>
      </c>
      <c r="C677" t="s">
        <v>38</v>
      </c>
      <c r="D677">
        <v>200</v>
      </c>
      <c r="E677" t="s">
        <v>576</v>
      </c>
      <c r="F677">
        <v>200</v>
      </c>
    </row>
    <row r="678" spans="1:6" ht="15" customHeight="1" x14ac:dyDescent="0.25">
      <c r="A678" t="s">
        <v>1252</v>
      </c>
      <c r="B678">
        <v>1586</v>
      </c>
      <c r="C678" t="s">
        <v>39</v>
      </c>
      <c r="D678">
        <v>200</v>
      </c>
      <c r="E678" t="s">
        <v>576</v>
      </c>
      <c r="F678">
        <v>200</v>
      </c>
    </row>
    <row r="679" spans="1:6" ht="15" customHeight="1" x14ac:dyDescent="0.25">
      <c r="A679" t="s">
        <v>1253</v>
      </c>
      <c r="B679">
        <v>1586</v>
      </c>
      <c r="C679" t="s">
        <v>40</v>
      </c>
      <c r="D679">
        <v>200</v>
      </c>
      <c r="E679" t="s">
        <v>576</v>
      </c>
      <c r="F679">
        <v>200</v>
      </c>
    </row>
    <row r="680" spans="1:6" ht="15" customHeight="1" x14ac:dyDescent="0.25">
      <c r="A680" t="s">
        <v>1254</v>
      </c>
      <c r="B680">
        <v>1586</v>
      </c>
      <c r="C680" t="s">
        <v>41</v>
      </c>
      <c r="D680">
        <v>200</v>
      </c>
      <c r="E680" t="s">
        <v>576</v>
      </c>
      <c r="F680">
        <v>200</v>
      </c>
    </row>
    <row r="681" spans="1:6" ht="15" customHeight="1" x14ac:dyDescent="0.25">
      <c r="A681" t="s">
        <v>1255</v>
      </c>
      <c r="B681">
        <v>1586</v>
      </c>
      <c r="C681" t="s">
        <v>42</v>
      </c>
      <c r="D681">
        <v>200</v>
      </c>
      <c r="E681" t="s">
        <v>576</v>
      </c>
      <c r="F681">
        <v>200</v>
      </c>
    </row>
    <row r="682" spans="1:6" ht="15" customHeight="1" x14ac:dyDescent="0.25">
      <c r="A682" t="s">
        <v>1256</v>
      </c>
      <c r="B682">
        <v>1593</v>
      </c>
      <c r="C682" t="s">
        <v>41</v>
      </c>
      <c r="D682">
        <v>50</v>
      </c>
      <c r="E682" t="s">
        <v>576</v>
      </c>
      <c r="F682">
        <v>50</v>
      </c>
    </row>
    <row r="683" spans="1:6" ht="15" customHeight="1" x14ac:dyDescent="0.25">
      <c r="A683" t="s">
        <v>1257</v>
      </c>
      <c r="B683">
        <v>1595</v>
      </c>
      <c r="C683" t="s">
        <v>29</v>
      </c>
      <c r="D683">
        <v>200</v>
      </c>
      <c r="E683" t="s">
        <v>576</v>
      </c>
      <c r="F683">
        <v>200</v>
      </c>
    </row>
    <row r="684" spans="1:6" ht="15" customHeight="1" x14ac:dyDescent="0.25">
      <c r="A684" t="s">
        <v>1258</v>
      </c>
      <c r="B684">
        <v>1595</v>
      </c>
      <c r="C684" t="s">
        <v>30</v>
      </c>
      <c r="D684">
        <v>200</v>
      </c>
      <c r="E684" t="s">
        <v>576</v>
      </c>
      <c r="F684">
        <v>200</v>
      </c>
    </row>
    <row r="685" spans="1:6" ht="15" customHeight="1" x14ac:dyDescent="0.25">
      <c r="A685" t="s">
        <v>1259</v>
      </c>
      <c r="B685">
        <v>1595</v>
      </c>
      <c r="C685" t="s">
        <v>31</v>
      </c>
      <c r="D685">
        <v>200</v>
      </c>
      <c r="E685" t="s">
        <v>576</v>
      </c>
      <c r="F685">
        <v>200</v>
      </c>
    </row>
    <row r="686" spans="1:6" ht="15" customHeight="1" x14ac:dyDescent="0.25">
      <c r="A686" t="s">
        <v>1260</v>
      </c>
      <c r="B686">
        <v>1595</v>
      </c>
      <c r="C686" t="s">
        <v>32</v>
      </c>
      <c r="D686">
        <v>200</v>
      </c>
      <c r="E686" t="s">
        <v>576</v>
      </c>
      <c r="F686">
        <v>200</v>
      </c>
    </row>
    <row r="687" spans="1:6" ht="15" customHeight="1" x14ac:dyDescent="0.25">
      <c r="A687" t="s">
        <v>1261</v>
      </c>
      <c r="B687">
        <v>1599</v>
      </c>
      <c r="C687" t="s">
        <v>30</v>
      </c>
      <c r="D687">
        <v>200</v>
      </c>
      <c r="E687" t="s">
        <v>576</v>
      </c>
      <c r="F687">
        <v>200</v>
      </c>
    </row>
    <row r="688" spans="1:6" ht="15" customHeight="1" x14ac:dyDescent="0.25">
      <c r="A688" t="s">
        <v>1262</v>
      </c>
      <c r="B688">
        <v>1599</v>
      </c>
      <c r="C688" t="s">
        <v>31</v>
      </c>
      <c r="D688">
        <v>200</v>
      </c>
      <c r="E688" t="s">
        <v>576</v>
      </c>
      <c r="F688">
        <v>200</v>
      </c>
    </row>
    <row r="689" spans="1:6" ht="15" customHeight="1" x14ac:dyDescent="0.25">
      <c r="A689" t="s">
        <v>1263</v>
      </c>
      <c r="B689">
        <v>1599</v>
      </c>
      <c r="C689" t="s">
        <v>32</v>
      </c>
      <c r="D689">
        <v>200</v>
      </c>
      <c r="E689" t="s">
        <v>576</v>
      </c>
      <c r="F689">
        <v>200</v>
      </c>
    </row>
    <row r="690" spans="1:6" ht="15" customHeight="1" x14ac:dyDescent="0.25">
      <c r="A690" t="s">
        <v>1264</v>
      </c>
      <c r="B690">
        <v>1599</v>
      </c>
      <c r="C690" t="s">
        <v>33</v>
      </c>
      <c r="D690">
        <v>200</v>
      </c>
      <c r="E690" t="s">
        <v>576</v>
      </c>
      <c r="F690">
        <v>200</v>
      </c>
    </row>
    <row r="691" spans="1:6" ht="15" customHeight="1" x14ac:dyDescent="0.25">
      <c r="A691" t="s">
        <v>1265</v>
      </c>
      <c r="B691">
        <v>1599</v>
      </c>
      <c r="C691" t="s">
        <v>34</v>
      </c>
      <c r="D691">
        <v>200</v>
      </c>
      <c r="E691" t="s">
        <v>576</v>
      </c>
      <c r="F691">
        <v>200</v>
      </c>
    </row>
    <row r="692" spans="1:6" ht="15" customHeight="1" x14ac:dyDescent="0.25">
      <c r="A692" t="s">
        <v>1266</v>
      </c>
      <c r="B692">
        <v>1599</v>
      </c>
      <c r="C692" t="s">
        <v>35</v>
      </c>
      <c r="D692">
        <v>200</v>
      </c>
      <c r="E692" t="s">
        <v>576</v>
      </c>
      <c r="F692">
        <v>200</v>
      </c>
    </row>
    <row r="693" spans="1:6" ht="15" customHeight="1" x14ac:dyDescent="0.25">
      <c r="A693" t="s">
        <v>1267</v>
      </c>
      <c r="B693">
        <v>1599</v>
      </c>
      <c r="C693" t="s">
        <v>36</v>
      </c>
      <c r="D693">
        <v>200</v>
      </c>
      <c r="E693" t="s">
        <v>576</v>
      </c>
      <c r="F693">
        <v>200</v>
      </c>
    </row>
    <row r="694" spans="1:6" ht="15" customHeight="1" x14ac:dyDescent="0.25">
      <c r="A694" t="s">
        <v>1268</v>
      </c>
      <c r="B694">
        <v>1599</v>
      </c>
      <c r="C694" t="s">
        <v>37</v>
      </c>
      <c r="D694">
        <v>200</v>
      </c>
      <c r="E694" t="s">
        <v>576</v>
      </c>
      <c r="F694">
        <v>200</v>
      </c>
    </row>
    <row r="695" spans="1:6" ht="15" customHeight="1" x14ac:dyDescent="0.25">
      <c r="A695" t="s">
        <v>1269</v>
      </c>
      <c r="B695">
        <v>1599</v>
      </c>
      <c r="C695" t="s">
        <v>38</v>
      </c>
      <c r="D695">
        <v>200</v>
      </c>
      <c r="E695" t="s">
        <v>576</v>
      </c>
      <c r="F695">
        <v>200</v>
      </c>
    </row>
    <row r="696" spans="1:6" ht="15" customHeight="1" x14ac:dyDescent="0.25">
      <c r="A696" t="s">
        <v>1270</v>
      </c>
      <c r="B696">
        <v>1602</v>
      </c>
      <c r="C696" t="s">
        <v>42</v>
      </c>
      <c r="D696">
        <v>50</v>
      </c>
      <c r="E696" t="s">
        <v>576</v>
      </c>
      <c r="F696">
        <v>50</v>
      </c>
    </row>
    <row r="697" spans="1:6" ht="15" customHeight="1" x14ac:dyDescent="0.25">
      <c r="A697" t="s">
        <v>1271</v>
      </c>
      <c r="B697">
        <v>1607</v>
      </c>
      <c r="C697" t="s">
        <v>39</v>
      </c>
      <c r="D697">
        <v>200</v>
      </c>
      <c r="E697" t="s">
        <v>576</v>
      </c>
      <c r="F697">
        <v>200</v>
      </c>
    </row>
    <row r="698" spans="1:6" ht="15" customHeight="1" x14ac:dyDescent="0.25">
      <c r="A698" t="s">
        <v>1272</v>
      </c>
      <c r="B698">
        <v>1607</v>
      </c>
      <c r="C698" t="s">
        <v>40</v>
      </c>
      <c r="D698">
        <v>200</v>
      </c>
      <c r="E698" t="s">
        <v>576</v>
      </c>
      <c r="F698">
        <v>200</v>
      </c>
    </row>
    <row r="699" spans="1:6" ht="15" customHeight="1" x14ac:dyDescent="0.25">
      <c r="A699" t="s">
        <v>1273</v>
      </c>
      <c r="B699">
        <v>1607</v>
      </c>
      <c r="C699" t="s">
        <v>41</v>
      </c>
      <c r="D699">
        <v>200</v>
      </c>
      <c r="E699" t="s">
        <v>576</v>
      </c>
      <c r="F699">
        <v>200</v>
      </c>
    </row>
    <row r="700" spans="1:6" ht="15" customHeight="1" x14ac:dyDescent="0.25">
      <c r="A700" t="s">
        <v>1274</v>
      </c>
      <c r="B700">
        <v>1616</v>
      </c>
      <c r="C700" t="s">
        <v>28</v>
      </c>
      <c r="D700">
        <v>500</v>
      </c>
      <c r="E700" t="s">
        <v>576</v>
      </c>
      <c r="F700">
        <v>500</v>
      </c>
    </row>
    <row r="701" spans="1:6" ht="15" customHeight="1" x14ac:dyDescent="0.25">
      <c r="A701" t="s">
        <v>1275</v>
      </c>
      <c r="B701">
        <v>1616</v>
      </c>
      <c r="C701" t="s">
        <v>29</v>
      </c>
      <c r="D701">
        <v>500</v>
      </c>
      <c r="E701" t="s">
        <v>576</v>
      </c>
      <c r="F701">
        <v>500</v>
      </c>
    </row>
    <row r="702" spans="1:6" ht="15" customHeight="1" x14ac:dyDescent="0.25">
      <c r="A702" t="s">
        <v>1276</v>
      </c>
      <c r="B702">
        <v>1616</v>
      </c>
      <c r="C702" t="s">
        <v>30</v>
      </c>
      <c r="D702">
        <v>500</v>
      </c>
      <c r="E702" t="s">
        <v>576</v>
      </c>
      <c r="F702">
        <v>500</v>
      </c>
    </row>
    <row r="703" spans="1:6" ht="15" customHeight="1" x14ac:dyDescent="0.25">
      <c r="A703" t="s">
        <v>1277</v>
      </c>
      <c r="B703">
        <v>1616</v>
      </c>
      <c r="C703" t="s">
        <v>31</v>
      </c>
      <c r="D703">
        <v>500</v>
      </c>
      <c r="E703" t="s">
        <v>576</v>
      </c>
      <c r="F703">
        <v>500</v>
      </c>
    </row>
    <row r="704" spans="1:6" ht="15" customHeight="1" x14ac:dyDescent="0.25">
      <c r="A704" t="s">
        <v>1278</v>
      </c>
      <c r="B704">
        <v>1616</v>
      </c>
      <c r="C704" t="s">
        <v>32</v>
      </c>
      <c r="D704">
        <v>500</v>
      </c>
      <c r="E704" t="s">
        <v>576</v>
      </c>
      <c r="F704">
        <v>500</v>
      </c>
    </row>
    <row r="705" spans="1:6" ht="15" customHeight="1" x14ac:dyDescent="0.25">
      <c r="A705" t="s">
        <v>1279</v>
      </c>
      <c r="B705">
        <v>1616</v>
      </c>
      <c r="C705" t="s">
        <v>33</v>
      </c>
      <c r="D705">
        <v>500</v>
      </c>
      <c r="E705" t="s">
        <v>576</v>
      </c>
      <c r="F705">
        <v>500</v>
      </c>
    </row>
    <row r="706" spans="1:6" ht="15" customHeight="1" x14ac:dyDescent="0.25">
      <c r="A706" t="s">
        <v>1280</v>
      </c>
      <c r="B706">
        <v>1616</v>
      </c>
      <c r="C706" t="s">
        <v>34</v>
      </c>
      <c r="D706">
        <v>500</v>
      </c>
      <c r="E706" t="s">
        <v>576</v>
      </c>
      <c r="F706">
        <v>500</v>
      </c>
    </row>
    <row r="707" spans="1:6" ht="15" customHeight="1" x14ac:dyDescent="0.25">
      <c r="A707" t="s">
        <v>1281</v>
      </c>
      <c r="B707">
        <v>1616</v>
      </c>
      <c r="C707" t="s">
        <v>35</v>
      </c>
      <c r="D707">
        <v>500</v>
      </c>
      <c r="E707" t="s">
        <v>576</v>
      </c>
      <c r="F707">
        <v>500</v>
      </c>
    </row>
    <row r="708" spans="1:6" ht="15" customHeight="1" x14ac:dyDescent="0.25">
      <c r="A708" t="s">
        <v>1282</v>
      </c>
      <c r="B708">
        <v>1616</v>
      </c>
      <c r="C708" t="s">
        <v>36</v>
      </c>
      <c r="D708">
        <v>500</v>
      </c>
      <c r="E708" t="s">
        <v>576</v>
      </c>
      <c r="F708">
        <v>500</v>
      </c>
    </row>
    <row r="709" spans="1:6" ht="15" customHeight="1" x14ac:dyDescent="0.25">
      <c r="A709" t="s">
        <v>1283</v>
      </c>
      <c r="B709">
        <v>1616</v>
      </c>
      <c r="C709" t="s">
        <v>37</v>
      </c>
      <c r="D709">
        <v>500</v>
      </c>
      <c r="E709" t="s">
        <v>576</v>
      </c>
      <c r="F709">
        <v>500</v>
      </c>
    </row>
    <row r="710" spans="1:6" ht="15" customHeight="1" x14ac:dyDescent="0.25">
      <c r="A710" t="s">
        <v>1284</v>
      </c>
      <c r="B710">
        <v>1616</v>
      </c>
      <c r="C710" t="s">
        <v>38</v>
      </c>
      <c r="D710">
        <v>500</v>
      </c>
      <c r="E710" t="s">
        <v>576</v>
      </c>
      <c r="F710">
        <v>500</v>
      </c>
    </row>
    <row r="711" spans="1:6" ht="15" customHeight="1" x14ac:dyDescent="0.25">
      <c r="A711" t="s">
        <v>1285</v>
      </c>
      <c r="B711">
        <v>1616</v>
      </c>
      <c r="C711" t="s">
        <v>39</v>
      </c>
      <c r="D711">
        <v>500</v>
      </c>
      <c r="E711" t="s">
        <v>576</v>
      </c>
      <c r="F711">
        <v>500</v>
      </c>
    </row>
    <row r="712" spans="1:6" ht="15" customHeight="1" x14ac:dyDescent="0.25">
      <c r="A712" t="s">
        <v>1286</v>
      </c>
      <c r="B712">
        <v>1617</v>
      </c>
      <c r="C712" t="s">
        <v>25</v>
      </c>
      <c r="D712">
        <v>50</v>
      </c>
      <c r="E712" t="s">
        <v>576</v>
      </c>
      <c r="F712">
        <v>50</v>
      </c>
    </row>
    <row r="713" spans="1:6" ht="15" customHeight="1" x14ac:dyDescent="0.25">
      <c r="A713" t="s">
        <v>1287</v>
      </c>
      <c r="B713">
        <v>1617</v>
      </c>
      <c r="C713" t="s">
        <v>26</v>
      </c>
      <c r="D713">
        <v>50</v>
      </c>
      <c r="E713" t="s">
        <v>576</v>
      </c>
      <c r="F713">
        <v>50</v>
      </c>
    </row>
    <row r="714" spans="1:6" ht="15" customHeight="1" x14ac:dyDescent="0.25">
      <c r="A714" t="s">
        <v>1288</v>
      </c>
      <c r="B714">
        <v>1617</v>
      </c>
      <c r="C714" t="s">
        <v>27</v>
      </c>
      <c r="D714">
        <v>50</v>
      </c>
      <c r="E714" t="s">
        <v>576</v>
      </c>
      <c r="F714">
        <v>50</v>
      </c>
    </row>
    <row r="715" spans="1:6" ht="15" customHeight="1" x14ac:dyDescent="0.25">
      <c r="A715" t="s">
        <v>1289</v>
      </c>
      <c r="B715">
        <v>1617</v>
      </c>
      <c r="C715" t="s">
        <v>28</v>
      </c>
      <c r="D715">
        <v>50</v>
      </c>
      <c r="E715" t="s">
        <v>576</v>
      </c>
      <c r="F715">
        <v>50</v>
      </c>
    </row>
    <row r="716" spans="1:6" ht="15" customHeight="1" x14ac:dyDescent="0.25">
      <c r="A716" t="s">
        <v>1290</v>
      </c>
      <c r="B716">
        <v>1617</v>
      </c>
      <c r="C716" t="s">
        <v>29</v>
      </c>
      <c r="D716">
        <v>50</v>
      </c>
      <c r="E716" t="s">
        <v>576</v>
      </c>
      <c r="F716">
        <v>50</v>
      </c>
    </row>
    <row r="717" spans="1:6" ht="15" customHeight="1" x14ac:dyDescent="0.25">
      <c r="A717" t="s">
        <v>1291</v>
      </c>
      <c r="B717">
        <v>1617</v>
      </c>
      <c r="C717" t="s">
        <v>30</v>
      </c>
      <c r="D717">
        <v>50</v>
      </c>
      <c r="E717" t="s">
        <v>576</v>
      </c>
      <c r="F717">
        <v>50</v>
      </c>
    </row>
    <row r="718" spans="1:6" ht="15" customHeight="1" x14ac:dyDescent="0.25">
      <c r="A718" t="s">
        <v>1292</v>
      </c>
      <c r="B718">
        <v>1617</v>
      </c>
      <c r="C718" t="s">
        <v>31</v>
      </c>
      <c r="D718">
        <v>50</v>
      </c>
      <c r="E718" t="s">
        <v>576</v>
      </c>
      <c r="F718">
        <v>50</v>
      </c>
    </row>
    <row r="719" spans="1:6" ht="15" customHeight="1" x14ac:dyDescent="0.25">
      <c r="A719" t="s">
        <v>1293</v>
      </c>
      <c r="B719">
        <v>1617</v>
      </c>
      <c r="C719" t="s">
        <v>32</v>
      </c>
      <c r="D719">
        <v>50</v>
      </c>
      <c r="E719" t="s">
        <v>576</v>
      </c>
      <c r="F719">
        <v>50</v>
      </c>
    </row>
    <row r="720" spans="1:6" ht="15" customHeight="1" x14ac:dyDescent="0.25">
      <c r="A720" t="s">
        <v>1294</v>
      </c>
      <c r="B720">
        <v>1617</v>
      </c>
      <c r="C720" t="s">
        <v>33</v>
      </c>
      <c r="D720">
        <v>50</v>
      </c>
      <c r="E720" t="s">
        <v>576</v>
      </c>
      <c r="F720">
        <v>50</v>
      </c>
    </row>
    <row r="721" spans="1:6" ht="15" customHeight="1" x14ac:dyDescent="0.25">
      <c r="A721" t="s">
        <v>1295</v>
      </c>
      <c r="B721">
        <v>1617</v>
      </c>
      <c r="C721" t="s">
        <v>34</v>
      </c>
      <c r="D721">
        <v>50</v>
      </c>
      <c r="E721" t="s">
        <v>576</v>
      </c>
      <c r="F721">
        <v>50</v>
      </c>
    </row>
    <row r="722" spans="1:6" ht="15" customHeight="1" x14ac:dyDescent="0.25">
      <c r="A722" t="s">
        <v>1296</v>
      </c>
      <c r="B722">
        <v>1617</v>
      </c>
      <c r="C722" t="s">
        <v>35</v>
      </c>
      <c r="D722">
        <v>50</v>
      </c>
      <c r="E722" t="s">
        <v>576</v>
      </c>
      <c r="F722">
        <v>50</v>
      </c>
    </row>
    <row r="723" spans="1:6" ht="15" customHeight="1" x14ac:dyDescent="0.25">
      <c r="A723" t="s">
        <v>1297</v>
      </c>
      <c r="B723">
        <v>1617</v>
      </c>
      <c r="C723" t="s">
        <v>36</v>
      </c>
      <c r="D723">
        <v>50</v>
      </c>
      <c r="E723" t="s">
        <v>576</v>
      </c>
      <c r="F723">
        <v>50</v>
      </c>
    </row>
    <row r="724" spans="1:6" ht="15" customHeight="1" x14ac:dyDescent="0.25">
      <c r="A724" t="s">
        <v>1298</v>
      </c>
      <c r="B724">
        <v>1617</v>
      </c>
      <c r="C724" t="s">
        <v>37</v>
      </c>
      <c r="D724">
        <v>50</v>
      </c>
      <c r="E724" t="s">
        <v>576</v>
      </c>
      <c r="F724">
        <v>50</v>
      </c>
    </row>
    <row r="725" spans="1:6" ht="15" customHeight="1" x14ac:dyDescent="0.25">
      <c r="A725" t="s">
        <v>1299</v>
      </c>
      <c r="B725">
        <v>1617</v>
      </c>
      <c r="C725" t="s">
        <v>38</v>
      </c>
      <c r="D725">
        <v>50</v>
      </c>
      <c r="E725" t="s">
        <v>576</v>
      </c>
      <c r="F725">
        <v>50</v>
      </c>
    </row>
    <row r="726" spans="1:6" ht="15" customHeight="1" x14ac:dyDescent="0.25">
      <c r="A726" t="s">
        <v>1300</v>
      </c>
      <c r="B726">
        <v>1624</v>
      </c>
      <c r="C726" t="s">
        <v>31</v>
      </c>
      <c r="D726">
        <v>500</v>
      </c>
      <c r="E726" t="s">
        <v>576</v>
      </c>
      <c r="F726">
        <v>500</v>
      </c>
    </row>
    <row r="727" spans="1:6" ht="15" customHeight="1" x14ac:dyDescent="0.25">
      <c r="A727" t="s">
        <v>1301</v>
      </c>
      <c r="B727">
        <v>1624</v>
      </c>
      <c r="C727" t="s">
        <v>32</v>
      </c>
      <c r="D727">
        <v>500</v>
      </c>
      <c r="E727" t="s">
        <v>576</v>
      </c>
      <c r="F727">
        <v>500</v>
      </c>
    </row>
    <row r="728" spans="1:6" ht="15" customHeight="1" x14ac:dyDescent="0.25">
      <c r="A728" t="s">
        <v>1302</v>
      </c>
      <c r="B728">
        <v>1629</v>
      </c>
      <c r="C728" t="s">
        <v>35</v>
      </c>
      <c r="D728">
        <v>200</v>
      </c>
      <c r="E728" t="s">
        <v>576</v>
      </c>
      <c r="F728">
        <v>200</v>
      </c>
    </row>
    <row r="729" spans="1:6" ht="15" customHeight="1" x14ac:dyDescent="0.25">
      <c r="A729" t="s">
        <v>1303</v>
      </c>
      <c r="B729">
        <v>1629</v>
      </c>
      <c r="C729" t="s">
        <v>36</v>
      </c>
      <c r="D729">
        <v>200</v>
      </c>
      <c r="E729" t="s">
        <v>576</v>
      </c>
      <c r="F729">
        <v>200</v>
      </c>
    </row>
    <row r="730" spans="1:6" ht="15" customHeight="1" x14ac:dyDescent="0.25">
      <c r="A730" t="s">
        <v>1304</v>
      </c>
      <c r="B730">
        <v>1629</v>
      </c>
      <c r="C730" t="s">
        <v>37</v>
      </c>
      <c r="D730">
        <v>200</v>
      </c>
      <c r="E730" t="s">
        <v>576</v>
      </c>
      <c r="F730">
        <v>200</v>
      </c>
    </row>
    <row r="731" spans="1:6" ht="15" customHeight="1" x14ac:dyDescent="0.25">
      <c r="A731" t="s">
        <v>1305</v>
      </c>
      <c r="B731">
        <v>1629</v>
      </c>
      <c r="C731" t="s">
        <v>38</v>
      </c>
      <c r="D731">
        <v>200</v>
      </c>
      <c r="E731" t="s">
        <v>576</v>
      </c>
      <c r="F731">
        <v>200</v>
      </c>
    </row>
    <row r="732" spans="1:6" ht="15" customHeight="1" x14ac:dyDescent="0.25">
      <c r="A732" t="s">
        <v>1306</v>
      </c>
      <c r="B732">
        <v>1629</v>
      </c>
      <c r="C732" t="s">
        <v>39</v>
      </c>
      <c r="D732">
        <v>200</v>
      </c>
      <c r="E732" t="s">
        <v>576</v>
      </c>
      <c r="F732">
        <v>200</v>
      </c>
    </row>
    <row r="733" spans="1:6" ht="15" customHeight="1" x14ac:dyDescent="0.25">
      <c r="A733" t="s">
        <v>1307</v>
      </c>
      <c r="B733">
        <v>1629</v>
      </c>
      <c r="C733" t="s">
        <v>40</v>
      </c>
      <c r="D733">
        <v>200</v>
      </c>
      <c r="E733" t="s">
        <v>576</v>
      </c>
      <c r="F733">
        <v>200</v>
      </c>
    </row>
    <row r="734" spans="1:6" ht="15" customHeight="1" x14ac:dyDescent="0.25">
      <c r="A734" t="s">
        <v>1308</v>
      </c>
      <c r="B734">
        <v>1656</v>
      </c>
      <c r="C734" t="s">
        <v>34</v>
      </c>
      <c r="D734">
        <v>200</v>
      </c>
      <c r="E734" t="s">
        <v>576</v>
      </c>
      <c r="F734">
        <v>200</v>
      </c>
    </row>
    <row r="735" spans="1:6" ht="15" customHeight="1" x14ac:dyDescent="0.25">
      <c r="A735" t="s">
        <v>1309</v>
      </c>
      <c r="B735">
        <v>1656</v>
      </c>
      <c r="C735" t="s">
        <v>35</v>
      </c>
      <c r="D735">
        <v>200</v>
      </c>
      <c r="E735" t="s">
        <v>576</v>
      </c>
      <c r="F735">
        <v>200</v>
      </c>
    </row>
    <row r="736" spans="1:6" ht="15" customHeight="1" x14ac:dyDescent="0.25">
      <c r="A736" t="s">
        <v>1310</v>
      </c>
      <c r="B736">
        <v>1656</v>
      </c>
      <c r="C736" t="s">
        <v>36</v>
      </c>
      <c r="D736">
        <v>200</v>
      </c>
      <c r="E736" t="s">
        <v>576</v>
      </c>
      <c r="F736">
        <v>200</v>
      </c>
    </row>
    <row r="737" spans="1:6" ht="15" customHeight="1" x14ac:dyDescent="0.25">
      <c r="A737" t="s">
        <v>1311</v>
      </c>
      <c r="B737">
        <v>1656</v>
      </c>
      <c r="C737" t="s">
        <v>37</v>
      </c>
      <c r="D737">
        <v>200</v>
      </c>
      <c r="E737" t="s">
        <v>576</v>
      </c>
      <c r="F737">
        <v>200</v>
      </c>
    </row>
    <row r="738" spans="1:6" ht="15" customHeight="1" x14ac:dyDescent="0.25">
      <c r="A738" t="s">
        <v>1312</v>
      </c>
      <c r="B738">
        <v>1672</v>
      </c>
      <c r="C738" t="s">
        <v>32</v>
      </c>
      <c r="D738">
        <v>50</v>
      </c>
      <c r="E738" t="s">
        <v>576</v>
      </c>
      <c r="F738">
        <v>50</v>
      </c>
    </row>
    <row r="739" spans="1:6" ht="15" customHeight="1" x14ac:dyDescent="0.25">
      <c r="A739" t="s">
        <v>1313</v>
      </c>
      <c r="B739">
        <v>1672</v>
      </c>
      <c r="C739" t="s">
        <v>33</v>
      </c>
      <c r="D739">
        <v>50</v>
      </c>
      <c r="E739" t="s">
        <v>576</v>
      </c>
      <c r="F739">
        <v>50</v>
      </c>
    </row>
    <row r="740" spans="1:6" ht="15" customHeight="1" x14ac:dyDescent="0.25">
      <c r="A740" t="s">
        <v>1314</v>
      </c>
      <c r="B740">
        <v>1683</v>
      </c>
      <c r="C740" t="s">
        <v>27</v>
      </c>
      <c r="D740">
        <v>200</v>
      </c>
      <c r="E740" t="s">
        <v>576</v>
      </c>
      <c r="F740">
        <v>200</v>
      </c>
    </row>
    <row r="741" spans="1:6" ht="15" customHeight="1" x14ac:dyDescent="0.25">
      <c r="A741" t="s">
        <v>1315</v>
      </c>
      <c r="B741">
        <v>1683</v>
      </c>
      <c r="C741" t="s">
        <v>28</v>
      </c>
      <c r="D741">
        <v>200</v>
      </c>
      <c r="E741" t="s">
        <v>576</v>
      </c>
      <c r="F741">
        <v>200</v>
      </c>
    </row>
    <row r="742" spans="1:6" ht="15" customHeight="1" x14ac:dyDescent="0.25">
      <c r="A742" t="s">
        <v>1316</v>
      </c>
      <c r="B742">
        <v>1683</v>
      </c>
      <c r="C742" t="s">
        <v>29</v>
      </c>
      <c r="D742">
        <v>200</v>
      </c>
      <c r="E742" t="s">
        <v>576</v>
      </c>
      <c r="F742">
        <v>200</v>
      </c>
    </row>
    <row r="743" spans="1:6" ht="15" customHeight="1" x14ac:dyDescent="0.25">
      <c r="A743" t="s">
        <v>1317</v>
      </c>
      <c r="B743">
        <v>1683</v>
      </c>
      <c r="C743" t="s">
        <v>30</v>
      </c>
      <c r="D743">
        <v>200</v>
      </c>
      <c r="E743" t="s">
        <v>576</v>
      </c>
      <c r="F743">
        <v>200</v>
      </c>
    </row>
    <row r="744" spans="1:6" ht="15" customHeight="1" x14ac:dyDescent="0.25">
      <c r="A744" t="s">
        <v>1318</v>
      </c>
      <c r="B744">
        <v>1683</v>
      </c>
      <c r="C744" t="s">
        <v>31</v>
      </c>
      <c r="D744">
        <v>200</v>
      </c>
      <c r="E744" t="s">
        <v>576</v>
      </c>
      <c r="F744">
        <v>200</v>
      </c>
    </row>
    <row r="745" spans="1:6" ht="15" customHeight="1" x14ac:dyDescent="0.25">
      <c r="A745" t="s">
        <v>1319</v>
      </c>
      <c r="B745">
        <v>1683</v>
      </c>
      <c r="C745" t="s">
        <v>32</v>
      </c>
      <c r="D745">
        <v>200</v>
      </c>
      <c r="E745" t="s">
        <v>576</v>
      </c>
      <c r="F745">
        <v>200</v>
      </c>
    </row>
    <row r="746" spans="1:6" ht="15" customHeight="1" x14ac:dyDescent="0.25">
      <c r="A746" t="s">
        <v>1320</v>
      </c>
      <c r="B746">
        <v>1683</v>
      </c>
      <c r="C746" t="s">
        <v>33</v>
      </c>
      <c r="D746">
        <v>200</v>
      </c>
      <c r="E746" t="s">
        <v>576</v>
      </c>
      <c r="F746">
        <v>200</v>
      </c>
    </row>
    <row r="747" spans="1:6" ht="15" customHeight="1" x14ac:dyDescent="0.25">
      <c r="A747" t="s">
        <v>1321</v>
      </c>
      <c r="B747">
        <v>1683</v>
      </c>
      <c r="C747" t="s">
        <v>34</v>
      </c>
      <c r="D747">
        <v>200</v>
      </c>
      <c r="E747" t="s">
        <v>576</v>
      </c>
      <c r="F747">
        <v>200</v>
      </c>
    </row>
    <row r="748" spans="1:6" ht="15" customHeight="1" x14ac:dyDescent="0.25">
      <c r="A748" t="s">
        <v>1322</v>
      </c>
      <c r="B748">
        <v>1683</v>
      </c>
      <c r="C748" t="s">
        <v>35</v>
      </c>
      <c r="D748">
        <v>200</v>
      </c>
      <c r="E748" t="s">
        <v>576</v>
      </c>
      <c r="F748">
        <v>200</v>
      </c>
    </row>
    <row r="749" spans="1:6" ht="15" customHeight="1" x14ac:dyDescent="0.25">
      <c r="A749" t="s">
        <v>1323</v>
      </c>
      <c r="B749">
        <v>1683</v>
      </c>
      <c r="C749" t="s">
        <v>36</v>
      </c>
      <c r="D749">
        <v>200</v>
      </c>
      <c r="E749" t="s">
        <v>576</v>
      </c>
      <c r="F749">
        <v>200</v>
      </c>
    </row>
    <row r="750" spans="1:6" ht="15" customHeight="1" x14ac:dyDescent="0.25">
      <c r="A750" t="s">
        <v>1324</v>
      </c>
      <c r="B750">
        <v>1683</v>
      </c>
      <c r="C750" t="s">
        <v>37</v>
      </c>
      <c r="D750">
        <v>200</v>
      </c>
      <c r="E750" t="s">
        <v>576</v>
      </c>
      <c r="F750">
        <v>200</v>
      </c>
    </row>
    <row r="751" spans="1:6" ht="15" customHeight="1" x14ac:dyDescent="0.25">
      <c r="A751" t="s">
        <v>1325</v>
      </c>
      <c r="B751">
        <v>1683</v>
      </c>
      <c r="C751" t="s">
        <v>38</v>
      </c>
      <c r="D751">
        <v>200</v>
      </c>
      <c r="E751" t="s">
        <v>576</v>
      </c>
      <c r="F751">
        <v>200</v>
      </c>
    </row>
    <row r="752" spans="1:6" ht="15" customHeight="1" x14ac:dyDescent="0.25">
      <c r="A752" t="s">
        <v>1326</v>
      </c>
      <c r="B752">
        <v>1683</v>
      </c>
      <c r="C752" t="s">
        <v>39</v>
      </c>
      <c r="D752">
        <v>200</v>
      </c>
      <c r="E752" t="s">
        <v>576</v>
      </c>
      <c r="F752">
        <v>200</v>
      </c>
    </row>
    <row r="753" spans="1:6" ht="15" customHeight="1" x14ac:dyDescent="0.25">
      <c r="A753" t="s">
        <v>1327</v>
      </c>
      <c r="B753">
        <v>1683</v>
      </c>
      <c r="C753" t="s">
        <v>40</v>
      </c>
      <c r="D753">
        <v>200</v>
      </c>
      <c r="E753" t="s">
        <v>576</v>
      </c>
      <c r="F753">
        <v>200</v>
      </c>
    </row>
    <row r="754" spans="1:6" ht="15" customHeight="1" x14ac:dyDescent="0.25">
      <c r="A754" t="s">
        <v>1328</v>
      </c>
      <c r="B754">
        <v>1683</v>
      </c>
      <c r="C754" t="s">
        <v>41</v>
      </c>
      <c r="D754">
        <v>200</v>
      </c>
      <c r="E754" t="s">
        <v>576</v>
      </c>
      <c r="F754">
        <v>200</v>
      </c>
    </row>
    <row r="755" spans="1:6" ht="15" customHeight="1" x14ac:dyDescent="0.25">
      <c r="A755" t="s">
        <v>1329</v>
      </c>
      <c r="B755">
        <v>1683</v>
      </c>
      <c r="C755" t="s">
        <v>42</v>
      </c>
      <c r="D755">
        <v>200</v>
      </c>
      <c r="E755" t="s">
        <v>576</v>
      </c>
      <c r="F755">
        <v>200</v>
      </c>
    </row>
    <row r="756" spans="1:6" ht="15" customHeight="1" x14ac:dyDescent="0.25">
      <c r="A756" t="s">
        <v>1330</v>
      </c>
      <c r="B756">
        <v>1686</v>
      </c>
      <c r="C756" t="s">
        <v>28</v>
      </c>
      <c r="D756">
        <v>50</v>
      </c>
      <c r="E756" t="s">
        <v>576</v>
      </c>
      <c r="F756">
        <v>50</v>
      </c>
    </row>
    <row r="757" spans="1:6" ht="15" customHeight="1" x14ac:dyDescent="0.25">
      <c r="A757" t="s">
        <v>1331</v>
      </c>
      <c r="B757">
        <v>1686</v>
      </c>
      <c r="C757" t="s">
        <v>29</v>
      </c>
      <c r="D757">
        <v>50</v>
      </c>
      <c r="E757" t="s">
        <v>576</v>
      </c>
      <c r="F757">
        <v>50</v>
      </c>
    </row>
    <row r="758" spans="1:6" ht="15" customHeight="1" x14ac:dyDescent="0.25">
      <c r="A758" t="s">
        <v>1332</v>
      </c>
      <c r="B758">
        <v>1686</v>
      </c>
      <c r="C758" t="s">
        <v>30</v>
      </c>
      <c r="D758">
        <v>50</v>
      </c>
      <c r="E758" t="s">
        <v>576</v>
      </c>
      <c r="F758">
        <v>50</v>
      </c>
    </row>
    <row r="759" spans="1:6" ht="15" customHeight="1" x14ac:dyDescent="0.25">
      <c r="A759" t="s">
        <v>1333</v>
      </c>
      <c r="B759">
        <v>1686</v>
      </c>
      <c r="C759" t="s">
        <v>31</v>
      </c>
      <c r="D759">
        <v>50</v>
      </c>
      <c r="E759" t="s">
        <v>576</v>
      </c>
      <c r="F759">
        <v>50</v>
      </c>
    </row>
    <row r="760" spans="1:6" ht="15" customHeight="1" x14ac:dyDescent="0.25">
      <c r="A760" t="s">
        <v>1334</v>
      </c>
      <c r="B760">
        <v>1686</v>
      </c>
      <c r="C760" t="s">
        <v>32</v>
      </c>
      <c r="D760">
        <v>50</v>
      </c>
      <c r="E760" t="s">
        <v>576</v>
      </c>
      <c r="F760">
        <v>50</v>
      </c>
    </row>
    <row r="761" spans="1:6" ht="15" customHeight="1" x14ac:dyDescent="0.25">
      <c r="A761" t="s">
        <v>1335</v>
      </c>
      <c r="B761">
        <v>1686</v>
      </c>
      <c r="C761" t="s">
        <v>33</v>
      </c>
      <c r="D761">
        <v>50</v>
      </c>
      <c r="E761" t="s">
        <v>576</v>
      </c>
      <c r="F761">
        <v>50</v>
      </c>
    </row>
    <row r="762" spans="1:6" ht="15" customHeight="1" x14ac:dyDescent="0.25">
      <c r="A762" t="s">
        <v>1336</v>
      </c>
      <c r="B762">
        <v>1686</v>
      </c>
      <c r="C762" t="s">
        <v>34</v>
      </c>
      <c r="D762">
        <v>50</v>
      </c>
      <c r="E762" t="s">
        <v>576</v>
      </c>
      <c r="F762">
        <v>50</v>
      </c>
    </row>
    <row r="763" spans="1:6" ht="15" customHeight="1" x14ac:dyDescent="0.25">
      <c r="A763" t="s">
        <v>1337</v>
      </c>
      <c r="B763">
        <v>1686</v>
      </c>
      <c r="C763" t="s">
        <v>35</v>
      </c>
      <c r="D763">
        <v>50</v>
      </c>
      <c r="E763" t="s">
        <v>576</v>
      </c>
      <c r="F763">
        <v>50</v>
      </c>
    </row>
    <row r="764" spans="1:6" ht="15" customHeight="1" x14ac:dyDescent="0.25">
      <c r="A764" t="s">
        <v>1338</v>
      </c>
      <c r="B764">
        <v>1686</v>
      </c>
      <c r="C764" t="s">
        <v>36</v>
      </c>
      <c r="D764">
        <v>50</v>
      </c>
      <c r="E764" t="s">
        <v>576</v>
      </c>
      <c r="F764">
        <v>50</v>
      </c>
    </row>
    <row r="765" spans="1:6" ht="15" customHeight="1" x14ac:dyDescent="0.25">
      <c r="A765" t="s">
        <v>1339</v>
      </c>
      <c r="B765">
        <v>1686</v>
      </c>
      <c r="C765" t="s">
        <v>37</v>
      </c>
      <c r="D765">
        <v>50</v>
      </c>
      <c r="E765" t="s">
        <v>576</v>
      </c>
      <c r="F765">
        <v>50</v>
      </c>
    </row>
    <row r="766" spans="1:6" ht="15" customHeight="1" x14ac:dyDescent="0.25">
      <c r="A766" t="s">
        <v>1340</v>
      </c>
      <c r="B766">
        <v>1686</v>
      </c>
      <c r="C766" t="s">
        <v>38</v>
      </c>
      <c r="D766">
        <v>50</v>
      </c>
      <c r="E766" t="s">
        <v>576</v>
      </c>
      <c r="F766">
        <v>50</v>
      </c>
    </row>
    <row r="767" spans="1:6" ht="15" customHeight="1" x14ac:dyDescent="0.25">
      <c r="A767" t="s">
        <v>1341</v>
      </c>
      <c r="B767">
        <v>1686</v>
      </c>
      <c r="C767" t="s">
        <v>39</v>
      </c>
      <c r="D767">
        <v>50</v>
      </c>
      <c r="E767" t="s">
        <v>576</v>
      </c>
      <c r="F767">
        <v>50</v>
      </c>
    </row>
    <row r="768" spans="1:6" ht="15" customHeight="1" x14ac:dyDescent="0.25">
      <c r="A768" t="s">
        <v>1342</v>
      </c>
      <c r="B768">
        <v>1686</v>
      </c>
      <c r="C768" t="s">
        <v>40</v>
      </c>
      <c r="D768">
        <v>50</v>
      </c>
      <c r="E768" t="s">
        <v>576</v>
      </c>
      <c r="F768">
        <v>50</v>
      </c>
    </row>
    <row r="769" spans="1:6" ht="15" customHeight="1" x14ac:dyDescent="0.25">
      <c r="A769" t="s">
        <v>1343</v>
      </c>
      <c r="B769">
        <v>1697</v>
      </c>
      <c r="C769" t="s">
        <v>40</v>
      </c>
      <c r="D769">
        <v>50</v>
      </c>
      <c r="E769" t="s">
        <v>576</v>
      </c>
      <c r="F769">
        <v>50</v>
      </c>
    </row>
    <row r="770" spans="1:6" ht="15" customHeight="1" x14ac:dyDescent="0.25">
      <c r="A770" t="s">
        <v>1344</v>
      </c>
      <c r="B770">
        <v>1697</v>
      </c>
      <c r="C770" t="s">
        <v>41</v>
      </c>
      <c r="D770">
        <v>50</v>
      </c>
      <c r="E770" t="s">
        <v>576</v>
      </c>
      <c r="F770">
        <v>50</v>
      </c>
    </row>
    <row r="771" spans="1:6" ht="15" customHeight="1" x14ac:dyDescent="0.25">
      <c r="A771" t="s">
        <v>1345</v>
      </c>
      <c r="B771">
        <v>1709</v>
      </c>
      <c r="C771" t="s">
        <v>31</v>
      </c>
      <c r="D771">
        <v>200</v>
      </c>
      <c r="E771" t="s">
        <v>576</v>
      </c>
      <c r="F771">
        <v>200</v>
      </c>
    </row>
    <row r="772" spans="1:6" ht="15" customHeight="1" x14ac:dyDescent="0.25">
      <c r="A772" t="s">
        <v>1346</v>
      </c>
      <c r="B772">
        <v>1709</v>
      </c>
      <c r="C772" t="s">
        <v>32</v>
      </c>
      <c r="D772">
        <v>200</v>
      </c>
      <c r="E772" t="s">
        <v>576</v>
      </c>
      <c r="F772">
        <v>200</v>
      </c>
    </row>
    <row r="773" spans="1:6" ht="15" customHeight="1" x14ac:dyDescent="0.25">
      <c r="A773" t="s">
        <v>1347</v>
      </c>
      <c r="B773">
        <v>1709</v>
      </c>
      <c r="C773" t="s">
        <v>33</v>
      </c>
      <c r="D773">
        <v>200</v>
      </c>
      <c r="E773" t="s">
        <v>576</v>
      </c>
      <c r="F773">
        <v>200</v>
      </c>
    </row>
    <row r="774" spans="1:6" ht="15" customHeight="1" x14ac:dyDescent="0.25">
      <c r="A774" t="s">
        <v>1348</v>
      </c>
      <c r="B774">
        <v>1709</v>
      </c>
      <c r="C774" t="s">
        <v>34</v>
      </c>
      <c r="D774">
        <v>200</v>
      </c>
      <c r="E774" t="s">
        <v>576</v>
      </c>
      <c r="F774">
        <v>200</v>
      </c>
    </row>
    <row r="775" spans="1:6" ht="15" customHeight="1" x14ac:dyDescent="0.25">
      <c r="A775" t="s">
        <v>1349</v>
      </c>
      <c r="B775">
        <v>1709</v>
      </c>
      <c r="C775" t="s">
        <v>35</v>
      </c>
      <c r="D775">
        <v>200</v>
      </c>
      <c r="E775" t="s">
        <v>576</v>
      </c>
      <c r="F775">
        <v>200</v>
      </c>
    </row>
    <row r="776" spans="1:6" ht="15" customHeight="1" x14ac:dyDescent="0.25">
      <c r="A776" t="s">
        <v>1350</v>
      </c>
      <c r="B776">
        <v>1709</v>
      </c>
      <c r="C776" t="s">
        <v>36</v>
      </c>
      <c r="D776">
        <v>200</v>
      </c>
      <c r="E776" t="s">
        <v>576</v>
      </c>
      <c r="F776">
        <v>200</v>
      </c>
    </row>
    <row r="777" spans="1:6" ht="15" customHeight="1" x14ac:dyDescent="0.25">
      <c r="A777" t="s">
        <v>1351</v>
      </c>
      <c r="B777">
        <v>1709</v>
      </c>
      <c r="C777" t="s">
        <v>37</v>
      </c>
      <c r="D777">
        <v>200</v>
      </c>
      <c r="E777" t="s">
        <v>576</v>
      </c>
      <c r="F777">
        <v>200</v>
      </c>
    </row>
    <row r="778" spans="1:6" ht="15" customHeight="1" x14ac:dyDescent="0.25">
      <c r="A778" t="s">
        <v>1352</v>
      </c>
      <c r="B778">
        <v>1709</v>
      </c>
      <c r="C778" t="s">
        <v>38</v>
      </c>
      <c r="D778">
        <v>200</v>
      </c>
      <c r="E778" t="s">
        <v>576</v>
      </c>
      <c r="F778">
        <v>200</v>
      </c>
    </row>
    <row r="779" spans="1:6" ht="15" customHeight="1" x14ac:dyDescent="0.25">
      <c r="A779" t="s">
        <v>1353</v>
      </c>
      <c r="B779">
        <v>1713</v>
      </c>
      <c r="C779" t="s">
        <v>33</v>
      </c>
      <c r="D779">
        <v>500</v>
      </c>
      <c r="E779" t="s">
        <v>576</v>
      </c>
      <c r="F779">
        <v>500</v>
      </c>
    </row>
    <row r="780" spans="1:6" ht="15" customHeight="1" x14ac:dyDescent="0.25">
      <c r="A780" t="s">
        <v>1354</v>
      </c>
      <c r="B780">
        <v>1713</v>
      </c>
      <c r="C780" t="s">
        <v>34</v>
      </c>
      <c r="D780">
        <v>500</v>
      </c>
      <c r="E780" t="s">
        <v>576</v>
      </c>
      <c r="F780">
        <v>500</v>
      </c>
    </row>
    <row r="781" spans="1:6" ht="15" customHeight="1" x14ac:dyDescent="0.25">
      <c r="A781" t="s">
        <v>1355</v>
      </c>
      <c r="B781">
        <v>1714</v>
      </c>
      <c r="C781" t="s">
        <v>31</v>
      </c>
      <c r="D781">
        <v>500</v>
      </c>
      <c r="E781" t="s">
        <v>576</v>
      </c>
      <c r="F781">
        <v>500</v>
      </c>
    </row>
    <row r="782" spans="1:6" ht="15" customHeight="1" x14ac:dyDescent="0.25">
      <c r="A782" t="s">
        <v>1356</v>
      </c>
      <c r="B782">
        <v>1714</v>
      </c>
      <c r="C782" t="s">
        <v>32</v>
      </c>
      <c r="D782">
        <v>500</v>
      </c>
      <c r="E782" t="s">
        <v>576</v>
      </c>
      <c r="F782">
        <v>500</v>
      </c>
    </row>
    <row r="783" spans="1:6" ht="15" customHeight="1" x14ac:dyDescent="0.25">
      <c r="A783" t="s">
        <v>1357</v>
      </c>
      <c r="B783">
        <v>1717</v>
      </c>
      <c r="C783" t="s">
        <v>42</v>
      </c>
      <c r="D783">
        <v>50</v>
      </c>
      <c r="E783" t="s">
        <v>576</v>
      </c>
      <c r="F783">
        <v>50</v>
      </c>
    </row>
    <row r="784" spans="1:6" ht="15" customHeight="1" x14ac:dyDescent="0.25">
      <c r="A784" t="s">
        <v>1358</v>
      </c>
      <c r="B784">
        <v>1721</v>
      </c>
      <c r="C784" t="s">
        <v>34</v>
      </c>
      <c r="D784">
        <v>50</v>
      </c>
      <c r="E784" t="s">
        <v>576</v>
      </c>
      <c r="F784">
        <v>50</v>
      </c>
    </row>
    <row r="785" spans="1:6" ht="15" customHeight="1" x14ac:dyDescent="0.25">
      <c r="A785" t="s">
        <v>1359</v>
      </c>
      <c r="B785">
        <v>1721</v>
      </c>
      <c r="C785" t="s">
        <v>35</v>
      </c>
      <c r="D785">
        <v>50</v>
      </c>
      <c r="E785" t="s">
        <v>576</v>
      </c>
      <c r="F785">
        <v>50</v>
      </c>
    </row>
    <row r="786" spans="1:6" ht="15" customHeight="1" x14ac:dyDescent="0.25">
      <c r="A786" t="s">
        <v>1360</v>
      </c>
      <c r="B786">
        <v>1721</v>
      </c>
      <c r="C786" t="s">
        <v>36</v>
      </c>
      <c r="D786">
        <v>50</v>
      </c>
      <c r="E786" t="s">
        <v>576</v>
      </c>
      <c r="F786">
        <v>50</v>
      </c>
    </row>
    <row r="787" spans="1:6" ht="15" customHeight="1" x14ac:dyDescent="0.25">
      <c r="A787" t="s">
        <v>1361</v>
      </c>
      <c r="B787">
        <v>1721</v>
      </c>
      <c r="C787" t="s">
        <v>37</v>
      </c>
      <c r="D787">
        <v>50</v>
      </c>
      <c r="E787" t="s">
        <v>576</v>
      </c>
      <c r="F787">
        <v>50</v>
      </c>
    </row>
    <row r="788" spans="1:6" ht="15" customHeight="1" x14ac:dyDescent="0.25">
      <c r="A788" t="s">
        <v>1362</v>
      </c>
      <c r="B788">
        <v>1721</v>
      </c>
      <c r="C788" t="s">
        <v>38</v>
      </c>
      <c r="D788">
        <v>50</v>
      </c>
      <c r="E788" t="s">
        <v>576</v>
      </c>
      <c r="F788">
        <v>50</v>
      </c>
    </row>
    <row r="789" spans="1:6" ht="15" customHeight="1" x14ac:dyDescent="0.25">
      <c r="A789" t="s">
        <v>1363</v>
      </c>
      <c r="B789">
        <v>1721</v>
      </c>
      <c r="C789" t="s">
        <v>39</v>
      </c>
      <c r="D789">
        <v>50</v>
      </c>
      <c r="E789" t="s">
        <v>576</v>
      </c>
      <c r="F789">
        <v>50</v>
      </c>
    </row>
    <row r="790" spans="1:6" ht="15" customHeight="1" x14ac:dyDescent="0.25">
      <c r="A790" t="s">
        <v>1364</v>
      </c>
      <c r="B790">
        <v>1724</v>
      </c>
      <c r="C790" t="s">
        <v>35</v>
      </c>
      <c r="D790">
        <v>500</v>
      </c>
      <c r="E790" t="s">
        <v>576</v>
      </c>
      <c r="F790">
        <v>500</v>
      </c>
    </row>
    <row r="791" spans="1:6" ht="15" customHeight="1" x14ac:dyDescent="0.25">
      <c r="A791" t="s">
        <v>1365</v>
      </c>
      <c r="B791">
        <v>1724</v>
      </c>
      <c r="C791" t="s">
        <v>36</v>
      </c>
      <c r="D791">
        <v>500</v>
      </c>
      <c r="E791" t="s">
        <v>576</v>
      </c>
      <c r="F791">
        <v>500</v>
      </c>
    </row>
    <row r="792" spans="1:6" ht="15" customHeight="1" x14ac:dyDescent="0.25">
      <c r="A792" t="s">
        <v>1366</v>
      </c>
      <c r="B792">
        <v>1724</v>
      </c>
      <c r="C792" t="s">
        <v>37</v>
      </c>
      <c r="D792">
        <v>500</v>
      </c>
      <c r="E792" t="s">
        <v>576</v>
      </c>
      <c r="F792">
        <v>500</v>
      </c>
    </row>
    <row r="793" spans="1:6" ht="15" customHeight="1" x14ac:dyDescent="0.25">
      <c r="A793" t="s">
        <v>1367</v>
      </c>
      <c r="B793">
        <v>1724</v>
      </c>
      <c r="C793" t="s">
        <v>38</v>
      </c>
      <c r="D793">
        <v>500</v>
      </c>
      <c r="E793" t="s">
        <v>576</v>
      </c>
      <c r="F793">
        <v>500</v>
      </c>
    </row>
    <row r="794" spans="1:6" ht="15" customHeight="1" x14ac:dyDescent="0.25">
      <c r="A794" t="s">
        <v>1368</v>
      </c>
      <c r="B794">
        <v>1724</v>
      </c>
      <c r="C794" t="s">
        <v>39</v>
      </c>
      <c r="D794">
        <v>500</v>
      </c>
      <c r="E794" t="s">
        <v>576</v>
      </c>
      <c r="F794">
        <v>500</v>
      </c>
    </row>
    <row r="795" spans="1:6" ht="15" customHeight="1" x14ac:dyDescent="0.25">
      <c r="A795" t="s">
        <v>1369</v>
      </c>
      <c r="B795">
        <v>1726</v>
      </c>
      <c r="C795" t="s">
        <v>39</v>
      </c>
      <c r="D795">
        <v>50</v>
      </c>
      <c r="E795" t="s">
        <v>576</v>
      </c>
      <c r="F795">
        <v>50</v>
      </c>
    </row>
    <row r="796" spans="1:6" ht="15" customHeight="1" x14ac:dyDescent="0.25">
      <c r="A796" t="s">
        <v>1370</v>
      </c>
      <c r="B796">
        <v>1726</v>
      </c>
      <c r="C796" t="s">
        <v>40</v>
      </c>
      <c r="D796">
        <v>50</v>
      </c>
      <c r="E796" t="s">
        <v>576</v>
      </c>
      <c r="F796">
        <v>50</v>
      </c>
    </row>
    <row r="797" spans="1:6" ht="15" customHeight="1" x14ac:dyDescent="0.25">
      <c r="A797" t="s">
        <v>1371</v>
      </c>
      <c r="B797">
        <v>1727</v>
      </c>
      <c r="C797" t="s">
        <v>37</v>
      </c>
      <c r="D797">
        <v>200</v>
      </c>
      <c r="E797" t="s">
        <v>576</v>
      </c>
      <c r="F797">
        <v>200</v>
      </c>
    </row>
    <row r="798" spans="1:6" ht="15" customHeight="1" x14ac:dyDescent="0.25">
      <c r="A798" t="s">
        <v>1372</v>
      </c>
      <c r="B798">
        <v>1727</v>
      </c>
      <c r="C798" t="s">
        <v>38</v>
      </c>
      <c r="D798">
        <v>200</v>
      </c>
      <c r="E798" t="s">
        <v>576</v>
      </c>
      <c r="F798">
        <v>200</v>
      </c>
    </row>
    <row r="799" spans="1:6" ht="15" customHeight="1" x14ac:dyDescent="0.25">
      <c r="A799" t="s">
        <v>1373</v>
      </c>
      <c r="B799">
        <v>1727</v>
      </c>
      <c r="C799" t="s">
        <v>39</v>
      </c>
      <c r="D799">
        <v>200</v>
      </c>
      <c r="E799" t="s">
        <v>576</v>
      </c>
      <c r="F799">
        <v>200</v>
      </c>
    </row>
    <row r="800" spans="1:6" ht="15" customHeight="1" x14ac:dyDescent="0.25">
      <c r="A800" t="s">
        <v>1374</v>
      </c>
      <c r="B800">
        <v>1727</v>
      </c>
      <c r="C800" t="s">
        <v>40</v>
      </c>
      <c r="D800">
        <v>200</v>
      </c>
      <c r="E800" t="s">
        <v>576</v>
      </c>
      <c r="F800">
        <v>200</v>
      </c>
    </row>
    <row r="801" spans="1:6" ht="15" customHeight="1" x14ac:dyDescent="0.25">
      <c r="A801" t="s">
        <v>1375</v>
      </c>
      <c r="B801">
        <v>1727</v>
      </c>
      <c r="C801" t="s">
        <v>41</v>
      </c>
      <c r="D801">
        <v>200</v>
      </c>
      <c r="E801" t="s">
        <v>576</v>
      </c>
      <c r="F801">
        <v>200</v>
      </c>
    </row>
    <row r="802" spans="1:6" ht="15" customHeight="1" x14ac:dyDescent="0.25">
      <c r="A802" t="s">
        <v>1376</v>
      </c>
      <c r="B802">
        <v>1727</v>
      </c>
      <c r="C802" t="s">
        <v>42</v>
      </c>
      <c r="D802">
        <v>200</v>
      </c>
      <c r="E802" t="s">
        <v>576</v>
      </c>
      <c r="F802">
        <v>200</v>
      </c>
    </row>
    <row r="803" spans="1:6" ht="15" customHeight="1" x14ac:dyDescent="0.25">
      <c r="A803" t="s">
        <v>1377</v>
      </c>
      <c r="B803">
        <v>1736</v>
      </c>
      <c r="C803" t="s">
        <v>36</v>
      </c>
      <c r="D803">
        <v>500</v>
      </c>
      <c r="E803" t="s">
        <v>576</v>
      </c>
      <c r="F803">
        <v>500</v>
      </c>
    </row>
    <row r="804" spans="1:6" ht="15" customHeight="1" x14ac:dyDescent="0.25">
      <c r="A804" t="s">
        <v>1378</v>
      </c>
      <c r="B804">
        <v>1736</v>
      </c>
      <c r="C804" t="s">
        <v>37</v>
      </c>
      <c r="D804">
        <v>500</v>
      </c>
      <c r="E804" t="s">
        <v>576</v>
      </c>
      <c r="F804">
        <v>500</v>
      </c>
    </row>
    <row r="805" spans="1:6" ht="15" customHeight="1" x14ac:dyDescent="0.25">
      <c r="A805" t="s">
        <v>1379</v>
      </c>
      <c r="B805">
        <v>1736</v>
      </c>
      <c r="C805" t="s">
        <v>38</v>
      </c>
      <c r="D805">
        <v>500</v>
      </c>
      <c r="E805" t="s">
        <v>576</v>
      </c>
      <c r="F805">
        <v>500</v>
      </c>
    </row>
    <row r="806" spans="1:6" ht="15" customHeight="1" x14ac:dyDescent="0.25">
      <c r="A806" t="s">
        <v>1380</v>
      </c>
      <c r="B806">
        <v>1737</v>
      </c>
      <c r="C806" t="s">
        <v>30</v>
      </c>
      <c r="D806">
        <v>200</v>
      </c>
      <c r="E806" t="s">
        <v>576</v>
      </c>
      <c r="F806">
        <v>200</v>
      </c>
    </row>
    <row r="807" spans="1:6" ht="15" customHeight="1" x14ac:dyDescent="0.25">
      <c r="A807" t="s">
        <v>1381</v>
      </c>
      <c r="B807">
        <v>1737</v>
      </c>
      <c r="C807" t="s">
        <v>31</v>
      </c>
      <c r="D807">
        <v>200</v>
      </c>
      <c r="E807" t="s">
        <v>576</v>
      </c>
      <c r="F807">
        <v>200</v>
      </c>
    </row>
    <row r="808" spans="1:6" ht="15" customHeight="1" x14ac:dyDescent="0.25">
      <c r="A808" t="s">
        <v>1382</v>
      </c>
      <c r="B808">
        <v>1737</v>
      </c>
      <c r="C808" t="s">
        <v>32</v>
      </c>
      <c r="D808">
        <v>200</v>
      </c>
      <c r="E808" t="s">
        <v>576</v>
      </c>
      <c r="F808">
        <v>200</v>
      </c>
    </row>
    <row r="809" spans="1:6" ht="15" customHeight="1" x14ac:dyDescent="0.25">
      <c r="A809" t="s">
        <v>1383</v>
      </c>
      <c r="B809">
        <v>1737</v>
      </c>
      <c r="C809" t="s">
        <v>33</v>
      </c>
      <c r="D809">
        <v>200</v>
      </c>
      <c r="E809" t="s">
        <v>576</v>
      </c>
      <c r="F809">
        <v>200</v>
      </c>
    </row>
    <row r="810" spans="1:6" ht="15" customHeight="1" x14ac:dyDescent="0.25">
      <c r="A810" t="s">
        <v>1384</v>
      </c>
      <c r="B810">
        <v>1737</v>
      </c>
      <c r="C810" t="s">
        <v>34</v>
      </c>
      <c r="D810">
        <v>200</v>
      </c>
      <c r="E810" t="s">
        <v>576</v>
      </c>
      <c r="F810">
        <v>200</v>
      </c>
    </row>
    <row r="811" spans="1:6" ht="15" customHeight="1" x14ac:dyDescent="0.25">
      <c r="A811" t="s">
        <v>1385</v>
      </c>
      <c r="B811">
        <v>1747</v>
      </c>
      <c r="C811" t="s">
        <v>29</v>
      </c>
      <c r="D811">
        <v>200</v>
      </c>
      <c r="E811" t="s">
        <v>576</v>
      </c>
      <c r="F811">
        <v>200</v>
      </c>
    </row>
    <row r="812" spans="1:6" ht="15" customHeight="1" x14ac:dyDescent="0.25">
      <c r="A812" t="s">
        <v>1386</v>
      </c>
      <c r="B812">
        <v>1747</v>
      </c>
      <c r="C812" t="s">
        <v>30</v>
      </c>
      <c r="D812">
        <v>200</v>
      </c>
      <c r="E812" t="s">
        <v>576</v>
      </c>
      <c r="F812">
        <v>200</v>
      </c>
    </row>
    <row r="813" spans="1:6" ht="15" customHeight="1" x14ac:dyDescent="0.25">
      <c r="A813" t="s">
        <v>1387</v>
      </c>
      <c r="B813">
        <v>1747</v>
      </c>
      <c r="C813" t="s">
        <v>31</v>
      </c>
      <c r="D813">
        <v>200</v>
      </c>
      <c r="E813" t="s">
        <v>576</v>
      </c>
      <c r="F813">
        <v>200</v>
      </c>
    </row>
    <row r="814" spans="1:6" ht="15" customHeight="1" x14ac:dyDescent="0.25">
      <c r="A814" t="s">
        <v>1388</v>
      </c>
      <c r="B814">
        <v>1750</v>
      </c>
      <c r="C814" t="s">
        <v>34</v>
      </c>
      <c r="D814">
        <v>500</v>
      </c>
      <c r="E814" t="s">
        <v>576</v>
      </c>
      <c r="F814">
        <v>500</v>
      </c>
    </row>
    <row r="815" spans="1:6" ht="15" customHeight="1" x14ac:dyDescent="0.25">
      <c r="A815" t="s">
        <v>1389</v>
      </c>
      <c r="B815">
        <v>1750</v>
      </c>
      <c r="C815" t="s">
        <v>35</v>
      </c>
      <c r="D815">
        <v>500</v>
      </c>
      <c r="E815" t="s">
        <v>576</v>
      </c>
      <c r="F815">
        <v>500</v>
      </c>
    </row>
    <row r="816" spans="1:6" ht="15" customHeight="1" x14ac:dyDescent="0.25">
      <c r="A816" t="s">
        <v>1390</v>
      </c>
      <c r="B816">
        <v>1750</v>
      </c>
      <c r="C816" t="s">
        <v>36</v>
      </c>
      <c r="D816">
        <v>500</v>
      </c>
      <c r="E816" t="s">
        <v>576</v>
      </c>
      <c r="F816">
        <v>500</v>
      </c>
    </row>
    <row r="817" spans="1:6" ht="15" customHeight="1" x14ac:dyDescent="0.25">
      <c r="A817" t="s">
        <v>1391</v>
      </c>
      <c r="B817">
        <v>1750</v>
      </c>
      <c r="C817" t="s">
        <v>37</v>
      </c>
      <c r="D817">
        <v>500</v>
      </c>
      <c r="E817" t="s">
        <v>576</v>
      </c>
      <c r="F817">
        <v>500</v>
      </c>
    </row>
    <row r="818" spans="1:6" ht="15" customHeight="1" x14ac:dyDescent="0.25">
      <c r="A818" t="s">
        <v>1392</v>
      </c>
      <c r="B818">
        <v>1750</v>
      </c>
      <c r="C818" t="s">
        <v>38</v>
      </c>
      <c r="D818">
        <v>500</v>
      </c>
      <c r="E818" t="s">
        <v>576</v>
      </c>
      <c r="F818">
        <v>500</v>
      </c>
    </row>
    <row r="819" spans="1:6" ht="15" customHeight="1" x14ac:dyDescent="0.25">
      <c r="A819" t="s">
        <v>1393</v>
      </c>
      <c r="B819">
        <v>1750</v>
      </c>
      <c r="C819" t="s">
        <v>39</v>
      </c>
      <c r="D819">
        <v>500</v>
      </c>
      <c r="E819" t="s">
        <v>576</v>
      </c>
      <c r="F819">
        <v>500</v>
      </c>
    </row>
    <row r="820" spans="1:6" ht="15" customHeight="1" x14ac:dyDescent="0.25">
      <c r="A820" t="s">
        <v>1394</v>
      </c>
      <c r="B820">
        <v>1750</v>
      </c>
      <c r="C820" t="s">
        <v>40</v>
      </c>
      <c r="D820">
        <v>500</v>
      </c>
      <c r="E820" t="s">
        <v>576</v>
      </c>
      <c r="F820">
        <v>500</v>
      </c>
    </row>
    <row r="821" spans="1:6" ht="15" customHeight="1" x14ac:dyDescent="0.25">
      <c r="A821" t="s">
        <v>1395</v>
      </c>
      <c r="B821">
        <v>1759</v>
      </c>
      <c r="C821" t="s">
        <v>29</v>
      </c>
      <c r="D821">
        <v>200</v>
      </c>
      <c r="E821" t="s">
        <v>576</v>
      </c>
      <c r="F821">
        <v>200</v>
      </c>
    </row>
    <row r="822" spans="1:6" ht="15" customHeight="1" x14ac:dyDescent="0.25">
      <c r="A822" t="s">
        <v>1396</v>
      </c>
      <c r="B822">
        <v>1759</v>
      </c>
      <c r="C822" t="s">
        <v>30</v>
      </c>
      <c r="D822">
        <v>200</v>
      </c>
      <c r="E822" t="s">
        <v>576</v>
      </c>
      <c r="F822">
        <v>200</v>
      </c>
    </row>
    <row r="823" spans="1:6" ht="15" customHeight="1" x14ac:dyDescent="0.25">
      <c r="A823" t="s">
        <v>1397</v>
      </c>
      <c r="B823">
        <v>1759</v>
      </c>
      <c r="C823" t="s">
        <v>31</v>
      </c>
      <c r="D823">
        <v>200</v>
      </c>
      <c r="E823" t="s">
        <v>576</v>
      </c>
      <c r="F823">
        <v>200</v>
      </c>
    </row>
    <row r="824" spans="1:6" ht="15" customHeight="1" x14ac:dyDescent="0.25">
      <c r="A824" t="s">
        <v>1398</v>
      </c>
      <c r="B824">
        <v>1759</v>
      </c>
      <c r="C824" t="s">
        <v>32</v>
      </c>
      <c r="D824">
        <v>200</v>
      </c>
      <c r="E824" t="s">
        <v>576</v>
      </c>
      <c r="F824">
        <v>200</v>
      </c>
    </row>
    <row r="825" spans="1:6" ht="15" customHeight="1" x14ac:dyDescent="0.25">
      <c r="A825" t="s">
        <v>1399</v>
      </c>
      <c r="B825">
        <v>1759</v>
      </c>
      <c r="C825" t="s">
        <v>33</v>
      </c>
      <c r="D825">
        <v>200</v>
      </c>
      <c r="E825" t="s">
        <v>576</v>
      </c>
      <c r="F825">
        <v>200</v>
      </c>
    </row>
    <row r="826" spans="1:6" ht="15" customHeight="1" x14ac:dyDescent="0.25">
      <c r="A826" t="s">
        <v>1400</v>
      </c>
      <c r="B826">
        <v>1759</v>
      </c>
      <c r="C826" t="s">
        <v>34</v>
      </c>
      <c r="D826">
        <v>200</v>
      </c>
      <c r="E826" t="s">
        <v>576</v>
      </c>
      <c r="F826">
        <v>200</v>
      </c>
    </row>
    <row r="827" spans="1:6" ht="15" customHeight="1" x14ac:dyDescent="0.25">
      <c r="A827" t="s">
        <v>1401</v>
      </c>
      <c r="B827">
        <v>1759</v>
      </c>
      <c r="C827" t="s">
        <v>35</v>
      </c>
      <c r="D827">
        <v>200</v>
      </c>
      <c r="E827" t="s">
        <v>576</v>
      </c>
      <c r="F827">
        <v>200</v>
      </c>
    </row>
    <row r="828" spans="1:6" ht="15" customHeight="1" x14ac:dyDescent="0.25">
      <c r="A828" t="s">
        <v>1402</v>
      </c>
      <c r="B828">
        <v>1759</v>
      </c>
      <c r="C828" t="s">
        <v>36</v>
      </c>
      <c r="D828">
        <v>200</v>
      </c>
      <c r="E828" t="s">
        <v>576</v>
      </c>
      <c r="F828">
        <v>200</v>
      </c>
    </row>
    <row r="829" spans="1:6" ht="15" customHeight="1" x14ac:dyDescent="0.25">
      <c r="A829" t="s">
        <v>1403</v>
      </c>
      <c r="B829">
        <v>1764</v>
      </c>
      <c r="C829" t="s">
        <v>36</v>
      </c>
      <c r="D829">
        <v>500</v>
      </c>
      <c r="E829" t="s">
        <v>576</v>
      </c>
      <c r="F829">
        <v>500</v>
      </c>
    </row>
    <row r="830" spans="1:6" ht="15" customHeight="1" x14ac:dyDescent="0.25">
      <c r="A830" t="s">
        <v>1404</v>
      </c>
      <c r="B830">
        <v>1764</v>
      </c>
      <c r="C830" t="s">
        <v>37</v>
      </c>
      <c r="D830">
        <v>500</v>
      </c>
      <c r="E830" t="s">
        <v>576</v>
      </c>
      <c r="F830">
        <v>500</v>
      </c>
    </row>
    <row r="831" spans="1:6" ht="15" customHeight="1" x14ac:dyDescent="0.25">
      <c r="A831" t="s">
        <v>1405</v>
      </c>
      <c r="B831">
        <v>1765</v>
      </c>
      <c r="C831" t="s">
        <v>30</v>
      </c>
      <c r="D831">
        <v>50</v>
      </c>
      <c r="E831" t="s">
        <v>576</v>
      </c>
      <c r="F831">
        <v>50</v>
      </c>
    </row>
    <row r="832" spans="1:6" ht="15" customHeight="1" x14ac:dyDescent="0.25">
      <c r="A832" t="s">
        <v>1406</v>
      </c>
      <c r="B832">
        <v>1765</v>
      </c>
      <c r="C832" t="s">
        <v>31</v>
      </c>
      <c r="D832">
        <v>50</v>
      </c>
      <c r="E832" t="s">
        <v>576</v>
      </c>
      <c r="F832">
        <v>50</v>
      </c>
    </row>
    <row r="833" spans="1:6" ht="15" customHeight="1" x14ac:dyDescent="0.25">
      <c r="A833" t="s">
        <v>1407</v>
      </c>
      <c r="B833">
        <v>1765</v>
      </c>
      <c r="C833" t="s">
        <v>32</v>
      </c>
      <c r="D833">
        <v>50</v>
      </c>
      <c r="E833" t="s">
        <v>576</v>
      </c>
      <c r="F833">
        <v>50</v>
      </c>
    </row>
    <row r="834" spans="1:6" ht="15" customHeight="1" x14ac:dyDescent="0.25">
      <c r="A834" t="s">
        <v>1408</v>
      </c>
      <c r="B834">
        <v>1765</v>
      </c>
      <c r="C834" t="s">
        <v>33</v>
      </c>
      <c r="D834">
        <v>50</v>
      </c>
      <c r="E834" t="s">
        <v>576</v>
      </c>
      <c r="F834">
        <v>50</v>
      </c>
    </row>
    <row r="835" spans="1:6" ht="15" customHeight="1" x14ac:dyDescent="0.25">
      <c r="A835" t="s">
        <v>1409</v>
      </c>
      <c r="B835">
        <v>1765</v>
      </c>
      <c r="C835" t="s">
        <v>34</v>
      </c>
      <c r="D835">
        <v>50</v>
      </c>
      <c r="E835" t="s">
        <v>576</v>
      </c>
      <c r="F835">
        <v>50</v>
      </c>
    </row>
    <row r="836" spans="1:6" ht="15" customHeight="1" x14ac:dyDescent="0.25">
      <c r="A836" t="s">
        <v>1410</v>
      </c>
      <c r="B836">
        <v>1765</v>
      </c>
      <c r="C836" t="s">
        <v>35</v>
      </c>
      <c r="D836">
        <v>50</v>
      </c>
      <c r="E836" t="s">
        <v>576</v>
      </c>
      <c r="F836">
        <v>50</v>
      </c>
    </row>
    <row r="837" spans="1:6" ht="15" customHeight="1" x14ac:dyDescent="0.25">
      <c r="A837" t="s">
        <v>1411</v>
      </c>
      <c r="B837">
        <v>1767</v>
      </c>
      <c r="C837" t="s">
        <v>36</v>
      </c>
      <c r="D837">
        <v>200</v>
      </c>
      <c r="E837" t="s">
        <v>576</v>
      </c>
      <c r="F837">
        <v>200</v>
      </c>
    </row>
    <row r="838" spans="1:6" ht="15" customHeight="1" x14ac:dyDescent="0.25">
      <c r="A838" t="s">
        <v>1412</v>
      </c>
      <c r="B838">
        <v>1767</v>
      </c>
      <c r="C838" t="s">
        <v>37</v>
      </c>
      <c r="D838">
        <v>200</v>
      </c>
      <c r="E838" t="s">
        <v>576</v>
      </c>
      <c r="F838">
        <v>200</v>
      </c>
    </row>
    <row r="839" spans="1:6" ht="15" customHeight="1" x14ac:dyDescent="0.25">
      <c r="A839" t="s">
        <v>1413</v>
      </c>
      <c r="B839">
        <v>1767</v>
      </c>
      <c r="C839" t="s">
        <v>38</v>
      </c>
      <c r="D839">
        <v>200</v>
      </c>
      <c r="E839" t="s">
        <v>576</v>
      </c>
      <c r="F839">
        <v>200</v>
      </c>
    </row>
    <row r="840" spans="1:6" ht="15" customHeight="1" x14ac:dyDescent="0.25">
      <c r="A840" t="s">
        <v>1414</v>
      </c>
      <c r="B840">
        <v>1767</v>
      </c>
      <c r="C840" t="s">
        <v>39</v>
      </c>
      <c r="D840">
        <v>200</v>
      </c>
      <c r="E840" t="s">
        <v>576</v>
      </c>
      <c r="F840">
        <v>200</v>
      </c>
    </row>
    <row r="841" spans="1:6" ht="15" customHeight="1" x14ac:dyDescent="0.25">
      <c r="A841" t="s">
        <v>1415</v>
      </c>
      <c r="B841">
        <v>1768</v>
      </c>
      <c r="C841" t="s">
        <v>42</v>
      </c>
      <c r="D841">
        <v>200</v>
      </c>
      <c r="E841" t="s">
        <v>576</v>
      </c>
      <c r="F841">
        <v>200</v>
      </c>
    </row>
    <row r="842" spans="1:6" ht="15" customHeight="1" x14ac:dyDescent="0.25">
      <c r="A842" t="s">
        <v>1416</v>
      </c>
      <c r="B842">
        <v>1791</v>
      </c>
      <c r="C842" t="s">
        <v>41</v>
      </c>
      <c r="D842">
        <v>200</v>
      </c>
      <c r="E842" t="s">
        <v>576</v>
      </c>
      <c r="F842">
        <v>200</v>
      </c>
    </row>
    <row r="843" spans="1:6" ht="15" customHeight="1" x14ac:dyDescent="0.25">
      <c r="A843" t="s">
        <v>1417</v>
      </c>
      <c r="B843">
        <v>1806</v>
      </c>
      <c r="C843" t="s">
        <v>36</v>
      </c>
      <c r="D843">
        <v>500</v>
      </c>
      <c r="E843" t="s">
        <v>576</v>
      </c>
      <c r="F843">
        <v>500</v>
      </c>
    </row>
    <row r="844" spans="1:6" ht="15" customHeight="1" x14ac:dyDescent="0.25">
      <c r="A844" t="s">
        <v>1418</v>
      </c>
      <c r="B844">
        <v>1806</v>
      </c>
      <c r="C844" t="s">
        <v>37</v>
      </c>
      <c r="D844">
        <v>500</v>
      </c>
      <c r="E844" t="s">
        <v>576</v>
      </c>
      <c r="F844">
        <v>500</v>
      </c>
    </row>
    <row r="845" spans="1:6" ht="15" customHeight="1" x14ac:dyDescent="0.25">
      <c r="A845" t="s">
        <v>1419</v>
      </c>
      <c r="B845">
        <v>1806</v>
      </c>
      <c r="C845" t="s">
        <v>38</v>
      </c>
      <c r="D845">
        <v>500</v>
      </c>
      <c r="E845" t="s">
        <v>576</v>
      </c>
      <c r="F845">
        <v>500</v>
      </c>
    </row>
    <row r="846" spans="1:6" ht="15" customHeight="1" x14ac:dyDescent="0.25">
      <c r="A846" t="s">
        <v>1420</v>
      </c>
      <c r="B846">
        <v>1806</v>
      </c>
      <c r="C846" t="s">
        <v>39</v>
      </c>
      <c r="D846">
        <v>500</v>
      </c>
      <c r="E846" t="s">
        <v>576</v>
      </c>
      <c r="F846">
        <v>500</v>
      </c>
    </row>
    <row r="847" spans="1:6" ht="15" customHeight="1" x14ac:dyDescent="0.25">
      <c r="A847" t="s">
        <v>1421</v>
      </c>
      <c r="B847">
        <v>1807</v>
      </c>
      <c r="C847" t="s">
        <v>36</v>
      </c>
      <c r="D847">
        <v>50</v>
      </c>
      <c r="E847" t="s">
        <v>576</v>
      </c>
      <c r="F847">
        <v>50</v>
      </c>
    </row>
    <row r="848" spans="1:6" ht="15" customHeight="1" x14ac:dyDescent="0.25">
      <c r="A848" t="s">
        <v>1422</v>
      </c>
      <c r="B848">
        <v>1807</v>
      </c>
      <c r="C848" t="s">
        <v>37</v>
      </c>
      <c r="D848">
        <v>50</v>
      </c>
      <c r="E848" t="s">
        <v>576</v>
      </c>
      <c r="F848">
        <v>50</v>
      </c>
    </row>
    <row r="849" spans="1:6" ht="15" customHeight="1" x14ac:dyDescent="0.25">
      <c r="A849" t="s">
        <v>1423</v>
      </c>
      <c r="B849">
        <v>1807</v>
      </c>
      <c r="C849" t="s">
        <v>38</v>
      </c>
      <c r="D849">
        <v>50</v>
      </c>
      <c r="E849" t="s">
        <v>576</v>
      </c>
      <c r="F849">
        <v>50</v>
      </c>
    </row>
    <row r="850" spans="1:6" ht="15" customHeight="1" x14ac:dyDescent="0.25">
      <c r="A850" t="s">
        <v>1424</v>
      </c>
      <c r="B850">
        <v>1807</v>
      </c>
      <c r="C850" t="s">
        <v>39</v>
      </c>
      <c r="D850">
        <v>50</v>
      </c>
      <c r="E850" t="s">
        <v>576</v>
      </c>
      <c r="F850">
        <v>50</v>
      </c>
    </row>
    <row r="851" spans="1:6" ht="15" customHeight="1" x14ac:dyDescent="0.25">
      <c r="A851" t="s">
        <v>1425</v>
      </c>
      <c r="B851">
        <v>1810</v>
      </c>
      <c r="C851" t="s">
        <v>36</v>
      </c>
      <c r="D851">
        <v>500</v>
      </c>
      <c r="E851" t="s">
        <v>576</v>
      </c>
      <c r="F851">
        <v>500</v>
      </c>
    </row>
    <row r="852" spans="1:6" ht="15" customHeight="1" x14ac:dyDescent="0.25">
      <c r="A852" t="s">
        <v>1426</v>
      </c>
      <c r="B852">
        <v>1810</v>
      </c>
      <c r="C852" t="s">
        <v>37</v>
      </c>
      <c r="D852">
        <v>500</v>
      </c>
      <c r="E852" t="s">
        <v>576</v>
      </c>
      <c r="F852">
        <v>500</v>
      </c>
    </row>
    <row r="853" spans="1:6" ht="15" customHeight="1" x14ac:dyDescent="0.25">
      <c r="A853" t="s">
        <v>1427</v>
      </c>
      <c r="B853">
        <v>1810</v>
      </c>
      <c r="C853" t="s">
        <v>38</v>
      </c>
      <c r="D853">
        <v>500</v>
      </c>
      <c r="E853" t="s">
        <v>576</v>
      </c>
      <c r="F853">
        <v>500</v>
      </c>
    </row>
    <row r="854" spans="1:6" ht="15" customHeight="1" x14ac:dyDescent="0.25">
      <c r="A854" t="s">
        <v>1428</v>
      </c>
      <c r="B854">
        <v>1810</v>
      </c>
      <c r="C854" t="s">
        <v>39</v>
      </c>
      <c r="D854">
        <v>500</v>
      </c>
      <c r="E854" t="s">
        <v>576</v>
      </c>
      <c r="F854">
        <v>500</v>
      </c>
    </row>
    <row r="855" spans="1:6" ht="15" customHeight="1" x14ac:dyDescent="0.25">
      <c r="A855" t="s">
        <v>1429</v>
      </c>
      <c r="B855">
        <v>1817</v>
      </c>
      <c r="C855" t="s">
        <v>28</v>
      </c>
      <c r="D855">
        <v>500</v>
      </c>
      <c r="E855" t="s">
        <v>576</v>
      </c>
      <c r="F855">
        <v>500</v>
      </c>
    </row>
    <row r="856" spans="1:6" ht="15" customHeight="1" x14ac:dyDescent="0.25">
      <c r="A856" t="s">
        <v>1430</v>
      </c>
      <c r="B856">
        <v>1817</v>
      </c>
      <c r="C856" t="s">
        <v>29</v>
      </c>
      <c r="D856">
        <v>500</v>
      </c>
      <c r="E856" t="s">
        <v>576</v>
      </c>
      <c r="F856">
        <v>500</v>
      </c>
    </row>
    <row r="857" spans="1:6" ht="15" customHeight="1" x14ac:dyDescent="0.25">
      <c r="A857" t="s">
        <v>1431</v>
      </c>
      <c r="B857">
        <v>1822</v>
      </c>
      <c r="C857" t="s">
        <v>38</v>
      </c>
      <c r="D857">
        <v>50</v>
      </c>
      <c r="E857" t="s">
        <v>576</v>
      </c>
      <c r="F857">
        <v>50</v>
      </c>
    </row>
    <row r="858" spans="1:6" ht="15" customHeight="1" x14ac:dyDescent="0.25">
      <c r="A858" t="s">
        <v>1432</v>
      </c>
      <c r="B858">
        <v>1822</v>
      </c>
      <c r="C858" t="s">
        <v>39</v>
      </c>
      <c r="D858">
        <v>50</v>
      </c>
      <c r="E858" t="s">
        <v>576</v>
      </c>
      <c r="F858">
        <v>50</v>
      </c>
    </row>
    <row r="859" spans="1:6" ht="15" customHeight="1" x14ac:dyDescent="0.25">
      <c r="A859" t="s">
        <v>1433</v>
      </c>
      <c r="B859">
        <v>1824</v>
      </c>
      <c r="C859" t="s">
        <v>41</v>
      </c>
      <c r="D859">
        <v>200</v>
      </c>
      <c r="E859" t="s">
        <v>576</v>
      </c>
      <c r="F859">
        <v>200</v>
      </c>
    </row>
    <row r="860" spans="1:6" ht="15" customHeight="1" x14ac:dyDescent="0.25">
      <c r="A860" t="s">
        <v>1434</v>
      </c>
      <c r="B860">
        <v>1834</v>
      </c>
      <c r="C860" t="s">
        <v>39</v>
      </c>
      <c r="D860">
        <v>200</v>
      </c>
      <c r="E860" t="s">
        <v>576</v>
      </c>
      <c r="F860">
        <v>200</v>
      </c>
    </row>
    <row r="861" spans="1:6" ht="15" customHeight="1" x14ac:dyDescent="0.25">
      <c r="A861" t="s">
        <v>1435</v>
      </c>
      <c r="B861">
        <v>1834</v>
      </c>
      <c r="C861" t="s">
        <v>40</v>
      </c>
      <c r="D861">
        <v>200</v>
      </c>
      <c r="E861" t="s">
        <v>576</v>
      </c>
      <c r="F861">
        <v>200</v>
      </c>
    </row>
    <row r="862" spans="1:6" ht="15" customHeight="1" x14ac:dyDescent="0.25">
      <c r="A862" t="s">
        <v>1436</v>
      </c>
      <c r="B862">
        <v>1834</v>
      </c>
      <c r="C862" t="s">
        <v>41</v>
      </c>
      <c r="D862">
        <v>200</v>
      </c>
      <c r="E862" t="s">
        <v>576</v>
      </c>
      <c r="F862">
        <v>200</v>
      </c>
    </row>
    <row r="863" spans="1:6" ht="15" customHeight="1" x14ac:dyDescent="0.25">
      <c r="A863" t="s">
        <v>1437</v>
      </c>
      <c r="B863">
        <v>1844</v>
      </c>
      <c r="C863" t="s">
        <v>26</v>
      </c>
      <c r="D863">
        <v>50</v>
      </c>
      <c r="E863" t="s">
        <v>576</v>
      </c>
      <c r="F863">
        <v>50</v>
      </c>
    </row>
    <row r="864" spans="1:6" ht="15" customHeight="1" x14ac:dyDescent="0.25">
      <c r="A864" t="s">
        <v>1438</v>
      </c>
      <c r="B864">
        <v>1844</v>
      </c>
      <c r="C864" t="s">
        <v>27</v>
      </c>
      <c r="D864">
        <v>50</v>
      </c>
      <c r="E864" t="s">
        <v>576</v>
      </c>
      <c r="F864">
        <v>50</v>
      </c>
    </row>
    <row r="865" spans="1:6" ht="15" customHeight="1" x14ac:dyDescent="0.25">
      <c r="A865" t="s">
        <v>1439</v>
      </c>
      <c r="B865">
        <v>1844</v>
      </c>
      <c r="C865" t="s">
        <v>28</v>
      </c>
      <c r="D865">
        <v>50</v>
      </c>
      <c r="E865" t="s">
        <v>576</v>
      </c>
      <c r="F865">
        <v>50</v>
      </c>
    </row>
    <row r="866" spans="1:6" ht="15" customHeight="1" x14ac:dyDescent="0.25">
      <c r="A866" t="s">
        <v>1440</v>
      </c>
      <c r="B866">
        <v>1844</v>
      </c>
      <c r="C866" t="s">
        <v>29</v>
      </c>
      <c r="D866">
        <v>50</v>
      </c>
      <c r="E866" t="s">
        <v>576</v>
      </c>
      <c r="F866">
        <v>50</v>
      </c>
    </row>
    <row r="867" spans="1:6" ht="15" customHeight="1" x14ac:dyDescent="0.25">
      <c r="A867" t="s">
        <v>1441</v>
      </c>
      <c r="B867">
        <v>1844</v>
      </c>
      <c r="C867" t="s">
        <v>30</v>
      </c>
      <c r="D867">
        <v>50</v>
      </c>
      <c r="E867" t="s">
        <v>576</v>
      </c>
      <c r="F867">
        <v>50</v>
      </c>
    </row>
    <row r="868" spans="1:6" ht="15" customHeight="1" x14ac:dyDescent="0.25">
      <c r="A868" t="s">
        <v>1442</v>
      </c>
      <c r="B868">
        <v>1844</v>
      </c>
      <c r="C868" t="s">
        <v>31</v>
      </c>
      <c r="D868">
        <v>50</v>
      </c>
      <c r="E868" t="s">
        <v>576</v>
      </c>
      <c r="F868">
        <v>50</v>
      </c>
    </row>
    <row r="869" spans="1:6" ht="15" customHeight="1" x14ac:dyDescent="0.25">
      <c r="A869" t="s">
        <v>1443</v>
      </c>
      <c r="B869">
        <v>1844</v>
      </c>
      <c r="C869" t="s">
        <v>32</v>
      </c>
      <c r="D869">
        <v>50</v>
      </c>
      <c r="E869" t="s">
        <v>576</v>
      </c>
      <c r="F869">
        <v>50</v>
      </c>
    </row>
    <row r="870" spans="1:6" ht="15" customHeight="1" x14ac:dyDescent="0.25">
      <c r="A870" t="s">
        <v>1444</v>
      </c>
      <c r="B870">
        <v>1844</v>
      </c>
      <c r="C870" t="s">
        <v>33</v>
      </c>
      <c r="D870">
        <v>50</v>
      </c>
      <c r="E870" t="s">
        <v>576</v>
      </c>
      <c r="F870">
        <v>50</v>
      </c>
    </row>
    <row r="871" spans="1:6" ht="15" customHeight="1" x14ac:dyDescent="0.25">
      <c r="A871" t="s">
        <v>1445</v>
      </c>
      <c r="B871">
        <v>1844</v>
      </c>
      <c r="C871" t="s">
        <v>34</v>
      </c>
      <c r="D871">
        <v>50</v>
      </c>
      <c r="E871" t="s">
        <v>576</v>
      </c>
      <c r="F871">
        <v>50</v>
      </c>
    </row>
    <row r="872" spans="1:6" ht="15" customHeight="1" x14ac:dyDescent="0.25">
      <c r="A872" t="s">
        <v>1446</v>
      </c>
      <c r="B872">
        <v>1844</v>
      </c>
      <c r="C872" t="s">
        <v>35</v>
      </c>
      <c r="D872">
        <v>50</v>
      </c>
      <c r="E872" t="s">
        <v>576</v>
      </c>
      <c r="F872">
        <v>50</v>
      </c>
    </row>
    <row r="873" spans="1:6" ht="15" customHeight="1" x14ac:dyDescent="0.25">
      <c r="A873" t="s">
        <v>1447</v>
      </c>
      <c r="B873">
        <v>1844</v>
      </c>
      <c r="C873" t="s">
        <v>36</v>
      </c>
      <c r="D873">
        <v>50</v>
      </c>
      <c r="E873" t="s">
        <v>576</v>
      </c>
      <c r="F873">
        <v>50</v>
      </c>
    </row>
    <row r="874" spans="1:6" ht="15" customHeight="1" x14ac:dyDescent="0.25">
      <c r="A874" t="s">
        <v>1448</v>
      </c>
      <c r="B874">
        <v>1844</v>
      </c>
      <c r="C874" t="s">
        <v>37</v>
      </c>
      <c r="D874">
        <v>50</v>
      </c>
      <c r="E874" t="s">
        <v>576</v>
      </c>
      <c r="F874">
        <v>50</v>
      </c>
    </row>
    <row r="875" spans="1:6" ht="15" customHeight="1" x14ac:dyDescent="0.25">
      <c r="A875" t="s">
        <v>1449</v>
      </c>
      <c r="B875">
        <v>1844</v>
      </c>
      <c r="C875" t="s">
        <v>38</v>
      </c>
      <c r="D875">
        <v>50</v>
      </c>
      <c r="E875" t="s">
        <v>576</v>
      </c>
      <c r="F875">
        <v>50</v>
      </c>
    </row>
    <row r="876" spans="1:6" ht="15" customHeight="1" x14ac:dyDescent="0.25">
      <c r="A876" t="s">
        <v>1450</v>
      </c>
      <c r="B876">
        <v>1844</v>
      </c>
      <c r="C876" t="s">
        <v>39</v>
      </c>
      <c r="D876">
        <v>50</v>
      </c>
      <c r="E876" t="s">
        <v>576</v>
      </c>
      <c r="F876">
        <v>50</v>
      </c>
    </row>
    <row r="877" spans="1:6" ht="15" customHeight="1" x14ac:dyDescent="0.25">
      <c r="A877" t="s">
        <v>1451</v>
      </c>
      <c r="B877">
        <v>1876</v>
      </c>
      <c r="C877" t="s">
        <v>36</v>
      </c>
      <c r="D877">
        <v>50</v>
      </c>
      <c r="E877" t="s">
        <v>576</v>
      </c>
      <c r="F877">
        <v>50</v>
      </c>
    </row>
    <row r="878" spans="1:6" ht="15" customHeight="1" x14ac:dyDescent="0.25">
      <c r="A878" t="s">
        <v>1452</v>
      </c>
      <c r="B878">
        <v>1876</v>
      </c>
      <c r="C878" t="s">
        <v>37</v>
      </c>
      <c r="D878">
        <v>50</v>
      </c>
      <c r="E878" t="s">
        <v>576</v>
      </c>
      <c r="F878">
        <v>50</v>
      </c>
    </row>
    <row r="879" spans="1:6" ht="15" customHeight="1" x14ac:dyDescent="0.25">
      <c r="A879" t="s">
        <v>1453</v>
      </c>
      <c r="B879">
        <v>1876</v>
      </c>
      <c r="C879" t="s">
        <v>38</v>
      </c>
      <c r="D879">
        <v>50</v>
      </c>
      <c r="E879" t="s">
        <v>576</v>
      </c>
      <c r="F879">
        <v>50</v>
      </c>
    </row>
    <row r="880" spans="1:6" ht="15" customHeight="1" x14ac:dyDescent="0.25">
      <c r="A880" t="s">
        <v>1454</v>
      </c>
      <c r="B880">
        <v>1876</v>
      </c>
      <c r="C880" t="s">
        <v>39</v>
      </c>
      <c r="D880">
        <v>50</v>
      </c>
      <c r="E880" t="s">
        <v>576</v>
      </c>
      <c r="F880">
        <v>50</v>
      </c>
    </row>
    <row r="881" spans="1:6" ht="15" customHeight="1" x14ac:dyDescent="0.25">
      <c r="A881" t="s">
        <v>1455</v>
      </c>
      <c r="B881">
        <v>1876</v>
      </c>
      <c r="C881" t="s">
        <v>40</v>
      </c>
      <c r="D881">
        <v>50</v>
      </c>
      <c r="E881" t="s">
        <v>576</v>
      </c>
      <c r="F881">
        <v>50</v>
      </c>
    </row>
    <row r="882" spans="1:6" ht="15" customHeight="1" x14ac:dyDescent="0.25">
      <c r="A882" t="s">
        <v>1456</v>
      </c>
      <c r="B882">
        <v>1876</v>
      </c>
      <c r="C882" t="s">
        <v>41</v>
      </c>
      <c r="D882">
        <v>50</v>
      </c>
      <c r="E882" t="s">
        <v>576</v>
      </c>
      <c r="F882">
        <v>50</v>
      </c>
    </row>
    <row r="883" spans="1:6" ht="15" customHeight="1" x14ac:dyDescent="0.25">
      <c r="A883" t="s">
        <v>1457</v>
      </c>
      <c r="B883">
        <v>1883</v>
      </c>
      <c r="C883" t="s">
        <v>38</v>
      </c>
      <c r="D883">
        <v>50</v>
      </c>
      <c r="E883" t="s">
        <v>576</v>
      </c>
      <c r="F883">
        <v>50</v>
      </c>
    </row>
    <row r="884" spans="1:6" ht="15" customHeight="1" x14ac:dyDescent="0.25">
      <c r="A884" t="s">
        <v>1458</v>
      </c>
      <c r="B884">
        <v>1883</v>
      </c>
      <c r="C884" t="s">
        <v>39</v>
      </c>
      <c r="D884">
        <v>50</v>
      </c>
      <c r="E884" t="s">
        <v>576</v>
      </c>
      <c r="F884">
        <v>50</v>
      </c>
    </row>
    <row r="885" spans="1:6" ht="15" customHeight="1" x14ac:dyDescent="0.25">
      <c r="A885" t="s">
        <v>1459</v>
      </c>
      <c r="B885">
        <v>1889</v>
      </c>
      <c r="C885" t="s">
        <v>25</v>
      </c>
      <c r="D885">
        <v>50</v>
      </c>
      <c r="E885" t="s">
        <v>576</v>
      </c>
      <c r="F885">
        <v>50</v>
      </c>
    </row>
    <row r="886" spans="1:6" ht="15" customHeight="1" x14ac:dyDescent="0.25">
      <c r="A886" t="s">
        <v>1460</v>
      </c>
      <c r="B886">
        <v>1889</v>
      </c>
      <c r="C886" t="s">
        <v>26</v>
      </c>
      <c r="D886">
        <v>50</v>
      </c>
      <c r="E886" t="s">
        <v>576</v>
      </c>
      <c r="F886">
        <v>50</v>
      </c>
    </row>
    <row r="887" spans="1:6" ht="15" customHeight="1" x14ac:dyDescent="0.25">
      <c r="A887" t="s">
        <v>1461</v>
      </c>
      <c r="B887">
        <v>1889</v>
      </c>
      <c r="C887" t="s">
        <v>27</v>
      </c>
      <c r="D887">
        <v>50</v>
      </c>
      <c r="E887" t="s">
        <v>576</v>
      </c>
      <c r="F887">
        <v>50</v>
      </c>
    </row>
    <row r="888" spans="1:6" ht="15" customHeight="1" x14ac:dyDescent="0.25">
      <c r="A888" t="s">
        <v>1462</v>
      </c>
      <c r="B888">
        <v>1889</v>
      </c>
      <c r="C888" t="s">
        <v>28</v>
      </c>
      <c r="D888">
        <v>50</v>
      </c>
      <c r="E888" t="s">
        <v>576</v>
      </c>
      <c r="F888">
        <v>50</v>
      </c>
    </row>
    <row r="889" spans="1:6" ht="15" customHeight="1" x14ac:dyDescent="0.25">
      <c r="A889" t="s">
        <v>1463</v>
      </c>
      <c r="B889">
        <v>1889</v>
      </c>
      <c r="C889" t="s">
        <v>29</v>
      </c>
      <c r="D889">
        <v>50</v>
      </c>
      <c r="E889" t="s">
        <v>576</v>
      </c>
      <c r="F889">
        <v>50</v>
      </c>
    </row>
    <row r="890" spans="1:6" ht="15" customHeight="1" x14ac:dyDescent="0.25">
      <c r="A890" t="s">
        <v>1464</v>
      </c>
      <c r="B890">
        <v>1889</v>
      </c>
      <c r="C890" t="s">
        <v>30</v>
      </c>
      <c r="D890">
        <v>50</v>
      </c>
      <c r="E890" t="s">
        <v>576</v>
      </c>
      <c r="F890">
        <v>50</v>
      </c>
    </row>
    <row r="891" spans="1:6" ht="15" customHeight="1" x14ac:dyDescent="0.25">
      <c r="A891" t="s">
        <v>1465</v>
      </c>
      <c r="B891">
        <v>1889</v>
      </c>
      <c r="C891" t="s">
        <v>31</v>
      </c>
      <c r="D891">
        <v>50</v>
      </c>
      <c r="E891" t="s">
        <v>576</v>
      </c>
      <c r="F891">
        <v>50</v>
      </c>
    </row>
    <row r="892" spans="1:6" ht="15" customHeight="1" x14ac:dyDescent="0.25">
      <c r="A892" t="s">
        <v>1466</v>
      </c>
      <c r="B892">
        <v>1889</v>
      </c>
      <c r="C892" t="s">
        <v>32</v>
      </c>
      <c r="D892">
        <v>50</v>
      </c>
      <c r="E892" t="s">
        <v>576</v>
      </c>
      <c r="F892">
        <v>50</v>
      </c>
    </row>
    <row r="893" spans="1:6" ht="15" customHeight="1" x14ac:dyDescent="0.25">
      <c r="A893" t="s">
        <v>1467</v>
      </c>
      <c r="B893">
        <v>1889</v>
      </c>
      <c r="C893" t="s">
        <v>33</v>
      </c>
      <c r="D893">
        <v>50</v>
      </c>
      <c r="E893" t="s">
        <v>576</v>
      </c>
      <c r="F893">
        <v>50</v>
      </c>
    </row>
    <row r="894" spans="1:6" ht="15" customHeight="1" x14ac:dyDescent="0.25">
      <c r="A894" t="s">
        <v>1468</v>
      </c>
      <c r="B894">
        <v>1889</v>
      </c>
      <c r="C894" t="s">
        <v>34</v>
      </c>
      <c r="D894">
        <v>50</v>
      </c>
      <c r="E894" t="s">
        <v>576</v>
      </c>
      <c r="F894">
        <v>50</v>
      </c>
    </row>
    <row r="895" spans="1:6" ht="15" customHeight="1" x14ac:dyDescent="0.25">
      <c r="A895" t="s">
        <v>1469</v>
      </c>
      <c r="B895">
        <v>1896</v>
      </c>
      <c r="C895" t="s">
        <v>39</v>
      </c>
      <c r="D895">
        <v>50</v>
      </c>
      <c r="E895" t="s">
        <v>576</v>
      </c>
      <c r="F895">
        <v>50</v>
      </c>
    </row>
    <row r="896" spans="1:6" ht="15" customHeight="1" x14ac:dyDescent="0.25">
      <c r="A896" t="s">
        <v>1470</v>
      </c>
      <c r="B896">
        <v>1896</v>
      </c>
      <c r="C896" t="s">
        <v>40</v>
      </c>
      <c r="D896">
        <v>50</v>
      </c>
      <c r="E896" t="s">
        <v>576</v>
      </c>
      <c r="F896">
        <v>50</v>
      </c>
    </row>
    <row r="897" spans="1:6" ht="15" customHeight="1" x14ac:dyDescent="0.25">
      <c r="A897" t="s">
        <v>1471</v>
      </c>
      <c r="B897">
        <v>1896</v>
      </c>
      <c r="C897" t="s">
        <v>41</v>
      </c>
      <c r="D897">
        <v>50</v>
      </c>
      <c r="E897" t="s">
        <v>576</v>
      </c>
      <c r="F897">
        <v>50</v>
      </c>
    </row>
    <row r="898" spans="1:6" ht="15" customHeight="1" x14ac:dyDescent="0.25">
      <c r="A898" t="s">
        <v>1472</v>
      </c>
      <c r="B898">
        <v>1896</v>
      </c>
      <c r="C898" t="s">
        <v>42</v>
      </c>
      <c r="D898">
        <v>50</v>
      </c>
      <c r="E898" t="s">
        <v>576</v>
      </c>
      <c r="F898">
        <v>50</v>
      </c>
    </row>
    <row r="899" spans="1:6" ht="15" customHeight="1" x14ac:dyDescent="0.25">
      <c r="A899" t="s">
        <v>1473</v>
      </c>
      <c r="B899">
        <v>1899</v>
      </c>
      <c r="C899" t="s">
        <v>25</v>
      </c>
      <c r="D899">
        <v>200</v>
      </c>
      <c r="E899" t="s">
        <v>576</v>
      </c>
      <c r="F899">
        <v>200</v>
      </c>
    </row>
    <row r="900" spans="1:6" ht="15" customHeight="1" x14ac:dyDescent="0.25">
      <c r="A900" t="s">
        <v>1474</v>
      </c>
      <c r="B900">
        <v>1899</v>
      </c>
      <c r="C900" t="s">
        <v>26</v>
      </c>
      <c r="D900">
        <v>200</v>
      </c>
      <c r="E900" t="s">
        <v>576</v>
      </c>
      <c r="F900">
        <v>200</v>
      </c>
    </row>
    <row r="901" spans="1:6" ht="15" customHeight="1" x14ac:dyDescent="0.25">
      <c r="A901" t="s">
        <v>1475</v>
      </c>
      <c r="B901">
        <v>1899</v>
      </c>
      <c r="C901" t="s">
        <v>27</v>
      </c>
      <c r="D901">
        <v>200</v>
      </c>
      <c r="E901" t="s">
        <v>576</v>
      </c>
      <c r="F901">
        <v>200</v>
      </c>
    </row>
    <row r="902" spans="1:6" ht="15" customHeight="1" x14ac:dyDescent="0.25">
      <c r="A902" t="s">
        <v>1476</v>
      </c>
      <c r="B902">
        <v>1899</v>
      </c>
      <c r="C902" t="s">
        <v>28</v>
      </c>
      <c r="D902">
        <v>200</v>
      </c>
      <c r="E902" t="s">
        <v>576</v>
      </c>
      <c r="F902">
        <v>200</v>
      </c>
    </row>
    <row r="903" spans="1:6" ht="15" customHeight="1" x14ac:dyDescent="0.25">
      <c r="A903" t="s">
        <v>1477</v>
      </c>
      <c r="B903">
        <v>1899</v>
      </c>
      <c r="C903" t="s">
        <v>29</v>
      </c>
      <c r="D903">
        <v>200</v>
      </c>
      <c r="E903" t="s">
        <v>576</v>
      </c>
      <c r="F903">
        <v>200</v>
      </c>
    </row>
    <row r="904" spans="1:6" ht="15" customHeight="1" x14ac:dyDescent="0.25">
      <c r="A904" t="s">
        <v>1478</v>
      </c>
      <c r="B904">
        <v>1899</v>
      </c>
      <c r="C904" t="s">
        <v>30</v>
      </c>
      <c r="D904">
        <v>200</v>
      </c>
      <c r="E904" t="s">
        <v>576</v>
      </c>
      <c r="F904">
        <v>200</v>
      </c>
    </row>
    <row r="905" spans="1:6" ht="15" customHeight="1" x14ac:dyDescent="0.25">
      <c r="A905" t="s">
        <v>1479</v>
      </c>
      <c r="B905">
        <v>1899</v>
      </c>
      <c r="C905" t="s">
        <v>31</v>
      </c>
      <c r="D905">
        <v>200</v>
      </c>
      <c r="E905" t="s">
        <v>576</v>
      </c>
      <c r="F905">
        <v>200</v>
      </c>
    </row>
    <row r="906" spans="1:6" ht="15" customHeight="1" x14ac:dyDescent="0.25">
      <c r="A906" t="s">
        <v>1480</v>
      </c>
      <c r="B906">
        <v>1899</v>
      </c>
      <c r="C906" t="s">
        <v>32</v>
      </c>
      <c r="D906">
        <v>200</v>
      </c>
      <c r="E906" t="s">
        <v>576</v>
      </c>
      <c r="F906">
        <v>200</v>
      </c>
    </row>
    <row r="907" spans="1:6" ht="15" customHeight="1" x14ac:dyDescent="0.25">
      <c r="A907" t="s">
        <v>1481</v>
      </c>
      <c r="B907">
        <v>1899</v>
      </c>
      <c r="C907" t="s">
        <v>33</v>
      </c>
      <c r="D907">
        <v>200</v>
      </c>
      <c r="E907" t="s">
        <v>576</v>
      </c>
      <c r="F907">
        <v>200</v>
      </c>
    </row>
    <row r="908" spans="1:6" ht="15" customHeight="1" x14ac:dyDescent="0.25">
      <c r="A908" t="s">
        <v>1482</v>
      </c>
      <c r="B908">
        <v>1899</v>
      </c>
      <c r="C908" t="s">
        <v>34</v>
      </c>
      <c r="D908">
        <v>200</v>
      </c>
      <c r="E908" t="s">
        <v>576</v>
      </c>
      <c r="F908">
        <v>200</v>
      </c>
    </row>
    <row r="909" spans="1:6" ht="15" customHeight="1" x14ac:dyDescent="0.25">
      <c r="A909" t="s">
        <v>1483</v>
      </c>
      <c r="B909">
        <v>1899</v>
      </c>
      <c r="C909" t="s">
        <v>35</v>
      </c>
      <c r="D909">
        <v>200</v>
      </c>
      <c r="E909" t="s">
        <v>576</v>
      </c>
      <c r="F909">
        <v>200</v>
      </c>
    </row>
    <row r="910" spans="1:6" ht="15" customHeight="1" x14ac:dyDescent="0.25">
      <c r="A910" t="s">
        <v>1484</v>
      </c>
      <c r="B910">
        <v>1899</v>
      </c>
      <c r="C910" t="s">
        <v>36</v>
      </c>
      <c r="D910">
        <v>200</v>
      </c>
      <c r="E910" t="s">
        <v>576</v>
      </c>
      <c r="F910">
        <v>200</v>
      </c>
    </row>
    <row r="911" spans="1:6" ht="15" customHeight="1" x14ac:dyDescent="0.25">
      <c r="A911" t="s">
        <v>1485</v>
      </c>
      <c r="B911">
        <v>1900</v>
      </c>
      <c r="C911" t="s">
        <v>39</v>
      </c>
      <c r="D911">
        <v>50</v>
      </c>
      <c r="E911" t="s">
        <v>576</v>
      </c>
      <c r="F911">
        <v>50</v>
      </c>
    </row>
    <row r="912" spans="1:6" ht="15" customHeight="1" x14ac:dyDescent="0.25">
      <c r="A912" t="s">
        <v>1486</v>
      </c>
      <c r="B912">
        <v>1900</v>
      </c>
      <c r="C912" t="s">
        <v>40</v>
      </c>
      <c r="D912">
        <v>50</v>
      </c>
      <c r="E912" t="s">
        <v>576</v>
      </c>
      <c r="F912">
        <v>50</v>
      </c>
    </row>
    <row r="913" spans="1:6" ht="15" customHeight="1" x14ac:dyDescent="0.25">
      <c r="A913" t="s">
        <v>1487</v>
      </c>
      <c r="B913">
        <v>1918</v>
      </c>
      <c r="C913" t="s">
        <v>30</v>
      </c>
      <c r="D913">
        <v>200</v>
      </c>
      <c r="E913" t="s">
        <v>576</v>
      </c>
      <c r="F913">
        <v>200</v>
      </c>
    </row>
    <row r="914" spans="1:6" ht="15" customHeight="1" x14ac:dyDescent="0.25">
      <c r="A914" t="s">
        <v>1488</v>
      </c>
      <c r="B914">
        <v>1918</v>
      </c>
      <c r="C914" t="s">
        <v>31</v>
      </c>
      <c r="D914">
        <v>200</v>
      </c>
      <c r="E914" t="s">
        <v>576</v>
      </c>
      <c r="F914">
        <v>200</v>
      </c>
    </row>
    <row r="915" spans="1:6" ht="15" customHeight="1" x14ac:dyDescent="0.25">
      <c r="A915" t="s">
        <v>1489</v>
      </c>
      <c r="B915">
        <v>1918</v>
      </c>
      <c r="C915" t="s">
        <v>32</v>
      </c>
      <c r="D915">
        <v>200</v>
      </c>
      <c r="E915" t="s">
        <v>576</v>
      </c>
      <c r="F915">
        <v>200</v>
      </c>
    </row>
    <row r="916" spans="1:6" ht="15" customHeight="1" x14ac:dyDescent="0.25">
      <c r="A916" t="s">
        <v>1490</v>
      </c>
      <c r="B916">
        <v>1918</v>
      </c>
      <c r="C916" t="s">
        <v>33</v>
      </c>
      <c r="D916">
        <v>200</v>
      </c>
      <c r="E916" t="s">
        <v>576</v>
      </c>
      <c r="F916">
        <v>200</v>
      </c>
    </row>
    <row r="917" spans="1:6" ht="15" customHeight="1" x14ac:dyDescent="0.25">
      <c r="A917" t="s">
        <v>1491</v>
      </c>
      <c r="B917">
        <v>1918</v>
      </c>
      <c r="C917" t="s">
        <v>34</v>
      </c>
      <c r="D917">
        <v>200</v>
      </c>
      <c r="E917" t="s">
        <v>576</v>
      </c>
      <c r="F917">
        <v>200</v>
      </c>
    </row>
    <row r="918" spans="1:6" ht="15" customHeight="1" x14ac:dyDescent="0.25">
      <c r="A918" t="s">
        <v>1492</v>
      </c>
      <c r="B918">
        <v>1918</v>
      </c>
      <c r="C918" t="s">
        <v>35</v>
      </c>
      <c r="D918">
        <v>200</v>
      </c>
      <c r="E918" t="s">
        <v>576</v>
      </c>
      <c r="F918">
        <v>200</v>
      </c>
    </row>
    <row r="919" spans="1:6" ht="15" customHeight="1" x14ac:dyDescent="0.25">
      <c r="A919" t="s">
        <v>1493</v>
      </c>
      <c r="B919">
        <v>1924</v>
      </c>
      <c r="C919" t="s">
        <v>34</v>
      </c>
      <c r="D919">
        <v>50</v>
      </c>
      <c r="E919" t="s">
        <v>576</v>
      </c>
      <c r="F919">
        <v>50</v>
      </c>
    </row>
    <row r="920" spans="1:6" ht="15" customHeight="1" x14ac:dyDescent="0.25">
      <c r="A920" t="s">
        <v>1494</v>
      </c>
      <c r="B920">
        <v>1924</v>
      </c>
      <c r="C920" t="s">
        <v>35</v>
      </c>
      <c r="D920">
        <v>50</v>
      </c>
      <c r="E920" t="s">
        <v>576</v>
      </c>
      <c r="F920">
        <v>50</v>
      </c>
    </row>
    <row r="921" spans="1:6" ht="15" customHeight="1" x14ac:dyDescent="0.25">
      <c r="A921" t="s">
        <v>1495</v>
      </c>
      <c r="B921">
        <v>1924</v>
      </c>
      <c r="C921" t="s">
        <v>36</v>
      </c>
      <c r="D921">
        <v>50</v>
      </c>
      <c r="E921" t="s">
        <v>576</v>
      </c>
      <c r="F921">
        <v>50</v>
      </c>
    </row>
    <row r="922" spans="1:6" ht="15" customHeight="1" x14ac:dyDescent="0.25">
      <c r="A922" t="s">
        <v>1496</v>
      </c>
      <c r="B922">
        <v>1924</v>
      </c>
      <c r="C922" t="s">
        <v>37</v>
      </c>
      <c r="D922">
        <v>50</v>
      </c>
      <c r="E922" t="s">
        <v>576</v>
      </c>
      <c r="F922">
        <v>50</v>
      </c>
    </row>
    <row r="923" spans="1:6" ht="15" customHeight="1" x14ac:dyDescent="0.25">
      <c r="A923" t="s">
        <v>1497</v>
      </c>
      <c r="B923">
        <v>1924</v>
      </c>
      <c r="C923" t="s">
        <v>38</v>
      </c>
      <c r="D923">
        <v>50</v>
      </c>
      <c r="E923" t="s">
        <v>576</v>
      </c>
      <c r="F923">
        <v>50</v>
      </c>
    </row>
    <row r="924" spans="1:6" ht="15" customHeight="1" x14ac:dyDescent="0.25">
      <c r="A924" t="s">
        <v>1498</v>
      </c>
      <c r="B924">
        <v>1924</v>
      </c>
      <c r="C924" t="s">
        <v>39</v>
      </c>
      <c r="D924">
        <v>50</v>
      </c>
      <c r="E924" t="s">
        <v>576</v>
      </c>
      <c r="F924">
        <v>50</v>
      </c>
    </row>
    <row r="925" spans="1:6" ht="15" customHeight="1" x14ac:dyDescent="0.25">
      <c r="A925" t="s">
        <v>1499</v>
      </c>
      <c r="B925">
        <v>1924</v>
      </c>
      <c r="C925" t="s">
        <v>40</v>
      </c>
      <c r="D925">
        <v>50</v>
      </c>
      <c r="E925" t="s">
        <v>576</v>
      </c>
      <c r="F925">
        <v>50</v>
      </c>
    </row>
    <row r="926" spans="1:6" ht="15" customHeight="1" x14ac:dyDescent="0.25">
      <c r="A926" t="s">
        <v>1500</v>
      </c>
      <c r="B926">
        <v>1924</v>
      </c>
      <c r="C926" t="s">
        <v>41</v>
      </c>
      <c r="D926">
        <v>50</v>
      </c>
      <c r="E926" t="s">
        <v>576</v>
      </c>
      <c r="F926">
        <v>50</v>
      </c>
    </row>
    <row r="927" spans="1:6" ht="15" customHeight="1" x14ac:dyDescent="0.25">
      <c r="A927" t="s">
        <v>1501</v>
      </c>
      <c r="B927">
        <v>1929</v>
      </c>
      <c r="C927" t="s">
        <v>33</v>
      </c>
      <c r="D927">
        <v>500</v>
      </c>
      <c r="E927" t="s">
        <v>576</v>
      </c>
      <c r="F927">
        <v>500</v>
      </c>
    </row>
    <row r="928" spans="1:6" ht="15" customHeight="1" x14ac:dyDescent="0.25">
      <c r="A928" t="s">
        <v>1502</v>
      </c>
      <c r="B928">
        <v>1929</v>
      </c>
      <c r="C928" t="s">
        <v>34</v>
      </c>
      <c r="D928">
        <v>500</v>
      </c>
      <c r="E928" t="s">
        <v>576</v>
      </c>
      <c r="F928">
        <v>500</v>
      </c>
    </row>
    <row r="929" spans="1:6" ht="15" customHeight="1" x14ac:dyDescent="0.25">
      <c r="A929" t="s">
        <v>1503</v>
      </c>
      <c r="B929">
        <v>1929</v>
      </c>
      <c r="C929" t="s">
        <v>35</v>
      </c>
      <c r="D929">
        <v>500</v>
      </c>
      <c r="E929" t="s">
        <v>576</v>
      </c>
      <c r="F929">
        <v>500</v>
      </c>
    </row>
    <row r="930" spans="1:6" ht="15" customHeight="1" x14ac:dyDescent="0.25">
      <c r="A930" t="s">
        <v>1504</v>
      </c>
      <c r="B930">
        <v>1951</v>
      </c>
      <c r="C930" t="s">
        <v>29</v>
      </c>
      <c r="D930">
        <v>50</v>
      </c>
      <c r="E930" t="s">
        <v>576</v>
      </c>
      <c r="F930">
        <v>50</v>
      </c>
    </row>
    <row r="931" spans="1:6" ht="15" customHeight="1" x14ac:dyDescent="0.25">
      <c r="A931" t="s">
        <v>1505</v>
      </c>
      <c r="B931">
        <v>1951</v>
      </c>
      <c r="C931" t="s">
        <v>30</v>
      </c>
      <c r="D931">
        <v>50</v>
      </c>
      <c r="E931" t="s">
        <v>576</v>
      </c>
      <c r="F931">
        <v>50</v>
      </c>
    </row>
    <row r="932" spans="1:6" ht="15" customHeight="1" x14ac:dyDescent="0.25">
      <c r="A932" t="s">
        <v>1506</v>
      </c>
      <c r="B932">
        <v>1951</v>
      </c>
      <c r="C932" t="s">
        <v>31</v>
      </c>
      <c r="D932">
        <v>50</v>
      </c>
      <c r="E932" t="s">
        <v>576</v>
      </c>
      <c r="F932">
        <v>50</v>
      </c>
    </row>
    <row r="933" spans="1:6" ht="15" customHeight="1" x14ac:dyDescent="0.25">
      <c r="A933" t="s">
        <v>1507</v>
      </c>
      <c r="B933">
        <v>1951</v>
      </c>
      <c r="C933" t="s">
        <v>32</v>
      </c>
      <c r="D933">
        <v>50</v>
      </c>
      <c r="E933" t="s">
        <v>576</v>
      </c>
      <c r="F933">
        <v>50</v>
      </c>
    </row>
    <row r="934" spans="1:6" ht="15" customHeight="1" x14ac:dyDescent="0.25">
      <c r="A934" t="s">
        <v>1508</v>
      </c>
      <c r="B934">
        <v>1951</v>
      </c>
      <c r="C934" t="s">
        <v>33</v>
      </c>
      <c r="D934">
        <v>50</v>
      </c>
      <c r="E934" t="s">
        <v>576</v>
      </c>
      <c r="F934">
        <v>50</v>
      </c>
    </row>
    <row r="935" spans="1:6" ht="15" customHeight="1" x14ac:dyDescent="0.25">
      <c r="A935" t="s">
        <v>1509</v>
      </c>
      <c r="B935">
        <v>1951</v>
      </c>
      <c r="C935" t="s">
        <v>34</v>
      </c>
      <c r="D935">
        <v>50</v>
      </c>
      <c r="E935" t="s">
        <v>576</v>
      </c>
      <c r="F935">
        <v>50</v>
      </c>
    </row>
    <row r="936" spans="1:6" ht="15" customHeight="1" x14ac:dyDescent="0.25">
      <c r="A936" t="s">
        <v>1510</v>
      </c>
      <c r="B936">
        <v>1953</v>
      </c>
      <c r="C936" t="s">
        <v>42</v>
      </c>
      <c r="D936">
        <v>50</v>
      </c>
      <c r="E936" t="s">
        <v>576</v>
      </c>
      <c r="F936">
        <v>50</v>
      </c>
    </row>
    <row r="937" spans="1:6" ht="15" customHeight="1" x14ac:dyDescent="0.25">
      <c r="A937" t="s">
        <v>1511</v>
      </c>
      <c r="B937">
        <v>1965</v>
      </c>
      <c r="C937" t="s">
        <v>25</v>
      </c>
      <c r="D937">
        <v>50</v>
      </c>
      <c r="E937" t="s">
        <v>576</v>
      </c>
      <c r="F937">
        <v>50</v>
      </c>
    </row>
    <row r="938" spans="1:6" ht="15" customHeight="1" x14ac:dyDescent="0.25">
      <c r="A938" t="s">
        <v>1512</v>
      </c>
      <c r="B938">
        <v>1965</v>
      </c>
      <c r="C938" t="s">
        <v>26</v>
      </c>
      <c r="D938">
        <v>50</v>
      </c>
      <c r="E938" t="s">
        <v>576</v>
      </c>
      <c r="F938">
        <v>50</v>
      </c>
    </row>
    <row r="939" spans="1:6" ht="15" customHeight="1" x14ac:dyDescent="0.25">
      <c r="A939" t="s">
        <v>1513</v>
      </c>
      <c r="B939">
        <v>1965</v>
      </c>
      <c r="C939" t="s">
        <v>27</v>
      </c>
      <c r="D939">
        <v>50</v>
      </c>
      <c r="E939" t="s">
        <v>576</v>
      </c>
      <c r="F939">
        <v>50</v>
      </c>
    </row>
    <row r="940" spans="1:6" ht="15" customHeight="1" x14ac:dyDescent="0.25">
      <c r="A940" t="s">
        <v>1514</v>
      </c>
      <c r="B940">
        <v>1965</v>
      </c>
      <c r="C940" t="s">
        <v>28</v>
      </c>
      <c r="D940">
        <v>50</v>
      </c>
      <c r="E940" t="s">
        <v>576</v>
      </c>
      <c r="F940">
        <v>50</v>
      </c>
    </row>
    <row r="941" spans="1:6" ht="15" customHeight="1" x14ac:dyDescent="0.25">
      <c r="A941" t="s">
        <v>1515</v>
      </c>
      <c r="B941">
        <v>1965</v>
      </c>
      <c r="C941" t="s">
        <v>29</v>
      </c>
      <c r="D941">
        <v>50</v>
      </c>
      <c r="E941" t="s">
        <v>576</v>
      </c>
      <c r="F941">
        <v>50</v>
      </c>
    </row>
    <row r="942" spans="1:6" ht="15" customHeight="1" x14ac:dyDescent="0.25">
      <c r="A942" t="s">
        <v>1516</v>
      </c>
      <c r="B942">
        <v>1965</v>
      </c>
      <c r="C942" t="s">
        <v>30</v>
      </c>
      <c r="D942">
        <v>50</v>
      </c>
      <c r="E942" t="s">
        <v>576</v>
      </c>
      <c r="F942">
        <v>50</v>
      </c>
    </row>
    <row r="943" spans="1:6" ht="15" customHeight="1" x14ac:dyDescent="0.25">
      <c r="A943" t="s">
        <v>1517</v>
      </c>
      <c r="B943">
        <v>1965</v>
      </c>
      <c r="C943" t="s">
        <v>31</v>
      </c>
      <c r="D943">
        <v>50</v>
      </c>
      <c r="E943" t="s">
        <v>576</v>
      </c>
      <c r="F943">
        <v>50</v>
      </c>
    </row>
    <row r="944" spans="1:6" ht="15" customHeight="1" x14ac:dyDescent="0.25">
      <c r="A944" t="s">
        <v>1518</v>
      </c>
      <c r="B944">
        <v>1965</v>
      </c>
      <c r="C944" t="s">
        <v>32</v>
      </c>
      <c r="D944">
        <v>50</v>
      </c>
      <c r="E944" t="s">
        <v>576</v>
      </c>
      <c r="F944">
        <v>50</v>
      </c>
    </row>
    <row r="945" spans="1:6" ht="15" customHeight="1" x14ac:dyDescent="0.25">
      <c r="A945" t="s">
        <v>1519</v>
      </c>
      <c r="B945">
        <v>1965</v>
      </c>
      <c r="C945" t="s">
        <v>33</v>
      </c>
      <c r="D945">
        <v>50</v>
      </c>
      <c r="E945" t="s">
        <v>576</v>
      </c>
      <c r="F945">
        <v>50</v>
      </c>
    </row>
    <row r="946" spans="1:6" ht="15" customHeight="1" x14ac:dyDescent="0.25">
      <c r="A946" t="s">
        <v>1520</v>
      </c>
      <c r="B946">
        <v>1965</v>
      </c>
      <c r="C946" t="s">
        <v>34</v>
      </c>
      <c r="D946">
        <v>50</v>
      </c>
      <c r="E946" t="s">
        <v>576</v>
      </c>
      <c r="F946">
        <v>50</v>
      </c>
    </row>
    <row r="947" spans="1:6" ht="15" customHeight="1" x14ac:dyDescent="0.25">
      <c r="A947" t="s">
        <v>1521</v>
      </c>
      <c r="B947">
        <v>1965</v>
      </c>
      <c r="C947" t="s">
        <v>35</v>
      </c>
      <c r="D947">
        <v>50</v>
      </c>
      <c r="E947" t="s">
        <v>576</v>
      </c>
      <c r="F947">
        <v>50</v>
      </c>
    </row>
    <row r="948" spans="1:6" ht="15" customHeight="1" x14ac:dyDescent="0.25">
      <c r="A948" t="s">
        <v>1522</v>
      </c>
      <c r="B948">
        <v>1965</v>
      </c>
      <c r="C948" t="s">
        <v>36</v>
      </c>
      <c r="D948">
        <v>50</v>
      </c>
      <c r="E948" t="s">
        <v>576</v>
      </c>
      <c r="F948">
        <v>50</v>
      </c>
    </row>
    <row r="949" spans="1:6" ht="15" customHeight="1" x14ac:dyDescent="0.25">
      <c r="A949" t="s">
        <v>1523</v>
      </c>
      <c r="B949">
        <v>1965</v>
      </c>
      <c r="C949" t="s">
        <v>37</v>
      </c>
      <c r="D949">
        <v>50</v>
      </c>
      <c r="E949" t="s">
        <v>576</v>
      </c>
      <c r="F949">
        <v>50</v>
      </c>
    </row>
    <row r="950" spans="1:6" ht="15" customHeight="1" x14ac:dyDescent="0.25">
      <c r="A950" t="s">
        <v>1524</v>
      </c>
      <c r="B950">
        <v>1965</v>
      </c>
      <c r="C950" t="s">
        <v>38</v>
      </c>
      <c r="D950">
        <v>50</v>
      </c>
      <c r="E950" t="s">
        <v>576</v>
      </c>
      <c r="F950">
        <v>50</v>
      </c>
    </row>
    <row r="951" spans="1:6" ht="15" customHeight="1" x14ac:dyDescent="0.25">
      <c r="A951" t="s">
        <v>1525</v>
      </c>
      <c r="B951">
        <v>1965</v>
      </c>
      <c r="C951" t="s">
        <v>39</v>
      </c>
      <c r="D951">
        <v>50</v>
      </c>
      <c r="E951" t="s">
        <v>576</v>
      </c>
      <c r="F951">
        <v>50</v>
      </c>
    </row>
    <row r="952" spans="1:6" ht="15" customHeight="1" x14ac:dyDescent="0.25">
      <c r="A952" t="s">
        <v>1526</v>
      </c>
      <c r="B952">
        <v>1965</v>
      </c>
      <c r="C952" t="s">
        <v>40</v>
      </c>
      <c r="D952">
        <v>50</v>
      </c>
      <c r="E952" t="s">
        <v>576</v>
      </c>
      <c r="F952">
        <v>50</v>
      </c>
    </row>
    <row r="953" spans="1:6" ht="15" customHeight="1" x14ac:dyDescent="0.25">
      <c r="A953" t="s">
        <v>1527</v>
      </c>
      <c r="B953">
        <v>1965</v>
      </c>
      <c r="C953" t="s">
        <v>41</v>
      </c>
      <c r="D953">
        <v>50</v>
      </c>
      <c r="E953" t="s">
        <v>576</v>
      </c>
      <c r="F953">
        <v>50</v>
      </c>
    </row>
    <row r="954" spans="1:6" ht="15" customHeight="1" x14ac:dyDescent="0.25">
      <c r="A954" t="s">
        <v>1528</v>
      </c>
      <c r="B954">
        <v>1970</v>
      </c>
      <c r="C954" t="s">
        <v>36</v>
      </c>
      <c r="D954">
        <v>200</v>
      </c>
      <c r="E954" t="s">
        <v>576</v>
      </c>
      <c r="F954">
        <v>200</v>
      </c>
    </row>
    <row r="955" spans="1:6" ht="15" customHeight="1" x14ac:dyDescent="0.25">
      <c r="A955" t="s">
        <v>1529</v>
      </c>
      <c r="B955">
        <v>1970</v>
      </c>
      <c r="C955" t="s">
        <v>37</v>
      </c>
      <c r="D955">
        <v>200</v>
      </c>
      <c r="E955" t="s">
        <v>576</v>
      </c>
      <c r="F955">
        <v>200</v>
      </c>
    </row>
    <row r="956" spans="1:6" ht="15" customHeight="1" x14ac:dyDescent="0.25">
      <c r="A956" t="s">
        <v>1530</v>
      </c>
      <c r="B956">
        <v>1970</v>
      </c>
      <c r="C956" t="s">
        <v>38</v>
      </c>
      <c r="D956">
        <v>200</v>
      </c>
      <c r="E956" t="s">
        <v>576</v>
      </c>
      <c r="F956">
        <v>200</v>
      </c>
    </row>
    <row r="957" spans="1:6" ht="15" customHeight="1" x14ac:dyDescent="0.25">
      <c r="A957" t="s">
        <v>1531</v>
      </c>
      <c r="B957">
        <v>1970</v>
      </c>
      <c r="C957" t="s">
        <v>39</v>
      </c>
      <c r="D957">
        <v>200</v>
      </c>
      <c r="E957" t="s">
        <v>576</v>
      </c>
      <c r="F957">
        <v>200</v>
      </c>
    </row>
    <row r="958" spans="1:6" ht="15" customHeight="1" x14ac:dyDescent="0.25">
      <c r="A958" t="s">
        <v>1532</v>
      </c>
      <c r="B958">
        <v>1970</v>
      </c>
      <c r="C958" t="s">
        <v>40</v>
      </c>
      <c r="D958">
        <v>200</v>
      </c>
      <c r="E958" t="s">
        <v>576</v>
      </c>
      <c r="F958">
        <v>200</v>
      </c>
    </row>
    <row r="959" spans="1:6" ht="15" customHeight="1" x14ac:dyDescent="0.25">
      <c r="A959" t="s">
        <v>1533</v>
      </c>
      <c r="B959">
        <v>1970</v>
      </c>
      <c r="C959" t="s">
        <v>41</v>
      </c>
      <c r="D959">
        <v>200</v>
      </c>
      <c r="E959" t="s">
        <v>576</v>
      </c>
      <c r="F959">
        <v>200</v>
      </c>
    </row>
    <row r="960" spans="1:6" ht="15" customHeight="1" x14ac:dyDescent="0.25">
      <c r="A960" t="s">
        <v>1534</v>
      </c>
      <c r="B960">
        <v>1970</v>
      </c>
      <c r="C960" t="s">
        <v>42</v>
      </c>
      <c r="D960">
        <v>200</v>
      </c>
      <c r="E960" t="s">
        <v>576</v>
      </c>
      <c r="F960">
        <v>200</v>
      </c>
    </row>
    <row r="961" spans="1:6" ht="15" customHeight="1" x14ac:dyDescent="0.25">
      <c r="A961" t="s">
        <v>1535</v>
      </c>
      <c r="B961">
        <v>1975</v>
      </c>
      <c r="C961" t="s">
        <v>26</v>
      </c>
      <c r="D961">
        <v>50</v>
      </c>
      <c r="E961" t="s">
        <v>576</v>
      </c>
      <c r="F961">
        <v>50</v>
      </c>
    </row>
    <row r="962" spans="1:6" ht="15" customHeight="1" x14ac:dyDescent="0.25">
      <c r="A962" t="s">
        <v>1536</v>
      </c>
      <c r="B962">
        <v>1975</v>
      </c>
      <c r="C962" t="s">
        <v>27</v>
      </c>
      <c r="D962">
        <v>50</v>
      </c>
      <c r="E962" t="s">
        <v>576</v>
      </c>
      <c r="F962">
        <v>50</v>
      </c>
    </row>
    <row r="963" spans="1:6" ht="15" customHeight="1" x14ac:dyDescent="0.25">
      <c r="A963" t="s">
        <v>1537</v>
      </c>
      <c r="B963">
        <v>1975</v>
      </c>
      <c r="C963" t="s">
        <v>28</v>
      </c>
      <c r="D963">
        <v>50</v>
      </c>
      <c r="E963" t="s">
        <v>576</v>
      </c>
      <c r="F963">
        <v>50</v>
      </c>
    </row>
    <row r="964" spans="1:6" ht="15" customHeight="1" x14ac:dyDescent="0.25">
      <c r="A964" t="s">
        <v>1538</v>
      </c>
      <c r="B964">
        <v>1975</v>
      </c>
      <c r="C964" t="s">
        <v>29</v>
      </c>
      <c r="D964">
        <v>50</v>
      </c>
      <c r="E964" t="s">
        <v>576</v>
      </c>
      <c r="F964">
        <v>50</v>
      </c>
    </row>
    <row r="965" spans="1:6" ht="15" customHeight="1" x14ac:dyDescent="0.25">
      <c r="A965" t="s">
        <v>1539</v>
      </c>
      <c r="B965">
        <v>1975</v>
      </c>
      <c r="C965" t="s">
        <v>30</v>
      </c>
      <c r="D965">
        <v>50</v>
      </c>
      <c r="E965" t="s">
        <v>576</v>
      </c>
      <c r="F965">
        <v>50</v>
      </c>
    </row>
    <row r="966" spans="1:6" ht="15" customHeight="1" x14ac:dyDescent="0.25">
      <c r="A966" t="s">
        <v>1540</v>
      </c>
      <c r="B966">
        <v>1982</v>
      </c>
      <c r="C966" t="s">
        <v>30</v>
      </c>
      <c r="D966">
        <v>50</v>
      </c>
      <c r="E966" t="s">
        <v>576</v>
      </c>
      <c r="F966">
        <v>50</v>
      </c>
    </row>
    <row r="967" spans="1:6" ht="15" customHeight="1" x14ac:dyDescent="0.25">
      <c r="A967" t="s">
        <v>1541</v>
      </c>
      <c r="B967">
        <v>1982</v>
      </c>
      <c r="C967" t="s">
        <v>31</v>
      </c>
      <c r="D967">
        <v>50</v>
      </c>
      <c r="E967" t="s">
        <v>576</v>
      </c>
      <c r="F967">
        <v>50</v>
      </c>
    </row>
    <row r="968" spans="1:6" ht="15" customHeight="1" x14ac:dyDescent="0.25">
      <c r="A968" t="s">
        <v>1542</v>
      </c>
      <c r="B968">
        <v>1982</v>
      </c>
      <c r="C968" t="s">
        <v>32</v>
      </c>
      <c r="D968">
        <v>50</v>
      </c>
      <c r="E968" t="s">
        <v>576</v>
      </c>
      <c r="F968">
        <v>50</v>
      </c>
    </row>
    <row r="969" spans="1:6" ht="15" customHeight="1" x14ac:dyDescent="0.25">
      <c r="A969" t="s">
        <v>1543</v>
      </c>
      <c r="B969">
        <v>1982</v>
      </c>
      <c r="C969" t="s">
        <v>33</v>
      </c>
      <c r="D969">
        <v>50</v>
      </c>
      <c r="E969" t="s">
        <v>576</v>
      </c>
      <c r="F969">
        <v>50</v>
      </c>
    </row>
    <row r="970" spans="1:6" ht="15" customHeight="1" x14ac:dyDescent="0.25">
      <c r="A970" t="s">
        <v>1544</v>
      </c>
      <c r="B970">
        <v>1982</v>
      </c>
      <c r="C970" t="s">
        <v>34</v>
      </c>
      <c r="D970">
        <v>50</v>
      </c>
      <c r="E970" t="s">
        <v>576</v>
      </c>
      <c r="F970">
        <v>50</v>
      </c>
    </row>
    <row r="971" spans="1:6" ht="15" customHeight="1" x14ac:dyDescent="0.25">
      <c r="A971" t="s">
        <v>1545</v>
      </c>
      <c r="B971">
        <v>1982</v>
      </c>
      <c r="C971" t="s">
        <v>35</v>
      </c>
      <c r="D971">
        <v>50</v>
      </c>
      <c r="E971" t="s">
        <v>576</v>
      </c>
      <c r="F971">
        <v>50</v>
      </c>
    </row>
    <row r="972" spans="1:6" ht="15" customHeight="1" x14ac:dyDescent="0.25">
      <c r="A972" t="s">
        <v>1546</v>
      </c>
      <c r="B972">
        <v>1982</v>
      </c>
      <c r="C972" t="s">
        <v>36</v>
      </c>
      <c r="D972">
        <v>50</v>
      </c>
      <c r="E972" t="s">
        <v>576</v>
      </c>
      <c r="F972">
        <v>50</v>
      </c>
    </row>
    <row r="973" spans="1:6" ht="15" customHeight="1" x14ac:dyDescent="0.25">
      <c r="A973" t="s">
        <v>1547</v>
      </c>
      <c r="B973">
        <v>1982</v>
      </c>
      <c r="C973" t="s">
        <v>37</v>
      </c>
      <c r="D973">
        <v>50</v>
      </c>
      <c r="E973" t="s">
        <v>576</v>
      </c>
      <c r="F973">
        <v>50</v>
      </c>
    </row>
    <row r="974" spans="1:6" ht="15" customHeight="1" x14ac:dyDescent="0.25">
      <c r="A974" t="s">
        <v>1548</v>
      </c>
      <c r="B974">
        <v>1982</v>
      </c>
      <c r="C974" t="s">
        <v>38</v>
      </c>
      <c r="D974">
        <v>50</v>
      </c>
      <c r="E974" t="s">
        <v>576</v>
      </c>
      <c r="F974">
        <v>50</v>
      </c>
    </row>
    <row r="975" spans="1:6" ht="15" customHeight="1" x14ac:dyDescent="0.25">
      <c r="A975" t="s">
        <v>1549</v>
      </c>
      <c r="B975">
        <v>1982</v>
      </c>
      <c r="C975" t="s">
        <v>39</v>
      </c>
      <c r="D975">
        <v>50</v>
      </c>
      <c r="E975" t="s">
        <v>576</v>
      </c>
      <c r="F975">
        <v>50</v>
      </c>
    </row>
    <row r="976" spans="1:6" ht="15" customHeight="1" x14ac:dyDescent="0.25">
      <c r="A976" t="s">
        <v>1550</v>
      </c>
      <c r="B976">
        <v>1982</v>
      </c>
      <c r="C976" t="s">
        <v>40</v>
      </c>
      <c r="D976">
        <v>50</v>
      </c>
      <c r="E976" t="s">
        <v>576</v>
      </c>
      <c r="F976">
        <v>50</v>
      </c>
    </row>
    <row r="977" spans="1:6" ht="15" customHeight="1" x14ac:dyDescent="0.25">
      <c r="A977" t="s">
        <v>1551</v>
      </c>
      <c r="B977">
        <v>1982</v>
      </c>
      <c r="C977" t="s">
        <v>41</v>
      </c>
      <c r="D977">
        <v>50</v>
      </c>
      <c r="E977" t="s">
        <v>576</v>
      </c>
      <c r="F977">
        <v>50</v>
      </c>
    </row>
    <row r="978" spans="1:6" ht="15" customHeight="1" x14ac:dyDescent="0.25">
      <c r="A978" t="s">
        <v>1552</v>
      </c>
      <c r="B978">
        <v>1986</v>
      </c>
      <c r="C978" t="s">
        <v>30</v>
      </c>
      <c r="D978">
        <v>500</v>
      </c>
      <c r="E978" t="s">
        <v>576</v>
      </c>
      <c r="F978">
        <v>500</v>
      </c>
    </row>
    <row r="979" spans="1:6" ht="15" customHeight="1" x14ac:dyDescent="0.25">
      <c r="A979" t="s">
        <v>1553</v>
      </c>
      <c r="B979">
        <v>1986</v>
      </c>
      <c r="C979" t="s">
        <v>31</v>
      </c>
      <c r="D979">
        <v>500</v>
      </c>
      <c r="E979" t="s">
        <v>576</v>
      </c>
      <c r="F979">
        <v>500</v>
      </c>
    </row>
    <row r="980" spans="1:6" ht="15" customHeight="1" x14ac:dyDescent="0.25">
      <c r="A980" t="s">
        <v>1554</v>
      </c>
      <c r="B980">
        <v>1986</v>
      </c>
      <c r="C980" t="s">
        <v>32</v>
      </c>
      <c r="D980">
        <v>500</v>
      </c>
      <c r="E980" t="s">
        <v>576</v>
      </c>
      <c r="F980">
        <v>500</v>
      </c>
    </row>
    <row r="981" spans="1:6" ht="15" customHeight="1" x14ac:dyDescent="0.25">
      <c r="A981" t="s">
        <v>1555</v>
      </c>
      <c r="B981">
        <v>1986</v>
      </c>
      <c r="C981" t="s">
        <v>33</v>
      </c>
      <c r="D981">
        <v>500</v>
      </c>
      <c r="E981" t="s">
        <v>576</v>
      </c>
      <c r="F981">
        <v>500</v>
      </c>
    </row>
    <row r="982" spans="1:6" ht="15" customHeight="1" x14ac:dyDescent="0.25">
      <c r="A982" t="s">
        <v>1556</v>
      </c>
      <c r="B982">
        <v>1986</v>
      </c>
      <c r="C982" t="s">
        <v>34</v>
      </c>
      <c r="D982">
        <v>500</v>
      </c>
      <c r="E982" t="s">
        <v>576</v>
      </c>
      <c r="F982">
        <v>500</v>
      </c>
    </row>
    <row r="983" spans="1:6" ht="15" customHeight="1" x14ac:dyDescent="0.25">
      <c r="A983" t="s">
        <v>1557</v>
      </c>
      <c r="B983">
        <v>1988</v>
      </c>
      <c r="C983" t="s">
        <v>35</v>
      </c>
      <c r="D983">
        <v>500</v>
      </c>
      <c r="E983" t="s">
        <v>576</v>
      </c>
      <c r="F983">
        <v>500</v>
      </c>
    </row>
    <row r="984" spans="1:6" ht="15" customHeight="1" x14ac:dyDescent="0.25">
      <c r="A984" t="s">
        <v>1558</v>
      </c>
      <c r="B984">
        <v>1988</v>
      </c>
      <c r="C984" t="s">
        <v>36</v>
      </c>
      <c r="D984">
        <v>500</v>
      </c>
      <c r="E984" t="s">
        <v>576</v>
      </c>
      <c r="F984">
        <v>500</v>
      </c>
    </row>
    <row r="985" spans="1:6" ht="15" customHeight="1" x14ac:dyDescent="0.25">
      <c r="A985" t="s">
        <v>1559</v>
      </c>
      <c r="B985">
        <v>1988</v>
      </c>
      <c r="C985" t="s">
        <v>37</v>
      </c>
      <c r="D985">
        <v>500</v>
      </c>
      <c r="E985" t="s">
        <v>576</v>
      </c>
      <c r="F985">
        <v>500</v>
      </c>
    </row>
    <row r="986" spans="1:6" ht="15" customHeight="1" x14ac:dyDescent="0.25">
      <c r="A986" t="s">
        <v>1560</v>
      </c>
      <c r="B986">
        <v>1988</v>
      </c>
      <c r="C986" t="s">
        <v>38</v>
      </c>
      <c r="D986">
        <v>500</v>
      </c>
      <c r="E986" t="s">
        <v>576</v>
      </c>
      <c r="F986">
        <v>500</v>
      </c>
    </row>
    <row r="987" spans="1:6" ht="15" customHeight="1" x14ac:dyDescent="0.25">
      <c r="A987" t="s">
        <v>1561</v>
      </c>
      <c r="B987">
        <v>1988</v>
      </c>
      <c r="C987" t="s">
        <v>39</v>
      </c>
      <c r="D987">
        <v>500</v>
      </c>
      <c r="E987" t="s">
        <v>576</v>
      </c>
      <c r="F987">
        <v>500</v>
      </c>
    </row>
    <row r="988" spans="1:6" ht="15" customHeight="1" x14ac:dyDescent="0.25">
      <c r="A988" t="s">
        <v>1562</v>
      </c>
      <c r="B988">
        <v>1999</v>
      </c>
      <c r="C988" t="s">
        <v>40</v>
      </c>
      <c r="D988">
        <v>500</v>
      </c>
      <c r="E988" t="s">
        <v>576</v>
      </c>
      <c r="F988">
        <v>500</v>
      </c>
    </row>
    <row r="989" spans="1:6" ht="15" customHeight="1" x14ac:dyDescent="0.25">
      <c r="A989" t="s">
        <v>1563</v>
      </c>
      <c r="B989">
        <v>1999</v>
      </c>
      <c r="C989" t="s">
        <v>41</v>
      </c>
      <c r="D989">
        <v>500</v>
      </c>
      <c r="E989" t="s">
        <v>576</v>
      </c>
      <c r="F989">
        <v>500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01"/>
  <sheetViews>
    <sheetView topLeftCell="H1" zoomScaleNormal="100" workbookViewId="0">
      <selection activeCell="Q3" sqref="Q3"/>
    </sheetView>
  </sheetViews>
  <sheetFormatPr defaultColWidth="8.7109375" defaultRowHeight="15" x14ac:dyDescent="0.25"/>
  <cols>
    <col min="1" max="17" width="18" customWidth="1"/>
  </cols>
  <sheetData>
    <row r="1" spans="1:17" ht="15" customHeight="1" x14ac:dyDescent="0.25">
      <c r="A1" s="19" t="s">
        <v>84</v>
      </c>
      <c r="B1" s="19" t="s">
        <v>85</v>
      </c>
      <c r="C1" s="19" t="s">
        <v>86</v>
      </c>
      <c r="D1" s="19" t="s">
        <v>87</v>
      </c>
      <c r="E1" s="19" t="s">
        <v>88</v>
      </c>
      <c r="F1" s="19" t="s">
        <v>89</v>
      </c>
      <c r="G1" s="19" t="s">
        <v>1564</v>
      </c>
      <c r="H1" s="19" t="s">
        <v>1565</v>
      </c>
      <c r="I1" s="19" t="s">
        <v>1566</v>
      </c>
      <c r="J1" s="19" t="s">
        <v>1567</v>
      </c>
      <c r="K1" s="19" t="s">
        <v>1568</v>
      </c>
      <c r="L1" s="19" t="s">
        <v>1569</v>
      </c>
      <c r="M1" s="19" t="s">
        <v>1570</v>
      </c>
      <c r="N1" s="19" t="s">
        <v>1571</v>
      </c>
      <c r="O1" s="19" t="s">
        <v>1572</v>
      </c>
      <c r="P1" s="19" t="s">
        <v>1573</v>
      </c>
      <c r="Q1" s="19" t="s">
        <v>1574</v>
      </c>
    </row>
    <row r="2" spans="1:17" ht="15" customHeight="1" x14ac:dyDescent="0.25">
      <c r="A2">
        <f>'Customers Raw data'!A2</f>
        <v>1001</v>
      </c>
      <c r="B2" t="str">
        <f>'Customers Raw data'!B2</f>
        <v>2024-11-07</v>
      </c>
      <c r="C2" t="str">
        <f>'Customers Raw data'!C2</f>
        <v>Basic</v>
      </c>
      <c r="D2">
        <f>'Customers Raw data'!D2</f>
        <v>50</v>
      </c>
      <c r="E2">
        <f>'Customers Raw data'!E2</f>
        <v>30</v>
      </c>
      <c r="F2">
        <f>'Customers Raw data'!F2</f>
        <v>0</v>
      </c>
      <c r="G2">
        <f>IF('Customers Raw data'!F2&lt;&gt;"",1,0)</f>
        <v>0</v>
      </c>
      <c r="H2" t="str">
        <f>IF('Customers Raw data'!F2&lt;&gt;"",YEAR(DATEVALUE('Customers Raw data'!F2)),"")</f>
        <v/>
      </c>
      <c r="I2" t="str">
        <f>IF('Customers Raw data'!F2&lt;&gt;"",MONTH(DATEVALUE('Customers Raw data'!F2)),"")</f>
        <v/>
      </c>
      <c r="J2">
        <f>YEAR(DATEVALUE('Customers Raw data'!B2))</f>
        <v>2024</v>
      </c>
      <c r="K2">
        <f>MONTH(DATEVALUE('Customers Raw data'!B2))</f>
        <v>11</v>
      </c>
      <c r="L2">
        <f ca="1">IF('Customers Raw data'!F2&lt;&gt;"",DATEDIF(DATEVALUE('Customers Raw data'!B2),DATEVALUE('Customers Raw data'!F2),"M"),DATEDIF(DATEVALUE('Customers Raw data'!B2),TODAY(),"M"))</f>
        <v>17</v>
      </c>
      <c r="M2">
        <f t="shared" ref="M2:M65" ca="1" si="0">D2*L2</f>
        <v>850</v>
      </c>
      <c r="N2">
        <f t="shared" ref="N2:N65" si="1">IF(C2="Basic",1,IF(C2="Pro",2,IF(C2="Enterprise",3,0)))</f>
        <v>1</v>
      </c>
      <c r="O2">
        <f t="shared" ref="O2:O65" ca="1" si="2">IF(AND(G2=1,L2&lt;6),1,0)</f>
        <v>0</v>
      </c>
      <c r="P2">
        <f t="shared" ref="P2:P65" si="3">IF(G2=1,D2,0)</f>
        <v>0</v>
      </c>
      <c r="Q2" t="e">
        <f t="shared" ref="Q2:Q65" si="4">IF(F2&lt;&gt;"",TEXT(DATEVALUE(F2),"YYYY-MM"),"")</f>
        <v>#VALUE!</v>
      </c>
    </row>
    <row r="3" spans="1:17" ht="15" customHeight="1" x14ac:dyDescent="0.25">
      <c r="A3">
        <f>'Customers Raw data'!A3</f>
        <v>1002</v>
      </c>
      <c r="B3" t="str">
        <f>'Customers Raw data'!B3</f>
        <v>2024-06-06</v>
      </c>
      <c r="C3" t="str">
        <f>'Customers Raw data'!C3</f>
        <v>Basic</v>
      </c>
      <c r="D3">
        <f>'Customers Raw data'!D3</f>
        <v>50</v>
      </c>
      <c r="E3">
        <f>'Customers Raw data'!E3</f>
        <v>30</v>
      </c>
      <c r="F3">
        <f>'Customers Raw data'!F3</f>
        <v>0</v>
      </c>
      <c r="G3">
        <f>IF('Customers Raw data'!F3&lt;&gt;"",1,0)</f>
        <v>0</v>
      </c>
      <c r="H3" t="str">
        <f>IF('Customers Raw data'!F3&lt;&gt;"",YEAR(DATEVALUE('Customers Raw data'!F3)),"")</f>
        <v/>
      </c>
      <c r="I3" t="str">
        <f>IF('Customers Raw data'!F3&lt;&gt;"",MONTH(DATEVALUE('Customers Raw data'!F3)),"")</f>
        <v/>
      </c>
      <c r="J3">
        <f>YEAR(DATEVALUE('Customers Raw data'!B3))</f>
        <v>2024</v>
      </c>
      <c r="K3">
        <f>MONTH(DATEVALUE('Customers Raw data'!B3))</f>
        <v>6</v>
      </c>
      <c r="L3">
        <f ca="1">IF('Customers Raw data'!F3&lt;&gt;"",DATEDIF(DATEVALUE('Customers Raw data'!B3),DATEVALUE('Customers Raw data'!F3),"M"),DATEDIF(DATEVALUE('Customers Raw data'!B3),TODAY(),"M"))</f>
        <v>22</v>
      </c>
      <c r="M3">
        <f t="shared" ca="1" si="0"/>
        <v>1100</v>
      </c>
      <c r="N3">
        <f t="shared" si="1"/>
        <v>1</v>
      </c>
      <c r="O3">
        <f t="shared" ca="1" si="2"/>
        <v>0</v>
      </c>
      <c r="P3">
        <f t="shared" si="3"/>
        <v>0</v>
      </c>
      <c r="Q3" t="e">
        <f t="shared" si="4"/>
        <v>#VALUE!</v>
      </c>
    </row>
    <row r="4" spans="1:17" ht="15" customHeight="1" x14ac:dyDescent="0.25">
      <c r="A4">
        <f>'Customers Raw data'!A4</f>
        <v>1003</v>
      </c>
      <c r="B4" t="str">
        <f>'Customers Raw data'!B4</f>
        <v>2024-12-31</v>
      </c>
      <c r="C4" t="str">
        <f>'Customers Raw data'!C4</f>
        <v>Basic</v>
      </c>
      <c r="D4">
        <f>'Customers Raw data'!D4</f>
        <v>50</v>
      </c>
      <c r="E4">
        <f>'Customers Raw data'!E4</f>
        <v>30</v>
      </c>
      <c r="F4">
        <f>'Customers Raw data'!F4</f>
        <v>0</v>
      </c>
      <c r="G4">
        <f>IF('Customers Raw data'!F4&lt;&gt;"",1,0)</f>
        <v>0</v>
      </c>
      <c r="H4" t="str">
        <f>IF('Customers Raw data'!F4&lt;&gt;"",YEAR(DATEVALUE('Customers Raw data'!F4)),"")</f>
        <v/>
      </c>
      <c r="I4" t="str">
        <f>IF('Customers Raw data'!F4&lt;&gt;"",MONTH(DATEVALUE('Customers Raw data'!F4)),"")</f>
        <v/>
      </c>
      <c r="J4">
        <f>YEAR(DATEVALUE('Customers Raw data'!B4))</f>
        <v>2024</v>
      </c>
      <c r="K4">
        <f>MONTH(DATEVALUE('Customers Raw data'!B4))</f>
        <v>12</v>
      </c>
      <c r="L4">
        <f ca="1">IF('Customers Raw data'!F4&lt;&gt;"",DATEDIF(DATEVALUE('Customers Raw data'!B4),DATEVALUE('Customers Raw data'!F4),"M"),DATEDIF(DATEVALUE('Customers Raw data'!B4),TODAY(),"M"))</f>
        <v>15</v>
      </c>
      <c r="M4">
        <f t="shared" ca="1" si="0"/>
        <v>750</v>
      </c>
      <c r="N4">
        <f t="shared" si="1"/>
        <v>1</v>
      </c>
      <c r="O4">
        <f t="shared" ca="1" si="2"/>
        <v>0</v>
      </c>
      <c r="P4">
        <f t="shared" si="3"/>
        <v>0</v>
      </c>
      <c r="Q4" t="e">
        <f t="shared" si="4"/>
        <v>#VALUE!</v>
      </c>
    </row>
    <row r="5" spans="1:17" ht="15" customHeight="1" x14ac:dyDescent="0.25">
      <c r="A5">
        <f>'Customers Raw data'!A5</f>
        <v>1004</v>
      </c>
      <c r="B5" t="str">
        <f>'Customers Raw data'!B5</f>
        <v>2024-11-21</v>
      </c>
      <c r="C5" t="str">
        <f>'Customers Raw data'!C5</f>
        <v>Pro</v>
      </c>
      <c r="D5">
        <f>'Customers Raw data'!D5</f>
        <v>200</v>
      </c>
      <c r="E5">
        <f>'Customers Raw data'!E5</f>
        <v>100</v>
      </c>
      <c r="F5">
        <f>'Customers Raw data'!F5</f>
        <v>0</v>
      </c>
      <c r="G5">
        <f>IF('Customers Raw data'!F5&lt;&gt;"",1,0)</f>
        <v>0</v>
      </c>
      <c r="H5" t="str">
        <f>IF('Customers Raw data'!F5&lt;&gt;"",YEAR(DATEVALUE('Customers Raw data'!F5)),"")</f>
        <v/>
      </c>
      <c r="I5" t="str">
        <f>IF('Customers Raw data'!F5&lt;&gt;"",MONTH(DATEVALUE('Customers Raw data'!F5)),"")</f>
        <v/>
      </c>
      <c r="J5">
        <f>YEAR(DATEVALUE('Customers Raw data'!B5))</f>
        <v>2024</v>
      </c>
      <c r="K5">
        <f>MONTH(DATEVALUE('Customers Raw data'!B5))</f>
        <v>11</v>
      </c>
      <c r="L5">
        <f ca="1">IF('Customers Raw data'!F5&lt;&gt;"",DATEDIF(DATEVALUE('Customers Raw data'!B5),DATEVALUE('Customers Raw data'!F5),"M"),DATEDIF(DATEVALUE('Customers Raw data'!B5),TODAY(),"M"))</f>
        <v>16</v>
      </c>
      <c r="M5">
        <f t="shared" ca="1" si="0"/>
        <v>3200</v>
      </c>
      <c r="N5">
        <f t="shared" si="1"/>
        <v>2</v>
      </c>
      <c r="O5">
        <f t="shared" ca="1" si="2"/>
        <v>0</v>
      </c>
      <c r="P5">
        <f t="shared" si="3"/>
        <v>0</v>
      </c>
      <c r="Q5" t="e">
        <f t="shared" si="4"/>
        <v>#VALUE!</v>
      </c>
    </row>
    <row r="6" spans="1:17" ht="15" customHeight="1" x14ac:dyDescent="0.25">
      <c r="A6">
        <f>'Customers Raw data'!A6</f>
        <v>1005</v>
      </c>
      <c r="B6" t="str">
        <f>'Customers Raw data'!B6</f>
        <v>2024-08-16</v>
      </c>
      <c r="C6" t="str">
        <f>'Customers Raw data'!C6</f>
        <v>Pro</v>
      </c>
      <c r="D6">
        <f>'Customers Raw data'!D6</f>
        <v>200</v>
      </c>
      <c r="E6">
        <f>'Customers Raw data'!E6</f>
        <v>100</v>
      </c>
      <c r="F6">
        <f>'Customers Raw data'!F6</f>
        <v>0</v>
      </c>
      <c r="G6">
        <f>IF('Customers Raw data'!F6&lt;&gt;"",1,0)</f>
        <v>0</v>
      </c>
      <c r="H6" t="str">
        <f>IF('Customers Raw data'!F6&lt;&gt;"",YEAR(DATEVALUE('Customers Raw data'!F6)),"")</f>
        <v/>
      </c>
      <c r="I6" t="str">
        <f>IF('Customers Raw data'!F6&lt;&gt;"",MONTH(DATEVALUE('Customers Raw data'!F6)),"")</f>
        <v/>
      </c>
      <c r="J6">
        <f>YEAR(DATEVALUE('Customers Raw data'!B6))</f>
        <v>2024</v>
      </c>
      <c r="K6">
        <f>MONTH(DATEVALUE('Customers Raw data'!B6))</f>
        <v>8</v>
      </c>
      <c r="L6">
        <f ca="1">IF('Customers Raw data'!F6&lt;&gt;"",DATEDIF(DATEVALUE('Customers Raw data'!B6),DATEVALUE('Customers Raw data'!F6),"M"),DATEDIF(DATEVALUE('Customers Raw data'!B6),TODAY(),"M"))</f>
        <v>19</v>
      </c>
      <c r="M6">
        <f t="shared" ca="1" si="0"/>
        <v>3800</v>
      </c>
      <c r="N6">
        <f t="shared" si="1"/>
        <v>2</v>
      </c>
      <c r="O6">
        <f t="shared" ca="1" si="2"/>
        <v>0</v>
      </c>
      <c r="P6">
        <f t="shared" si="3"/>
        <v>0</v>
      </c>
      <c r="Q6" t="e">
        <f t="shared" si="4"/>
        <v>#VALUE!</v>
      </c>
    </row>
    <row r="7" spans="1:17" ht="15" customHeight="1" x14ac:dyDescent="0.25">
      <c r="A7">
        <f>'Customers Raw data'!A7</f>
        <v>1006</v>
      </c>
      <c r="B7" t="str">
        <f>'Customers Raw data'!B7</f>
        <v>2024-11-10</v>
      </c>
      <c r="C7" t="str">
        <f>'Customers Raw data'!C7</f>
        <v>Basic</v>
      </c>
      <c r="D7">
        <f>'Customers Raw data'!D7</f>
        <v>50</v>
      </c>
      <c r="E7">
        <f>'Customers Raw data'!E7</f>
        <v>30</v>
      </c>
      <c r="F7">
        <f>'Customers Raw data'!F7</f>
        <v>0</v>
      </c>
      <c r="G7">
        <f>IF('Customers Raw data'!F7&lt;&gt;"",1,0)</f>
        <v>0</v>
      </c>
      <c r="H7" t="str">
        <f>IF('Customers Raw data'!F7&lt;&gt;"",YEAR(DATEVALUE('Customers Raw data'!F7)),"")</f>
        <v/>
      </c>
      <c r="I7" t="str">
        <f>IF('Customers Raw data'!F7&lt;&gt;"",MONTH(DATEVALUE('Customers Raw data'!F7)),"")</f>
        <v/>
      </c>
      <c r="J7">
        <f>YEAR(DATEVALUE('Customers Raw data'!B7))</f>
        <v>2024</v>
      </c>
      <c r="K7">
        <f>MONTH(DATEVALUE('Customers Raw data'!B7))</f>
        <v>11</v>
      </c>
      <c r="L7">
        <f ca="1">IF('Customers Raw data'!F7&lt;&gt;"",DATEDIF(DATEVALUE('Customers Raw data'!B7),DATEVALUE('Customers Raw data'!F7),"M"),DATEDIF(DATEVALUE('Customers Raw data'!B7),TODAY(),"M"))</f>
        <v>16</v>
      </c>
      <c r="M7">
        <f t="shared" ca="1" si="0"/>
        <v>800</v>
      </c>
      <c r="N7">
        <f t="shared" si="1"/>
        <v>1</v>
      </c>
      <c r="O7">
        <f t="shared" ca="1" si="2"/>
        <v>0</v>
      </c>
      <c r="P7">
        <f t="shared" si="3"/>
        <v>0</v>
      </c>
      <c r="Q7" t="e">
        <f t="shared" si="4"/>
        <v>#VALUE!</v>
      </c>
    </row>
    <row r="8" spans="1:17" ht="15" customHeight="1" x14ac:dyDescent="0.25">
      <c r="A8">
        <f>'Customers Raw data'!A8</f>
        <v>1007</v>
      </c>
      <c r="B8" t="str">
        <f>'Customers Raw data'!B8</f>
        <v>2024-03-12</v>
      </c>
      <c r="C8" t="str">
        <f>'Customers Raw data'!C8</f>
        <v>Enterprise</v>
      </c>
      <c r="D8">
        <f>'Customers Raw data'!D8</f>
        <v>500</v>
      </c>
      <c r="E8">
        <f>'Customers Raw data'!E8</f>
        <v>200</v>
      </c>
      <c r="F8">
        <f>'Customers Raw data'!F8</f>
        <v>0</v>
      </c>
      <c r="G8">
        <f>IF('Customers Raw data'!F8&lt;&gt;"",1,0)</f>
        <v>0</v>
      </c>
      <c r="H8" t="str">
        <f>IF('Customers Raw data'!F8&lt;&gt;"",YEAR(DATEVALUE('Customers Raw data'!F8)),"")</f>
        <v/>
      </c>
      <c r="I8" t="str">
        <f>IF('Customers Raw data'!F8&lt;&gt;"",MONTH(DATEVALUE('Customers Raw data'!F8)),"")</f>
        <v/>
      </c>
      <c r="J8">
        <f>YEAR(DATEVALUE('Customers Raw data'!B8))</f>
        <v>2024</v>
      </c>
      <c r="K8">
        <f>MONTH(DATEVALUE('Customers Raw data'!B8))</f>
        <v>3</v>
      </c>
      <c r="L8">
        <f ca="1">IF('Customers Raw data'!F8&lt;&gt;"",DATEDIF(DATEVALUE('Customers Raw data'!B8),DATEVALUE('Customers Raw data'!F8),"M"),DATEDIF(DATEVALUE('Customers Raw data'!B8),TODAY(),"M"))</f>
        <v>24</v>
      </c>
      <c r="M8">
        <f t="shared" ca="1" si="0"/>
        <v>12000</v>
      </c>
      <c r="N8">
        <f t="shared" si="1"/>
        <v>3</v>
      </c>
      <c r="O8">
        <f t="shared" ca="1" si="2"/>
        <v>0</v>
      </c>
      <c r="P8">
        <f t="shared" si="3"/>
        <v>0</v>
      </c>
      <c r="Q8" t="e">
        <f t="shared" si="4"/>
        <v>#VALUE!</v>
      </c>
    </row>
    <row r="9" spans="1:17" ht="15" customHeight="1" x14ac:dyDescent="0.25">
      <c r="A9">
        <f>'Customers Raw data'!A9</f>
        <v>1008</v>
      </c>
      <c r="B9" t="str">
        <f>'Customers Raw data'!B9</f>
        <v>2024-11-09</v>
      </c>
      <c r="C9" t="str">
        <f>'Customers Raw data'!C9</f>
        <v>Pro</v>
      </c>
      <c r="D9">
        <f>'Customers Raw data'!D9</f>
        <v>200</v>
      </c>
      <c r="E9">
        <f>'Customers Raw data'!E9</f>
        <v>100</v>
      </c>
      <c r="F9">
        <f>'Customers Raw data'!F9</f>
        <v>0</v>
      </c>
      <c r="G9">
        <f>IF('Customers Raw data'!F9&lt;&gt;"",1,0)</f>
        <v>0</v>
      </c>
      <c r="H9" t="str">
        <f>IF('Customers Raw data'!F9&lt;&gt;"",YEAR(DATEVALUE('Customers Raw data'!F9)),"")</f>
        <v/>
      </c>
      <c r="I9" t="str">
        <f>IF('Customers Raw data'!F9&lt;&gt;"",MONTH(DATEVALUE('Customers Raw data'!F9)),"")</f>
        <v/>
      </c>
      <c r="J9">
        <f>YEAR(DATEVALUE('Customers Raw data'!B9))</f>
        <v>2024</v>
      </c>
      <c r="K9">
        <f>MONTH(DATEVALUE('Customers Raw data'!B9))</f>
        <v>11</v>
      </c>
      <c r="L9">
        <f ca="1">IF('Customers Raw data'!F9&lt;&gt;"",DATEDIF(DATEVALUE('Customers Raw data'!B9),DATEVALUE('Customers Raw data'!F9),"M"),DATEDIF(DATEVALUE('Customers Raw data'!B9),TODAY(),"M"))</f>
        <v>16</v>
      </c>
      <c r="M9">
        <f t="shared" ca="1" si="0"/>
        <v>3200</v>
      </c>
      <c r="N9">
        <f t="shared" si="1"/>
        <v>2</v>
      </c>
      <c r="O9">
        <f t="shared" ca="1" si="2"/>
        <v>0</v>
      </c>
      <c r="P9">
        <f t="shared" si="3"/>
        <v>0</v>
      </c>
      <c r="Q9" t="e">
        <f t="shared" si="4"/>
        <v>#VALUE!</v>
      </c>
    </row>
    <row r="10" spans="1:17" ht="15" customHeight="1" x14ac:dyDescent="0.25">
      <c r="A10">
        <f>'Customers Raw data'!A10</f>
        <v>1009</v>
      </c>
      <c r="B10" t="str">
        <f>'Customers Raw data'!B10</f>
        <v>2024-08-16</v>
      </c>
      <c r="C10" t="str">
        <f>'Customers Raw data'!C10</f>
        <v>Pro</v>
      </c>
      <c r="D10">
        <f>'Customers Raw data'!D10</f>
        <v>200</v>
      </c>
      <c r="E10">
        <f>'Customers Raw data'!E10</f>
        <v>100</v>
      </c>
      <c r="F10">
        <f>'Customers Raw data'!F10</f>
        <v>0</v>
      </c>
      <c r="G10">
        <f>IF('Customers Raw data'!F10&lt;&gt;"",1,0)</f>
        <v>0</v>
      </c>
      <c r="H10" t="str">
        <f>IF('Customers Raw data'!F10&lt;&gt;"",YEAR(DATEVALUE('Customers Raw data'!F10)),"")</f>
        <v/>
      </c>
      <c r="I10" t="str">
        <f>IF('Customers Raw data'!F10&lt;&gt;"",MONTH(DATEVALUE('Customers Raw data'!F10)),"")</f>
        <v/>
      </c>
      <c r="J10">
        <f>YEAR(DATEVALUE('Customers Raw data'!B10))</f>
        <v>2024</v>
      </c>
      <c r="K10">
        <f>MONTH(DATEVALUE('Customers Raw data'!B10))</f>
        <v>8</v>
      </c>
      <c r="L10">
        <f ca="1">IF('Customers Raw data'!F10&lt;&gt;"",DATEDIF(DATEVALUE('Customers Raw data'!B10),DATEVALUE('Customers Raw data'!F10),"M"),DATEDIF(DATEVALUE('Customers Raw data'!B10),TODAY(),"M"))</f>
        <v>19</v>
      </c>
      <c r="M10">
        <f t="shared" ca="1" si="0"/>
        <v>3800</v>
      </c>
      <c r="N10">
        <f t="shared" si="1"/>
        <v>2</v>
      </c>
      <c r="O10">
        <f t="shared" ca="1" si="2"/>
        <v>0</v>
      </c>
      <c r="P10">
        <f t="shared" si="3"/>
        <v>0</v>
      </c>
      <c r="Q10" t="e">
        <f t="shared" si="4"/>
        <v>#VALUE!</v>
      </c>
    </row>
    <row r="11" spans="1:17" ht="15" customHeight="1" x14ac:dyDescent="0.25">
      <c r="A11">
        <f>'Customers Raw data'!A11</f>
        <v>1010</v>
      </c>
      <c r="B11" t="str">
        <f>'Customers Raw data'!B11</f>
        <v>2025-04-07</v>
      </c>
      <c r="C11" t="str">
        <f>'Customers Raw data'!C11</f>
        <v>Pro</v>
      </c>
      <c r="D11">
        <f>'Customers Raw data'!D11</f>
        <v>200</v>
      </c>
      <c r="E11">
        <f>'Customers Raw data'!E11</f>
        <v>100</v>
      </c>
      <c r="F11">
        <f>'Customers Raw data'!F11</f>
        <v>0</v>
      </c>
      <c r="G11">
        <f>IF('Customers Raw data'!F11&lt;&gt;"",1,0)</f>
        <v>0</v>
      </c>
      <c r="H11" t="str">
        <f>IF('Customers Raw data'!F11&lt;&gt;"",YEAR(DATEVALUE('Customers Raw data'!F11)),"")</f>
        <v/>
      </c>
      <c r="I11" t="str">
        <f>IF('Customers Raw data'!F11&lt;&gt;"",MONTH(DATEVALUE('Customers Raw data'!F11)),"")</f>
        <v/>
      </c>
      <c r="J11">
        <f>YEAR(DATEVALUE('Customers Raw data'!B11))</f>
        <v>2025</v>
      </c>
      <c r="K11">
        <f>MONTH(DATEVALUE('Customers Raw data'!B11))</f>
        <v>4</v>
      </c>
      <c r="L11">
        <f ca="1">IF('Customers Raw data'!F11&lt;&gt;"",DATEDIF(DATEVALUE('Customers Raw data'!B11),DATEVALUE('Customers Raw data'!F11),"M"),DATEDIF(DATEVALUE('Customers Raw data'!B11),TODAY(),"M"))</f>
        <v>12</v>
      </c>
      <c r="M11">
        <f t="shared" ca="1" si="0"/>
        <v>2400</v>
      </c>
      <c r="N11">
        <f t="shared" si="1"/>
        <v>2</v>
      </c>
      <c r="O11">
        <f t="shared" ca="1" si="2"/>
        <v>0</v>
      </c>
      <c r="P11">
        <f t="shared" si="3"/>
        <v>0</v>
      </c>
      <c r="Q11" t="e">
        <f t="shared" si="4"/>
        <v>#VALUE!</v>
      </c>
    </row>
    <row r="12" spans="1:17" ht="15" customHeight="1" x14ac:dyDescent="0.25">
      <c r="A12">
        <f>'Customers Raw data'!A12</f>
        <v>1011</v>
      </c>
      <c r="B12" t="str">
        <f>'Customers Raw data'!B12</f>
        <v>2025-03-31</v>
      </c>
      <c r="C12" t="str">
        <f>'Customers Raw data'!C12</f>
        <v>Basic</v>
      </c>
      <c r="D12">
        <f>'Customers Raw data'!D12</f>
        <v>50</v>
      </c>
      <c r="E12">
        <f>'Customers Raw data'!E12</f>
        <v>30</v>
      </c>
      <c r="F12">
        <f>'Customers Raw data'!F12</f>
        <v>0</v>
      </c>
      <c r="G12">
        <f>IF('Customers Raw data'!F12&lt;&gt;"",1,0)</f>
        <v>0</v>
      </c>
      <c r="H12" t="str">
        <f>IF('Customers Raw data'!F12&lt;&gt;"",YEAR(DATEVALUE('Customers Raw data'!F12)),"")</f>
        <v/>
      </c>
      <c r="I12" t="str">
        <f>IF('Customers Raw data'!F12&lt;&gt;"",MONTH(DATEVALUE('Customers Raw data'!F12)),"")</f>
        <v/>
      </c>
      <c r="J12">
        <f>YEAR(DATEVALUE('Customers Raw data'!B12))</f>
        <v>2025</v>
      </c>
      <c r="K12">
        <f>MONTH(DATEVALUE('Customers Raw data'!B12))</f>
        <v>3</v>
      </c>
      <c r="L12">
        <f ca="1">IF('Customers Raw data'!F12&lt;&gt;"",DATEDIF(DATEVALUE('Customers Raw data'!B12),DATEVALUE('Customers Raw data'!F12),"M"),DATEDIF(DATEVALUE('Customers Raw data'!B12),TODAY(),"M"))</f>
        <v>12</v>
      </c>
      <c r="M12">
        <f t="shared" ca="1" si="0"/>
        <v>600</v>
      </c>
      <c r="N12">
        <f t="shared" si="1"/>
        <v>1</v>
      </c>
      <c r="O12">
        <f t="shared" ca="1" si="2"/>
        <v>0</v>
      </c>
      <c r="P12">
        <f t="shared" si="3"/>
        <v>0</v>
      </c>
      <c r="Q12" t="e">
        <f t="shared" si="4"/>
        <v>#VALUE!</v>
      </c>
    </row>
    <row r="13" spans="1:17" ht="15" customHeight="1" x14ac:dyDescent="0.25">
      <c r="A13">
        <f>'Customers Raw data'!A13</f>
        <v>1012</v>
      </c>
      <c r="B13" t="str">
        <f>'Customers Raw data'!B13</f>
        <v>2025-02-24</v>
      </c>
      <c r="C13" t="str">
        <f>'Customers Raw data'!C13</f>
        <v>Enterprise</v>
      </c>
      <c r="D13">
        <f>'Customers Raw data'!D13</f>
        <v>500</v>
      </c>
      <c r="E13">
        <f>'Customers Raw data'!E13</f>
        <v>200</v>
      </c>
      <c r="F13">
        <f>'Customers Raw data'!F13</f>
        <v>0</v>
      </c>
      <c r="G13">
        <f>IF('Customers Raw data'!F13&lt;&gt;"",1,0)</f>
        <v>0</v>
      </c>
      <c r="H13" t="str">
        <f>IF('Customers Raw data'!F13&lt;&gt;"",YEAR(DATEVALUE('Customers Raw data'!F13)),"")</f>
        <v/>
      </c>
      <c r="I13" t="str">
        <f>IF('Customers Raw data'!F13&lt;&gt;"",MONTH(DATEVALUE('Customers Raw data'!F13)),"")</f>
        <v/>
      </c>
      <c r="J13">
        <f>YEAR(DATEVALUE('Customers Raw data'!B13))</f>
        <v>2025</v>
      </c>
      <c r="K13">
        <f>MONTH(DATEVALUE('Customers Raw data'!B13))</f>
        <v>2</v>
      </c>
      <c r="L13">
        <f ca="1">IF('Customers Raw data'!F13&lt;&gt;"",DATEDIF(DATEVALUE('Customers Raw data'!B13),DATEVALUE('Customers Raw data'!F13),"M"),DATEDIF(DATEVALUE('Customers Raw data'!B13),TODAY(),"M"))</f>
        <v>13</v>
      </c>
      <c r="M13">
        <f t="shared" ca="1" si="0"/>
        <v>6500</v>
      </c>
      <c r="N13">
        <f t="shared" si="1"/>
        <v>3</v>
      </c>
      <c r="O13">
        <f t="shared" ca="1" si="2"/>
        <v>0</v>
      </c>
      <c r="P13">
        <f t="shared" si="3"/>
        <v>0</v>
      </c>
      <c r="Q13" t="e">
        <f t="shared" si="4"/>
        <v>#VALUE!</v>
      </c>
    </row>
    <row r="14" spans="1:17" ht="15" customHeight="1" x14ac:dyDescent="0.25">
      <c r="A14">
        <f>'Customers Raw data'!A14</f>
        <v>1013</v>
      </c>
      <c r="B14" t="str">
        <f>'Customers Raw data'!B14</f>
        <v>2025-04-03</v>
      </c>
      <c r="C14" t="str">
        <f>'Customers Raw data'!C14</f>
        <v>Pro</v>
      </c>
      <c r="D14">
        <f>'Customers Raw data'!D14</f>
        <v>200</v>
      </c>
      <c r="E14">
        <f>'Customers Raw data'!E14</f>
        <v>100</v>
      </c>
      <c r="F14">
        <f>'Customers Raw data'!F14</f>
        <v>0</v>
      </c>
      <c r="G14">
        <f>IF('Customers Raw data'!F14&lt;&gt;"",1,0)</f>
        <v>0</v>
      </c>
      <c r="H14" t="str">
        <f>IF('Customers Raw data'!F14&lt;&gt;"",YEAR(DATEVALUE('Customers Raw data'!F14)),"")</f>
        <v/>
      </c>
      <c r="I14" t="str">
        <f>IF('Customers Raw data'!F14&lt;&gt;"",MONTH(DATEVALUE('Customers Raw data'!F14)),"")</f>
        <v/>
      </c>
      <c r="J14">
        <f>YEAR(DATEVALUE('Customers Raw data'!B14))</f>
        <v>2025</v>
      </c>
      <c r="K14">
        <f>MONTH(DATEVALUE('Customers Raw data'!B14))</f>
        <v>4</v>
      </c>
      <c r="L14">
        <f ca="1">IF('Customers Raw data'!F14&lt;&gt;"",DATEDIF(DATEVALUE('Customers Raw data'!B14),DATEVALUE('Customers Raw data'!F14),"M"),DATEDIF(DATEVALUE('Customers Raw data'!B14),TODAY(),"M"))</f>
        <v>12</v>
      </c>
      <c r="M14">
        <f t="shared" ca="1" si="0"/>
        <v>2400</v>
      </c>
      <c r="N14">
        <f t="shared" si="1"/>
        <v>2</v>
      </c>
      <c r="O14">
        <f t="shared" ca="1" si="2"/>
        <v>0</v>
      </c>
      <c r="P14">
        <f t="shared" si="3"/>
        <v>0</v>
      </c>
      <c r="Q14" t="e">
        <f t="shared" si="4"/>
        <v>#VALUE!</v>
      </c>
    </row>
    <row r="15" spans="1:17" ht="15" customHeight="1" x14ac:dyDescent="0.25">
      <c r="A15">
        <f>'Customers Raw data'!A15</f>
        <v>1014</v>
      </c>
      <c r="B15" t="str">
        <f>'Customers Raw data'!B15</f>
        <v>2025-03-22</v>
      </c>
      <c r="C15" t="str">
        <f>'Customers Raw data'!C15</f>
        <v>Enterprise</v>
      </c>
      <c r="D15">
        <f>'Customers Raw data'!D15</f>
        <v>500</v>
      </c>
      <c r="E15">
        <f>'Customers Raw data'!E15</f>
        <v>200</v>
      </c>
      <c r="F15">
        <f>'Customers Raw data'!F15</f>
        <v>0</v>
      </c>
      <c r="G15">
        <f>IF('Customers Raw data'!F15&lt;&gt;"",1,0)</f>
        <v>0</v>
      </c>
      <c r="H15" t="str">
        <f>IF('Customers Raw data'!F15&lt;&gt;"",YEAR(DATEVALUE('Customers Raw data'!F15)),"")</f>
        <v/>
      </c>
      <c r="I15" t="str">
        <f>IF('Customers Raw data'!F15&lt;&gt;"",MONTH(DATEVALUE('Customers Raw data'!F15)),"")</f>
        <v/>
      </c>
      <c r="J15">
        <f>YEAR(DATEVALUE('Customers Raw data'!B15))</f>
        <v>2025</v>
      </c>
      <c r="K15">
        <f>MONTH(DATEVALUE('Customers Raw data'!B15))</f>
        <v>3</v>
      </c>
      <c r="L15">
        <f ca="1">IF('Customers Raw data'!F15&lt;&gt;"",DATEDIF(DATEVALUE('Customers Raw data'!B15),DATEVALUE('Customers Raw data'!F15),"M"),DATEDIF(DATEVALUE('Customers Raw data'!B15),TODAY(),"M"))</f>
        <v>12</v>
      </c>
      <c r="M15">
        <f t="shared" ca="1" si="0"/>
        <v>6000</v>
      </c>
      <c r="N15">
        <f t="shared" si="1"/>
        <v>3</v>
      </c>
      <c r="O15">
        <f t="shared" ca="1" si="2"/>
        <v>0</v>
      </c>
      <c r="P15">
        <f t="shared" si="3"/>
        <v>0</v>
      </c>
      <c r="Q15" t="e">
        <f t="shared" si="4"/>
        <v>#VALUE!</v>
      </c>
    </row>
    <row r="16" spans="1:17" ht="15" customHeight="1" x14ac:dyDescent="0.25">
      <c r="A16">
        <f>'Customers Raw data'!A16</f>
        <v>1015</v>
      </c>
      <c r="B16" t="str">
        <f>'Customers Raw data'!B16</f>
        <v>2025-04-02</v>
      </c>
      <c r="C16" t="str">
        <f>'Customers Raw data'!C16</f>
        <v>Pro</v>
      </c>
      <c r="D16">
        <f>'Customers Raw data'!D16</f>
        <v>200</v>
      </c>
      <c r="E16">
        <f>'Customers Raw data'!E16</f>
        <v>100</v>
      </c>
      <c r="F16">
        <f>'Customers Raw data'!F16</f>
        <v>0</v>
      </c>
      <c r="G16">
        <f>IF('Customers Raw data'!F16&lt;&gt;"",1,0)</f>
        <v>0</v>
      </c>
      <c r="H16" t="str">
        <f>IF('Customers Raw data'!F16&lt;&gt;"",YEAR(DATEVALUE('Customers Raw data'!F16)),"")</f>
        <v/>
      </c>
      <c r="I16" t="str">
        <f>IF('Customers Raw data'!F16&lt;&gt;"",MONTH(DATEVALUE('Customers Raw data'!F16)),"")</f>
        <v/>
      </c>
      <c r="J16">
        <f>YEAR(DATEVALUE('Customers Raw data'!B16))</f>
        <v>2025</v>
      </c>
      <c r="K16">
        <f>MONTH(DATEVALUE('Customers Raw data'!B16))</f>
        <v>4</v>
      </c>
      <c r="L16">
        <f ca="1">IF('Customers Raw data'!F16&lt;&gt;"",DATEDIF(DATEVALUE('Customers Raw data'!B16),DATEVALUE('Customers Raw data'!F16),"M"),DATEDIF(DATEVALUE('Customers Raw data'!B16),TODAY(),"M"))</f>
        <v>12</v>
      </c>
      <c r="M16">
        <f t="shared" ca="1" si="0"/>
        <v>2400</v>
      </c>
      <c r="N16">
        <f t="shared" si="1"/>
        <v>2</v>
      </c>
      <c r="O16">
        <f t="shared" ca="1" si="2"/>
        <v>0</v>
      </c>
      <c r="P16">
        <f t="shared" si="3"/>
        <v>0</v>
      </c>
      <c r="Q16" t="e">
        <f t="shared" si="4"/>
        <v>#VALUE!</v>
      </c>
    </row>
    <row r="17" spans="1:17" ht="15" customHeight="1" x14ac:dyDescent="0.25">
      <c r="A17">
        <f>'Customers Raw data'!A17</f>
        <v>1016</v>
      </c>
      <c r="B17" t="str">
        <f>'Customers Raw data'!B17</f>
        <v>2024-08-02</v>
      </c>
      <c r="C17" t="str">
        <f>'Customers Raw data'!C17</f>
        <v>Enterprise</v>
      </c>
      <c r="D17">
        <f>'Customers Raw data'!D17</f>
        <v>500</v>
      </c>
      <c r="E17">
        <f>'Customers Raw data'!E17</f>
        <v>200</v>
      </c>
      <c r="F17">
        <f>'Customers Raw data'!F17</f>
        <v>0</v>
      </c>
      <c r="G17">
        <f>IF('Customers Raw data'!F17&lt;&gt;"",1,0)</f>
        <v>0</v>
      </c>
      <c r="H17" t="str">
        <f>IF('Customers Raw data'!F17&lt;&gt;"",YEAR(DATEVALUE('Customers Raw data'!F17)),"")</f>
        <v/>
      </c>
      <c r="I17" t="str">
        <f>IF('Customers Raw data'!F17&lt;&gt;"",MONTH(DATEVALUE('Customers Raw data'!F17)),"")</f>
        <v/>
      </c>
      <c r="J17">
        <f>YEAR(DATEVALUE('Customers Raw data'!B17))</f>
        <v>2024</v>
      </c>
      <c r="K17">
        <f>MONTH(DATEVALUE('Customers Raw data'!B17))</f>
        <v>8</v>
      </c>
      <c r="L17">
        <f ca="1">IF('Customers Raw data'!F17&lt;&gt;"",DATEDIF(DATEVALUE('Customers Raw data'!B17),DATEVALUE('Customers Raw data'!F17),"M"),DATEDIF(DATEVALUE('Customers Raw data'!B17),TODAY(),"M"))</f>
        <v>20</v>
      </c>
      <c r="M17">
        <f t="shared" ca="1" si="0"/>
        <v>10000</v>
      </c>
      <c r="N17">
        <f t="shared" si="1"/>
        <v>3</v>
      </c>
      <c r="O17">
        <f t="shared" ca="1" si="2"/>
        <v>0</v>
      </c>
      <c r="P17">
        <f t="shared" si="3"/>
        <v>0</v>
      </c>
      <c r="Q17" t="e">
        <f t="shared" si="4"/>
        <v>#VALUE!</v>
      </c>
    </row>
    <row r="18" spans="1:17" ht="15" customHeight="1" x14ac:dyDescent="0.25">
      <c r="A18">
        <f>'Customers Raw data'!A18</f>
        <v>1017</v>
      </c>
      <c r="B18" t="str">
        <f>'Customers Raw data'!B18</f>
        <v>2024-05-06</v>
      </c>
      <c r="C18" t="str">
        <f>'Customers Raw data'!C18</f>
        <v>Pro</v>
      </c>
      <c r="D18">
        <f>'Customers Raw data'!D18</f>
        <v>200</v>
      </c>
      <c r="E18">
        <f>'Customers Raw data'!E18</f>
        <v>100</v>
      </c>
      <c r="F18">
        <f>'Customers Raw data'!F18</f>
        <v>0</v>
      </c>
      <c r="G18">
        <f>IF('Customers Raw data'!F18&lt;&gt;"",1,0)</f>
        <v>0</v>
      </c>
      <c r="H18" t="str">
        <f>IF('Customers Raw data'!F18&lt;&gt;"",YEAR(DATEVALUE('Customers Raw data'!F18)),"")</f>
        <v/>
      </c>
      <c r="I18" t="str">
        <f>IF('Customers Raw data'!F18&lt;&gt;"",MONTH(DATEVALUE('Customers Raw data'!F18)),"")</f>
        <v/>
      </c>
      <c r="J18">
        <f>YEAR(DATEVALUE('Customers Raw data'!B18))</f>
        <v>2024</v>
      </c>
      <c r="K18">
        <f>MONTH(DATEVALUE('Customers Raw data'!B18))</f>
        <v>5</v>
      </c>
      <c r="L18">
        <f ca="1">IF('Customers Raw data'!F18&lt;&gt;"",DATEDIF(DATEVALUE('Customers Raw data'!B18),DATEVALUE('Customers Raw data'!F18),"M"),DATEDIF(DATEVALUE('Customers Raw data'!B18),TODAY(),"M"))</f>
        <v>23</v>
      </c>
      <c r="M18">
        <f t="shared" ca="1" si="0"/>
        <v>4600</v>
      </c>
      <c r="N18">
        <f t="shared" si="1"/>
        <v>2</v>
      </c>
      <c r="O18">
        <f t="shared" ca="1" si="2"/>
        <v>0</v>
      </c>
      <c r="P18">
        <f t="shared" si="3"/>
        <v>0</v>
      </c>
      <c r="Q18" t="e">
        <f t="shared" si="4"/>
        <v>#VALUE!</v>
      </c>
    </row>
    <row r="19" spans="1:17" ht="15" customHeight="1" x14ac:dyDescent="0.25">
      <c r="A19">
        <f>'Customers Raw data'!A19</f>
        <v>1018</v>
      </c>
      <c r="B19" t="str">
        <f>'Customers Raw data'!B19</f>
        <v>2024-03-31</v>
      </c>
      <c r="C19" t="str">
        <f>'Customers Raw data'!C19</f>
        <v>Pro</v>
      </c>
      <c r="D19">
        <f>'Customers Raw data'!D19</f>
        <v>200</v>
      </c>
      <c r="E19">
        <f>'Customers Raw data'!E19</f>
        <v>100</v>
      </c>
      <c r="F19">
        <f>'Customers Raw data'!F19</f>
        <v>0</v>
      </c>
      <c r="G19">
        <f>IF('Customers Raw data'!F19&lt;&gt;"",1,0)</f>
        <v>0</v>
      </c>
      <c r="H19" t="str">
        <f>IF('Customers Raw data'!F19&lt;&gt;"",YEAR(DATEVALUE('Customers Raw data'!F19)),"")</f>
        <v/>
      </c>
      <c r="I19" t="str">
        <f>IF('Customers Raw data'!F19&lt;&gt;"",MONTH(DATEVALUE('Customers Raw data'!F19)),"")</f>
        <v/>
      </c>
      <c r="J19">
        <f>YEAR(DATEVALUE('Customers Raw data'!B19))</f>
        <v>2024</v>
      </c>
      <c r="K19">
        <f>MONTH(DATEVALUE('Customers Raw data'!B19))</f>
        <v>3</v>
      </c>
      <c r="L19">
        <f ca="1">IF('Customers Raw data'!F19&lt;&gt;"",DATEDIF(DATEVALUE('Customers Raw data'!B19),DATEVALUE('Customers Raw data'!F19),"M"),DATEDIF(DATEVALUE('Customers Raw data'!B19),TODAY(),"M"))</f>
        <v>24</v>
      </c>
      <c r="M19">
        <f t="shared" ca="1" si="0"/>
        <v>4800</v>
      </c>
      <c r="N19">
        <f t="shared" si="1"/>
        <v>2</v>
      </c>
      <c r="O19">
        <f t="shared" ca="1" si="2"/>
        <v>0</v>
      </c>
      <c r="P19">
        <f t="shared" si="3"/>
        <v>0</v>
      </c>
      <c r="Q19" t="e">
        <f t="shared" si="4"/>
        <v>#VALUE!</v>
      </c>
    </row>
    <row r="20" spans="1:17" ht="15" customHeight="1" x14ac:dyDescent="0.25">
      <c r="A20">
        <f>'Customers Raw data'!A20</f>
        <v>1019</v>
      </c>
      <c r="B20" t="str">
        <f>'Customers Raw data'!B20</f>
        <v>2024-06-29</v>
      </c>
      <c r="C20" t="str">
        <f>'Customers Raw data'!C20</f>
        <v>Basic</v>
      </c>
      <c r="D20">
        <f>'Customers Raw data'!D20</f>
        <v>50</v>
      </c>
      <c r="E20">
        <f>'Customers Raw data'!E20</f>
        <v>30</v>
      </c>
      <c r="F20">
        <f>'Customers Raw data'!F20</f>
        <v>0</v>
      </c>
      <c r="G20">
        <f>IF('Customers Raw data'!F20&lt;&gt;"",1,0)</f>
        <v>0</v>
      </c>
      <c r="H20" t="str">
        <f>IF('Customers Raw data'!F20&lt;&gt;"",YEAR(DATEVALUE('Customers Raw data'!F20)),"")</f>
        <v/>
      </c>
      <c r="I20" t="str">
        <f>IF('Customers Raw data'!F20&lt;&gt;"",MONTH(DATEVALUE('Customers Raw data'!F20)),"")</f>
        <v/>
      </c>
      <c r="J20">
        <f>YEAR(DATEVALUE('Customers Raw data'!B20))</f>
        <v>2024</v>
      </c>
      <c r="K20">
        <f>MONTH(DATEVALUE('Customers Raw data'!B20))</f>
        <v>6</v>
      </c>
      <c r="L20">
        <f ca="1">IF('Customers Raw data'!F20&lt;&gt;"",DATEDIF(DATEVALUE('Customers Raw data'!B20),DATEVALUE('Customers Raw data'!F20),"M"),DATEDIF(DATEVALUE('Customers Raw data'!B20),TODAY(),"M"))</f>
        <v>21</v>
      </c>
      <c r="M20">
        <f t="shared" ca="1" si="0"/>
        <v>1050</v>
      </c>
      <c r="N20">
        <f t="shared" si="1"/>
        <v>1</v>
      </c>
      <c r="O20">
        <f t="shared" ca="1" si="2"/>
        <v>0</v>
      </c>
      <c r="P20">
        <f t="shared" si="3"/>
        <v>0</v>
      </c>
      <c r="Q20" t="e">
        <f t="shared" si="4"/>
        <v>#VALUE!</v>
      </c>
    </row>
    <row r="21" spans="1:17" ht="15" customHeight="1" x14ac:dyDescent="0.25">
      <c r="A21">
        <f>'Customers Raw data'!A21</f>
        <v>1020</v>
      </c>
      <c r="B21" t="str">
        <f>'Customers Raw data'!B21</f>
        <v>2024-10-13</v>
      </c>
      <c r="C21" t="str">
        <f>'Customers Raw data'!C21</f>
        <v>Pro</v>
      </c>
      <c r="D21">
        <f>'Customers Raw data'!D21</f>
        <v>200</v>
      </c>
      <c r="E21">
        <f>'Customers Raw data'!E21</f>
        <v>100</v>
      </c>
      <c r="F21" t="str">
        <f>'Customers Raw data'!F21</f>
        <v>2025-05-08</v>
      </c>
      <c r="G21">
        <f>IF('Customers Raw data'!F21&lt;&gt;"",1,0)</f>
        <v>1</v>
      </c>
      <c r="H21">
        <f>IF('Customers Raw data'!F21&lt;&gt;"",YEAR(DATEVALUE('Customers Raw data'!F21)),"")</f>
        <v>2025</v>
      </c>
      <c r="I21">
        <f>IF('Customers Raw data'!F21&lt;&gt;"",MONTH(DATEVALUE('Customers Raw data'!F21)),"")</f>
        <v>5</v>
      </c>
      <c r="J21">
        <f>YEAR(DATEVALUE('Customers Raw data'!B21))</f>
        <v>2024</v>
      </c>
      <c r="K21">
        <f>MONTH(DATEVALUE('Customers Raw data'!B21))</f>
        <v>10</v>
      </c>
      <c r="L21">
        <f ca="1">IF('Customers Raw data'!F21&lt;&gt;"",DATEDIF(DATEVALUE('Customers Raw data'!B21),DATEVALUE('Customers Raw data'!F21),"M"),DATEDIF(DATEVALUE('Customers Raw data'!B21),TODAY(),"M"))</f>
        <v>6</v>
      </c>
      <c r="M21">
        <f t="shared" ca="1" si="0"/>
        <v>1200</v>
      </c>
      <c r="N21">
        <f t="shared" si="1"/>
        <v>2</v>
      </c>
      <c r="O21">
        <f t="shared" ca="1" si="2"/>
        <v>0</v>
      </c>
      <c r="P21">
        <f t="shared" si="3"/>
        <v>200</v>
      </c>
      <c r="Q21" t="str">
        <f t="shared" si="4"/>
        <v>2025-05</v>
      </c>
    </row>
    <row r="22" spans="1:17" ht="15" customHeight="1" x14ac:dyDescent="0.25">
      <c r="A22">
        <f>'Customers Raw data'!A22</f>
        <v>1021</v>
      </c>
      <c r="B22" t="str">
        <f>'Customers Raw data'!B22</f>
        <v>2024-04-29</v>
      </c>
      <c r="C22" t="str">
        <f>'Customers Raw data'!C22</f>
        <v>Pro</v>
      </c>
      <c r="D22">
        <f>'Customers Raw data'!D22</f>
        <v>200</v>
      </c>
      <c r="E22">
        <f>'Customers Raw data'!E22</f>
        <v>100</v>
      </c>
      <c r="F22" t="str">
        <f>'Customers Raw data'!F22</f>
        <v>2024-06-21</v>
      </c>
      <c r="G22">
        <f>IF('Customers Raw data'!F22&lt;&gt;"",1,0)</f>
        <v>1</v>
      </c>
      <c r="H22">
        <f>IF('Customers Raw data'!F22&lt;&gt;"",YEAR(DATEVALUE('Customers Raw data'!F22)),"")</f>
        <v>2024</v>
      </c>
      <c r="I22">
        <f>IF('Customers Raw data'!F22&lt;&gt;"",MONTH(DATEVALUE('Customers Raw data'!F22)),"")</f>
        <v>6</v>
      </c>
      <c r="J22">
        <f>YEAR(DATEVALUE('Customers Raw data'!B22))</f>
        <v>2024</v>
      </c>
      <c r="K22">
        <f>MONTH(DATEVALUE('Customers Raw data'!B22))</f>
        <v>4</v>
      </c>
      <c r="L22">
        <f ca="1">IF('Customers Raw data'!F22&lt;&gt;"",DATEDIF(DATEVALUE('Customers Raw data'!B22),DATEVALUE('Customers Raw data'!F22),"M"),DATEDIF(DATEVALUE('Customers Raw data'!B22),TODAY(),"M"))</f>
        <v>1</v>
      </c>
      <c r="M22">
        <f t="shared" ca="1" si="0"/>
        <v>200</v>
      </c>
      <c r="N22">
        <f t="shared" si="1"/>
        <v>2</v>
      </c>
      <c r="O22">
        <f t="shared" ca="1" si="2"/>
        <v>1</v>
      </c>
      <c r="P22">
        <f t="shared" si="3"/>
        <v>200</v>
      </c>
      <c r="Q22" t="str">
        <f t="shared" si="4"/>
        <v>2024-06</v>
      </c>
    </row>
    <row r="23" spans="1:17" ht="15" customHeight="1" x14ac:dyDescent="0.25">
      <c r="A23">
        <f>'Customers Raw data'!A23</f>
        <v>1022</v>
      </c>
      <c r="B23" t="str">
        <f>'Customers Raw data'!B23</f>
        <v>2024-03-22</v>
      </c>
      <c r="C23" t="str">
        <f>'Customers Raw data'!C23</f>
        <v>Enterprise</v>
      </c>
      <c r="D23">
        <f>'Customers Raw data'!D23</f>
        <v>500</v>
      </c>
      <c r="E23">
        <f>'Customers Raw data'!E23</f>
        <v>200</v>
      </c>
      <c r="F23">
        <f>'Customers Raw data'!F23</f>
        <v>0</v>
      </c>
      <c r="G23">
        <f>IF('Customers Raw data'!F23&lt;&gt;"",1,0)</f>
        <v>0</v>
      </c>
      <c r="H23" t="str">
        <f>IF('Customers Raw data'!F23&lt;&gt;"",YEAR(DATEVALUE('Customers Raw data'!F23)),"")</f>
        <v/>
      </c>
      <c r="I23" t="str">
        <f>IF('Customers Raw data'!F23&lt;&gt;"",MONTH(DATEVALUE('Customers Raw data'!F23)),"")</f>
        <v/>
      </c>
      <c r="J23">
        <f>YEAR(DATEVALUE('Customers Raw data'!B23))</f>
        <v>2024</v>
      </c>
      <c r="K23">
        <f>MONTH(DATEVALUE('Customers Raw data'!B23))</f>
        <v>3</v>
      </c>
      <c r="L23">
        <f ca="1">IF('Customers Raw data'!F23&lt;&gt;"",DATEDIF(DATEVALUE('Customers Raw data'!B23),DATEVALUE('Customers Raw data'!F23),"M"),DATEDIF(DATEVALUE('Customers Raw data'!B23),TODAY(),"M"))</f>
        <v>24</v>
      </c>
      <c r="M23">
        <f t="shared" ca="1" si="0"/>
        <v>12000</v>
      </c>
      <c r="N23">
        <f t="shared" si="1"/>
        <v>3</v>
      </c>
      <c r="O23">
        <f t="shared" ca="1" si="2"/>
        <v>0</v>
      </c>
      <c r="P23">
        <f t="shared" si="3"/>
        <v>0</v>
      </c>
      <c r="Q23" t="e">
        <f t="shared" si="4"/>
        <v>#VALUE!</v>
      </c>
    </row>
    <row r="24" spans="1:17" ht="15" customHeight="1" x14ac:dyDescent="0.25">
      <c r="A24">
        <f>'Customers Raw data'!A24</f>
        <v>1023</v>
      </c>
      <c r="B24" t="str">
        <f>'Customers Raw data'!B24</f>
        <v>2024-12-15</v>
      </c>
      <c r="C24" t="str">
        <f>'Customers Raw data'!C24</f>
        <v>Basic</v>
      </c>
      <c r="D24">
        <f>'Customers Raw data'!D24</f>
        <v>50</v>
      </c>
      <c r="E24">
        <f>'Customers Raw data'!E24</f>
        <v>30</v>
      </c>
      <c r="F24" t="str">
        <f>'Customers Raw data'!F24</f>
        <v>2025-06-23</v>
      </c>
      <c r="G24">
        <f>IF('Customers Raw data'!F24&lt;&gt;"",1,0)</f>
        <v>1</v>
      </c>
      <c r="H24">
        <f>IF('Customers Raw data'!F24&lt;&gt;"",YEAR(DATEVALUE('Customers Raw data'!F24)),"")</f>
        <v>2025</v>
      </c>
      <c r="I24">
        <f>IF('Customers Raw data'!F24&lt;&gt;"",MONTH(DATEVALUE('Customers Raw data'!F24)),"")</f>
        <v>6</v>
      </c>
      <c r="J24">
        <f>YEAR(DATEVALUE('Customers Raw data'!B24))</f>
        <v>2024</v>
      </c>
      <c r="K24">
        <f>MONTH(DATEVALUE('Customers Raw data'!B24))</f>
        <v>12</v>
      </c>
      <c r="L24">
        <f ca="1">IF('Customers Raw data'!F24&lt;&gt;"",DATEDIF(DATEVALUE('Customers Raw data'!B24),DATEVALUE('Customers Raw data'!F24),"M"),DATEDIF(DATEVALUE('Customers Raw data'!B24),TODAY(),"M"))</f>
        <v>6</v>
      </c>
      <c r="M24">
        <f t="shared" ca="1" si="0"/>
        <v>300</v>
      </c>
      <c r="N24">
        <f t="shared" si="1"/>
        <v>1</v>
      </c>
      <c r="O24">
        <f t="shared" ca="1" si="2"/>
        <v>0</v>
      </c>
      <c r="P24">
        <f t="shared" si="3"/>
        <v>50</v>
      </c>
      <c r="Q24" t="str">
        <f t="shared" si="4"/>
        <v>2025-06</v>
      </c>
    </row>
    <row r="25" spans="1:17" ht="15" customHeight="1" x14ac:dyDescent="0.25">
      <c r="A25">
        <f>'Customers Raw data'!A25</f>
        <v>1024</v>
      </c>
      <c r="B25" t="str">
        <f>'Customers Raw data'!B25</f>
        <v>2024-10-22</v>
      </c>
      <c r="C25" t="str">
        <f>'Customers Raw data'!C25</f>
        <v>Basic</v>
      </c>
      <c r="D25">
        <f>'Customers Raw data'!D25</f>
        <v>50</v>
      </c>
      <c r="E25">
        <f>'Customers Raw data'!E25</f>
        <v>30</v>
      </c>
      <c r="F25">
        <f>'Customers Raw data'!F25</f>
        <v>0</v>
      </c>
      <c r="G25">
        <f>IF('Customers Raw data'!F25&lt;&gt;"",1,0)</f>
        <v>0</v>
      </c>
      <c r="H25" t="str">
        <f>IF('Customers Raw data'!F25&lt;&gt;"",YEAR(DATEVALUE('Customers Raw data'!F25)),"")</f>
        <v/>
      </c>
      <c r="I25" t="str">
        <f>IF('Customers Raw data'!F25&lt;&gt;"",MONTH(DATEVALUE('Customers Raw data'!F25)),"")</f>
        <v/>
      </c>
      <c r="J25">
        <f>YEAR(DATEVALUE('Customers Raw data'!B25))</f>
        <v>2024</v>
      </c>
      <c r="K25">
        <f>MONTH(DATEVALUE('Customers Raw data'!B25))</f>
        <v>10</v>
      </c>
      <c r="L25">
        <f ca="1">IF('Customers Raw data'!F25&lt;&gt;"",DATEDIF(DATEVALUE('Customers Raw data'!B25),DATEVALUE('Customers Raw data'!F25),"M"),DATEDIF(DATEVALUE('Customers Raw data'!B25),TODAY(),"M"))</f>
        <v>17</v>
      </c>
      <c r="M25">
        <f t="shared" ca="1" si="0"/>
        <v>850</v>
      </c>
      <c r="N25">
        <f t="shared" si="1"/>
        <v>1</v>
      </c>
      <c r="O25">
        <f t="shared" ca="1" si="2"/>
        <v>0</v>
      </c>
      <c r="P25">
        <f t="shared" si="3"/>
        <v>0</v>
      </c>
      <c r="Q25" t="e">
        <f t="shared" si="4"/>
        <v>#VALUE!</v>
      </c>
    </row>
    <row r="26" spans="1:17" ht="15" customHeight="1" x14ac:dyDescent="0.25">
      <c r="A26">
        <f>'Customers Raw data'!A26</f>
        <v>1025</v>
      </c>
      <c r="B26" t="str">
        <f>'Customers Raw data'!B26</f>
        <v>2024-03-13</v>
      </c>
      <c r="C26" t="str">
        <f>'Customers Raw data'!C26</f>
        <v>Enterprise</v>
      </c>
      <c r="D26">
        <f>'Customers Raw data'!D26</f>
        <v>500</v>
      </c>
      <c r="E26">
        <f>'Customers Raw data'!E26</f>
        <v>200</v>
      </c>
      <c r="F26">
        <f>'Customers Raw data'!F26</f>
        <v>0</v>
      </c>
      <c r="G26">
        <f>IF('Customers Raw data'!F26&lt;&gt;"",1,0)</f>
        <v>0</v>
      </c>
      <c r="H26" t="str">
        <f>IF('Customers Raw data'!F26&lt;&gt;"",YEAR(DATEVALUE('Customers Raw data'!F26)),"")</f>
        <v/>
      </c>
      <c r="I26" t="str">
        <f>IF('Customers Raw data'!F26&lt;&gt;"",MONTH(DATEVALUE('Customers Raw data'!F26)),"")</f>
        <v/>
      </c>
      <c r="J26">
        <f>YEAR(DATEVALUE('Customers Raw data'!B26))</f>
        <v>2024</v>
      </c>
      <c r="K26">
        <f>MONTH(DATEVALUE('Customers Raw data'!B26))</f>
        <v>3</v>
      </c>
      <c r="L26">
        <f ca="1">IF('Customers Raw data'!F26&lt;&gt;"",DATEDIF(DATEVALUE('Customers Raw data'!B26),DATEVALUE('Customers Raw data'!F26),"M"),DATEDIF(DATEVALUE('Customers Raw data'!B26),TODAY(),"M"))</f>
        <v>24</v>
      </c>
      <c r="M26">
        <f t="shared" ca="1" si="0"/>
        <v>12000</v>
      </c>
      <c r="N26">
        <f t="shared" si="1"/>
        <v>3</v>
      </c>
      <c r="O26">
        <f t="shared" ca="1" si="2"/>
        <v>0</v>
      </c>
      <c r="P26">
        <f t="shared" si="3"/>
        <v>0</v>
      </c>
      <c r="Q26" t="e">
        <f t="shared" si="4"/>
        <v>#VALUE!</v>
      </c>
    </row>
    <row r="27" spans="1:17" ht="15" customHeight="1" x14ac:dyDescent="0.25">
      <c r="A27">
        <f>'Customers Raw data'!A27</f>
        <v>1026</v>
      </c>
      <c r="B27" t="str">
        <f>'Customers Raw data'!B27</f>
        <v>2025-03-27</v>
      </c>
      <c r="C27" t="str">
        <f>'Customers Raw data'!C27</f>
        <v>Pro</v>
      </c>
      <c r="D27">
        <f>'Customers Raw data'!D27</f>
        <v>200</v>
      </c>
      <c r="E27">
        <f>'Customers Raw data'!E27</f>
        <v>100</v>
      </c>
      <c r="F27" t="str">
        <f>'Customers Raw data'!F27</f>
        <v>2025-06-10</v>
      </c>
      <c r="G27">
        <f>IF('Customers Raw data'!F27&lt;&gt;"",1,0)</f>
        <v>1</v>
      </c>
      <c r="H27">
        <f>IF('Customers Raw data'!F27&lt;&gt;"",YEAR(DATEVALUE('Customers Raw data'!F27)),"")</f>
        <v>2025</v>
      </c>
      <c r="I27">
        <f>IF('Customers Raw data'!F27&lt;&gt;"",MONTH(DATEVALUE('Customers Raw data'!F27)),"")</f>
        <v>6</v>
      </c>
      <c r="J27">
        <f>YEAR(DATEVALUE('Customers Raw data'!B27))</f>
        <v>2025</v>
      </c>
      <c r="K27">
        <f>MONTH(DATEVALUE('Customers Raw data'!B27))</f>
        <v>3</v>
      </c>
      <c r="L27">
        <f ca="1">IF('Customers Raw data'!F27&lt;&gt;"",DATEDIF(DATEVALUE('Customers Raw data'!B27),DATEVALUE('Customers Raw data'!F27),"M"),DATEDIF(DATEVALUE('Customers Raw data'!B27),TODAY(),"M"))</f>
        <v>2</v>
      </c>
      <c r="M27">
        <f t="shared" ca="1" si="0"/>
        <v>400</v>
      </c>
      <c r="N27">
        <f t="shared" si="1"/>
        <v>2</v>
      </c>
      <c r="O27">
        <f t="shared" ca="1" si="2"/>
        <v>1</v>
      </c>
      <c r="P27">
        <f t="shared" si="3"/>
        <v>200</v>
      </c>
      <c r="Q27" t="str">
        <f t="shared" si="4"/>
        <v>2025-06</v>
      </c>
    </row>
    <row r="28" spans="1:17" ht="15" customHeight="1" x14ac:dyDescent="0.25">
      <c r="A28">
        <f>'Customers Raw data'!A28</f>
        <v>1027</v>
      </c>
      <c r="B28" t="str">
        <f>'Customers Raw data'!B28</f>
        <v>2024-06-12</v>
      </c>
      <c r="C28" t="str">
        <f>'Customers Raw data'!C28</f>
        <v>Pro</v>
      </c>
      <c r="D28">
        <f>'Customers Raw data'!D28</f>
        <v>200</v>
      </c>
      <c r="E28">
        <f>'Customers Raw data'!E28</f>
        <v>100</v>
      </c>
      <c r="F28">
        <f>'Customers Raw data'!F28</f>
        <v>0</v>
      </c>
      <c r="G28">
        <f>IF('Customers Raw data'!F28&lt;&gt;"",1,0)</f>
        <v>0</v>
      </c>
      <c r="H28" t="str">
        <f>IF('Customers Raw data'!F28&lt;&gt;"",YEAR(DATEVALUE('Customers Raw data'!F28)),"")</f>
        <v/>
      </c>
      <c r="I28" t="str">
        <f>IF('Customers Raw data'!F28&lt;&gt;"",MONTH(DATEVALUE('Customers Raw data'!F28)),"")</f>
        <v/>
      </c>
      <c r="J28">
        <f>YEAR(DATEVALUE('Customers Raw data'!B28))</f>
        <v>2024</v>
      </c>
      <c r="K28">
        <f>MONTH(DATEVALUE('Customers Raw data'!B28))</f>
        <v>6</v>
      </c>
      <c r="L28">
        <f ca="1">IF('Customers Raw data'!F28&lt;&gt;"",DATEDIF(DATEVALUE('Customers Raw data'!B28),DATEVALUE('Customers Raw data'!F28),"M"),DATEDIF(DATEVALUE('Customers Raw data'!B28),TODAY(),"M"))</f>
        <v>21</v>
      </c>
      <c r="M28">
        <f t="shared" ca="1" si="0"/>
        <v>4200</v>
      </c>
      <c r="N28">
        <f t="shared" si="1"/>
        <v>2</v>
      </c>
      <c r="O28">
        <f t="shared" ca="1" si="2"/>
        <v>0</v>
      </c>
      <c r="P28">
        <f t="shared" si="3"/>
        <v>0</v>
      </c>
      <c r="Q28" t="e">
        <f t="shared" si="4"/>
        <v>#VALUE!</v>
      </c>
    </row>
    <row r="29" spans="1:17" ht="15" customHeight="1" x14ac:dyDescent="0.25">
      <c r="A29">
        <f>'Customers Raw data'!A29</f>
        <v>1028</v>
      </c>
      <c r="B29" t="str">
        <f>'Customers Raw data'!B29</f>
        <v>2025-01-13</v>
      </c>
      <c r="C29" t="str">
        <f>'Customers Raw data'!C29</f>
        <v>Enterprise</v>
      </c>
      <c r="D29">
        <f>'Customers Raw data'!D29</f>
        <v>500</v>
      </c>
      <c r="E29">
        <f>'Customers Raw data'!E29</f>
        <v>200</v>
      </c>
      <c r="F29">
        <f>'Customers Raw data'!F29</f>
        <v>0</v>
      </c>
      <c r="G29">
        <f>IF('Customers Raw data'!F29&lt;&gt;"",1,0)</f>
        <v>0</v>
      </c>
      <c r="H29" t="str">
        <f>IF('Customers Raw data'!F29&lt;&gt;"",YEAR(DATEVALUE('Customers Raw data'!F29)),"")</f>
        <v/>
      </c>
      <c r="I29" t="str">
        <f>IF('Customers Raw data'!F29&lt;&gt;"",MONTH(DATEVALUE('Customers Raw data'!F29)),"")</f>
        <v/>
      </c>
      <c r="J29">
        <f>YEAR(DATEVALUE('Customers Raw data'!B29))</f>
        <v>2025</v>
      </c>
      <c r="K29">
        <f>MONTH(DATEVALUE('Customers Raw data'!B29))</f>
        <v>1</v>
      </c>
      <c r="L29">
        <f ca="1">IF('Customers Raw data'!F29&lt;&gt;"",DATEDIF(DATEVALUE('Customers Raw data'!B29),DATEVALUE('Customers Raw data'!F29),"M"),DATEDIF(DATEVALUE('Customers Raw data'!B29),TODAY(),"M"))</f>
        <v>14</v>
      </c>
      <c r="M29">
        <f t="shared" ca="1" si="0"/>
        <v>7000</v>
      </c>
      <c r="N29">
        <f t="shared" si="1"/>
        <v>3</v>
      </c>
      <c r="O29">
        <f t="shared" ca="1" si="2"/>
        <v>0</v>
      </c>
      <c r="P29">
        <f t="shared" si="3"/>
        <v>0</v>
      </c>
      <c r="Q29" t="e">
        <f t="shared" si="4"/>
        <v>#VALUE!</v>
      </c>
    </row>
    <row r="30" spans="1:17" ht="15" customHeight="1" x14ac:dyDescent="0.25">
      <c r="A30">
        <f>'Customers Raw data'!A30</f>
        <v>1029</v>
      </c>
      <c r="B30" t="str">
        <f>'Customers Raw data'!B30</f>
        <v>2025-06-25</v>
      </c>
      <c r="C30" t="str">
        <f>'Customers Raw data'!C30</f>
        <v>Enterprise</v>
      </c>
      <c r="D30">
        <f>'Customers Raw data'!D30</f>
        <v>500</v>
      </c>
      <c r="E30">
        <f>'Customers Raw data'!E30</f>
        <v>200</v>
      </c>
      <c r="F30">
        <f>'Customers Raw data'!F30</f>
        <v>0</v>
      </c>
      <c r="G30">
        <f>IF('Customers Raw data'!F30&lt;&gt;"",1,0)</f>
        <v>0</v>
      </c>
      <c r="H30" t="str">
        <f>IF('Customers Raw data'!F30&lt;&gt;"",YEAR(DATEVALUE('Customers Raw data'!F30)),"")</f>
        <v/>
      </c>
      <c r="I30" t="str">
        <f>IF('Customers Raw data'!F30&lt;&gt;"",MONTH(DATEVALUE('Customers Raw data'!F30)),"")</f>
        <v/>
      </c>
      <c r="J30">
        <f>YEAR(DATEVALUE('Customers Raw data'!B30))</f>
        <v>2025</v>
      </c>
      <c r="K30">
        <f>MONTH(DATEVALUE('Customers Raw data'!B30))</f>
        <v>6</v>
      </c>
      <c r="L30">
        <f ca="1">IF('Customers Raw data'!F30&lt;&gt;"",DATEDIF(DATEVALUE('Customers Raw data'!B30),DATEVALUE('Customers Raw data'!F30),"M"),DATEDIF(DATEVALUE('Customers Raw data'!B30),TODAY(),"M"))</f>
        <v>9</v>
      </c>
      <c r="M30">
        <f t="shared" ca="1" si="0"/>
        <v>4500</v>
      </c>
      <c r="N30">
        <f t="shared" si="1"/>
        <v>3</v>
      </c>
      <c r="O30">
        <f t="shared" ca="1" si="2"/>
        <v>0</v>
      </c>
      <c r="P30">
        <f t="shared" si="3"/>
        <v>0</v>
      </c>
      <c r="Q30" t="e">
        <f t="shared" si="4"/>
        <v>#VALUE!</v>
      </c>
    </row>
    <row r="31" spans="1:17" ht="15" customHeight="1" x14ac:dyDescent="0.25">
      <c r="A31">
        <f>'Customers Raw data'!A31</f>
        <v>1030</v>
      </c>
      <c r="B31" t="str">
        <f>'Customers Raw data'!B31</f>
        <v>2024-11-18</v>
      </c>
      <c r="C31" t="str">
        <f>'Customers Raw data'!C31</f>
        <v>Enterprise</v>
      </c>
      <c r="D31">
        <f>'Customers Raw data'!D31</f>
        <v>500</v>
      </c>
      <c r="E31">
        <f>'Customers Raw data'!E31</f>
        <v>200</v>
      </c>
      <c r="F31">
        <f>'Customers Raw data'!F31</f>
        <v>0</v>
      </c>
      <c r="G31">
        <f>IF('Customers Raw data'!F31&lt;&gt;"",1,0)</f>
        <v>0</v>
      </c>
      <c r="H31" t="str">
        <f>IF('Customers Raw data'!F31&lt;&gt;"",YEAR(DATEVALUE('Customers Raw data'!F31)),"")</f>
        <v/>
      </c>
      <c r="I31" t="str">
        <f>IF('Customers Raw data'!F31&lt;&gt;"",MONTH(DATEVALUE('Customers Raw data'!F31)),"")</f>
        <v/>
      </c>
      <c r="J31">
        <f>YEAR(DATEVALUE('Customers Raw data'!B31))</f>
        <v>2024</v>
      </c>
      <c r="K31">
        <f>MONTH(DATEVALUE('Customers Raw data'!B31))</f>
        <v>11</v>
      </c>
      <c r="L31">
        <f ca="1">IF('Customers Raw data'!F31&lt;&gt;"",DATEDIF(DATEVALUE('Customers Raw data'!B31),DATEVALUE('Customers Raw data'!F31),"M"),DATEDIF(DATEVALUE('Customers Raw data'!B31),TODAY(),"M"))</f>
        <v>16</v>
      </c>
      <c r="M31">
        <f t="shared" ca="1" si="0"/>
        <v>8000</v>
      </c>
      <c r="N31">
        <f t="shared" si="1"/>
        <v>3</v>
      </c>
      <c r="O31">
        <f t="shared" ca="1" si="2"/>
        <v>0</v>
      </c>
      <c r="P31">
        <f t="shared" si="3"/>
        <v>0</v>
      </c>
      <c r="Q31" t="e">
        <f t="shared" si="4"/>
        <v>#VALUE!</v>
      </c>
    </row>
    <row r="32" spans="1:17" ht="15" customHeight="1" x14ac:dyDescent="0.25">
      <c r="A32">
        <f>'Customers Raw data'!A32</f>
        <v>1031</v>
      </c>
      <c r="B32" t="str">
        <f>'Customers Raw data'!B32</f>
        <v>2024-04-08</v>
      </c>
      <c r="C32" t="str">
        <f>'Customers Raw data'!C32</f>
        <v>Pro</v>
      </c>
      <c r="D32">
        <f>'Customers Raw data'!D32</f>
        <v>200</v>
      </c>
      <c r="E32">
        <f>'Customers Raw data'!E32</f>
        <v>100</v>
      </c>
      <c r="F32" t="str">
        <f>'Customers Raw data'!F32</f>
        <v>2024-12-14</v>
      </c>
      <c r="G32">
        <f>IF('Customers Raw data'!F32&lt;&gt;"",1,0)</f>
        <v>1</v>
      </c>
      <c r="H32">
        <f>IF('Customers Raw data'!F32&lt;&gt;"",YEAR(DATEVALUE('Customers Raw data'!F32)),"")</f>
        <v>2024</v>
      </c>
      <c r="I32">
        <f>IF('Customers Raw data'!F32&lt;&gt;"",MONTH(DATEVALUE('Customers Raw data'!F32)),"")</f>
        <v>12</v>
      </c>
      <c r="J32">
        <f>YEAR(DATEVALUE('Customers Raw data'!B32))</f>
        <v>2024</v>
      </c>
      <c r="K32">
        <f>MONTH(DATEVALUE('Customers Raw data'!B32))</f>
        <v>4</v>
      </c>
      <c r="L32">
        <f ca="1">IF('Customers Raw data'!F32&lt;&gt;"",DATEDIF(DATEVALUE('Customers Raw data'!B32),DATEVALUE('Customers Raw data'!F32),"M"),DATEDIF(DATEVALUE('Customers Raw data'!B32),TODAY(),"M"))</f>
        <v>8</v>
      </c>
      <c r="M32">
        <f t="shared" ca="1" si="0"/>
        <v>1600</v>
      </c>
      <c r="N32">
        <f t="shared" si="1"/>
        <v>2</v>
      </c>
      <c r="O32">
        <f t="shared" ca="1" si="2"/>
        <v>0</v>
      </c>
      <c r="P32">
        <f t="shared" si="3"/>
        <v>200</v>
      </c>
      <c r="Q32" t="str">
        <f t="shared" si="4"/>
        <v>2024-12</v>
      </c>
    </row>
    <row r="33" spans="1:17" ht="15" customHeight="1" x14ac:dyDescent="0.25">
      <c r="A33">
        <f>'Customers Raw data'!A33</f>
        <v>1032</v>
      </c>
      <c r="B33" t="str">
        <f>'Customers Raw data'!B33</f>
        <v>2025-02-04</v>
      </c>
      <c r="C33" t="str">
        <f>'Customers Raw data'!C33</f>
        <v>Pro</v>
      </c>
      <c r="D33">
        <f>'Customers Raw data'!D33</f>
        <v>200</v>
      </c>
      <c r="E33">
        <f>'Customers Raw data'!E33</f>
        <v>100</v>
      </c>
      <c r="F33">
        <f>'Customers Raw data'!F33</f>
        <v>0</v>
      </c>
      <c r="G33">
        <f>IF('Customers Raw data'!F33&lt;&gt;"",1,0)</f>
        <v>0</v>
      </c>
      <c r="H33" t="str">
        <f>IF('Customers Raw data'!F33&lt;&gt;"",YEAR(DATEVALUE('Customers Raw data'!F33)),"")</f>
        <v/>
      </c>
      <c r="I33" t="str">
        <f>IF('Customers Raw data'!F33&lt;&gt;"",MONTH(DATEVALUE('Customers Raw data'!F33)),"")</f>
        <v/>
      </c>
      <c r="J33">
        <f>YEAR(DATEVALUE('Customers Raw data'!B33))</f>
        <v>2025</v>
      </c>
      <c r="K33">
        <f>MONTH(DATEVALUE('Customers Raw data'!B33))</f>
        <v>2</v>
      </c>
      <c r="L33">
        <f ca="1">IF('Customers Raw data'!F33&lt;&gt;"",DATEDIF(DATEVALUE('Customers Raw data'!B33),DATEVALUE('Customers Raw data'!F33),"M"),DATEDIF(DATEVALUE('Customers Raw data'!B33),TODAY(),"M"))</f>
        <v>14</v>
      </c>
      <c r="M33">
        <f t="shared" ca="1" si="0"/>
        <v>2800</v>
      </c>
      <c r="N33">
        <f t="shared" si="1"/>
        <v>2</v>
      </c>
      <c r="O33">
        <f t="shared" ca="1" si="2"/>
        <v>0</v>
      </c>
      <c r="P33">
        <f t="shared" si="3"/>
        <v>0</v>
      </c>
      <c r="Q33" t="e">
        <f t="shared" si="4"/>
        <v>#VALUE!</v>
      </c>
    </row>
    <row r="34" spans="1:17" ht="15" customHeight="1" x14ac:dyDescent="0.25">
      <c r="A34">
        <f>'Customers Raw data'!A34</f>
        <v>1033</v>
      </c>
      <c r="B34" t="str">
        <f>'Customers Raw data'!B34</f>
        <v>2025-03-07</v>
      </c>
      <c r="C34" t="str">
        <f>'Customers Raw data'!C34</f>
        <v>Basic</v>
      </c>
      <c r="D34">
        <f>'Customers Raw data'!D34</f>
        <v>50</v>
      </c>
      <c r="E34">
        <f>'Customers Raw data'!E34</f>
        <v>30</v>
      </c>
      <c r="F34">
        <f>'Customers Raw data'!F34</f>
        <v>0</v>
      </c>
      <c r="G34">
        <f>IF('Customers Raw data'!F34&lt;&gt;"",1,0)</f>
        <v>0</v>
      </c>
      <c r="H34" t="str">
        <f>IF('Customers Raw data'!F34&lt;&gt;"",YEAR(DATEVALUE('Customers Raw data'!F34)),"")</f>
        <v/>
      </c>
      <c r="I34" t="str">
        <f>IF('Customers Raw data'!F34&lt;&gt;"",MONTH(DATEVALUE('Customers Raw data'!F34)),"")</f>
        <v/>
      </c>
      <c r="J34">
        <f>YEAR(DATEVALUE('Customers Raw data'!B34))</f>
        <v>2025</v>
      </c>
      <c r="K34">
        <f>MONTH(DATEVALUE('Customers Raw data'!B34))</f>
        <v>3</v>
      </c>
      <c r="L34">
        <f ca="1">IF('Customers Raw data'!F34&lt;&gt;"",DATEDIF(DATEVALUE('Customers Raw data'!B34),DATEVALUE('Customers Raw data'!F34),"M"),DATEDIF(DATEVALUE('Customers Raw data'!B34),TODAY(),"M"))</f>
        <v>13</v>
      </c>
      <c r="M34">
        <f t="shared" ca="1" si="0"/>
        <v>650</v>
      </c>
      <c r="N34">
        <f t="shared" si="1"/>
        <v>1</v>
      </c>
      <c r="O34">
        <f t="shared" ca="1" si="2"/>
        <v>0</v>
      </c>
      <c r="P34">
        <f t="shared" si="3"/>
        <v>0</v>
      </c>
      <c r="Q34" t="e">
        <f t="shared" si="4"/>
        <v>#VALUE!</v>
      </c>
    </row>
    <row r="35" spans="1:17" ht="15" customHeight="1" x14ac:dyDescent="0.25">
      <c r="A35">
        <f>'Customers Raw data'!A35</f>
        <v>1034</v>
      </c>
      <c r="B35" t="str">
        <f>'Customers Raw data'!B35</f>
        <v>2024-04-06</v>
      </c>
      <c r="C35" t="str">
        <f>'Customers Raw data'!C35</f>
        <v>Basic</v>
      </c>
      <c r="D35">
        <f>'Customers Raw data'!D35</f>
        <v>50</v>
      </c>
      <c r="E35">
        <f>'Customers Raw data'!E35</f>
        <v>30</v>
      </c>
      <c r="F35" t="str">
        <f>'Customers Raw data'!F35</f>
        <v>2025-04-06</v>
      </c>
      <c r="G35">
        <f>IF('Customers Raw data'!F35&lt;&gt;"",1,0)</f>
        <v>1</v>
      </c>
      <c r="H35">
        <f>IF('Customers Raw data'!F35&lt;&gt;"",YEAR(DATEVALUE('Customers Raw data'!F35)),"")</f>
        <v>2025</v>
      </c>
      <c r="I35">
        <f>IF('Customers Raw data'!F35&lt;&gt;"",MONTH(DATEVALUE('Customers Raw data'!F35)),"")</f>
        <v>4</v>
      </c>
      <c r="J35">
        <f>YEAR(DATEVALUE('Customers Raw data'!B35))</f>
        <v>2024</v>
      </c>
      <c r="K35">
        <f>MONTH(DATEVALUE('Customers Raw data'!B35))</f>
        <v>4</v>
      </c>
      <c r="L35">
        <f ca="1">IF('Customers Raw data'!F35&lt;&gt;"",DATEDIF(DATEVALUE('Customers Raw data'!B35),DATEVALUE('Customers Raw data'!F35),"M"),DATEDIF(DATEVALUE('Customers Raw data'!B35),TODAY(),"M"))</f>
        <v>12</v>
      </c>
      <c r="M35">
        <f t="shared" ca="1" si="0"/>
        <v>600</v>
      </c>
      <c r="N35">
        <f t="shared" si="1"/>
        <v>1</v>
      </c>
      <c r="O35">
        <f t="shared" ca="1" si="2"/>
        <v>0</v>
      </c>
      <c r="P35">
        <f t="shared" si="3"/>
        <v>50</v>
      </c>
      <c r="Q35" t="str">
        <f t="shared" si="4"/>
        <v>2025-04</v>
      </c>
    </row>
    <row r="36" spans="1:17" ht="15" customHeight="1" x14ac:dyDescent="0.25">
      <c r="A36">
        <f>'Customers Raw data'!A36</f>
        <v>1035</v>
      </c>
      <c r="B36" t="str">
        <f>'Customers Raw data'!B36</f>
        <v>2024-07-31</v>
      </c>
      <c r="C36" t="str">
        <f>'Customers Raw data'!C36</f>
        <v>Basic</v>
      </c>
      <c r="D36">
        <f>'Customers Raw data'!D36</f>
        <v>50</v>
      </c>
      <c r="E36">
        <f>'Customers Raw data'!E36</f>
        <v>30</v>
      </c>
      <c r="F36" t="str">
        <f>'Customers Raw data'!F36</f>
        <v>2025-05-02</v>
      </c>
      <c r="G36">
        <f>IF('Customers Raw data'!F36&lt;&gt;"",1,0)</f>
        <v>1</v>
      </c>
      <c r="H36">
        <f>IF('Customers Raw data'!F36&lt;&gt;"",YEAR(DATEVALUE('Customers Raw data'!F36)),"")</f>
        <v>2025</v>
      </c>
      <c r="I36">
        <f>IF('Customers Raw data'!F36&lt;&gt;"",MONTH(DATEVALUE('Customers Raw data'!F36)),"")</f>
        <v>5</v>
      </c>
      <c r="J36">
        <f>YEAR(DATEVALUE('Customers Raw data'!B36))</f>
        <v>2024</v>
      </c>
      <c r="K36">
        <f>MONTH(DATEVALUE('Customers Raw data'!B36))</f>
        <v>7</v>
      </c>
      <c r="L36">
        <f ca="1">IF('Customers Raw data'!F36&lt;&gt;"",DATEDIF(DATEVALUE('Customers Raw data'!B36),DATEVALUE('Customers Raw data'!F36),"M"),DATEDIF(DATEVALUE('Customers Raw data'!B36),TODAY(),"M"))</f>
        <v>9</v>
      </c>
      <c r="M36">
        <f t="shared" ca="1" si="0"/>
        <v>450</v>
      </c>
      <c r="N36">
        <f t="shared" si="1"/>
        <v>1</v>
      </c>
      <c r="O36">
        <f t="shared" ca="1" si="2"/>
        <v>0</v>
      </c>
      <c r="P36">
        <f t="shared" si="3"/>
        <v>50</v>
      </c>
      <c r="Q36" t="str">
        <f t="shared" si="4"/>
        <v>2025-05</v>
      </c>
    </row>
    <row r="37" spans="1:17" ht="15" customHeight="1" x14ac:dyDescent="0.25">
      <c r="A37">
        <f>'Customers Raw data'!A37</f>
        <v>1036</v>
      </c>
      <c r="B37" t="str">
        <f>'Customers Raw data'!B37</f>
        <v>2024-05-07</v>
      </c>
      <c r="C37" t="str">
        <f>'Customers Raw data'!C37</f>
        <v>Enterprise</v>
      </c>
      <c r="D37">
        <f>'Customers Raw data'!D37</f>
        <v>500</v>
      </c>
      <c r="E37">
        <f>'Customers Raw data'!E37</f>
        <v>200</v>
      </c>
      <c r="F37">
        <f>'Customers Raw data'!F37</f>
        <v>0</v>
      </c>
      <c r="G37">
        <f>IF('Customers Raw data'!F37&lt;&gt;"",1,0)</f>
        <v>0</v>
      </c>
      <c r="H37" t="str">
        <f>IF('Customers Raw data'!F37&lt;&gt;"",YEAR(DATEVALUE('Customers Raw data'!F37)),"")</f>
        <v/>
      </c>
      <c r="I37" t="str">
        <f>IF('Customers Raw data'!F37&lt;&gt;"",MONTH(DATEVALUE('Customers Raw data'!F37)),"")</f>
        <v/>
      </c>
      <c r="J37">
        <f>YEAR(DATEVALUE('Customers Raw data'!B37))</f>
        <v>2024</v>
      </c>
      <c r="K37">
        <f>MONTH(DATEVALUE('Customers Raw data'!B37))</f>
        <v>5</v>
      </c>
      <c r="L37">
        <f ca="1">IF('Customers Raw data'!F37&lt;&gt;"",DATEDIF(DATEVALUE('Customers Raw data'!B37),DATEVALUE('Customers Raw data'!F37),"M"),DATEDIF(DATEVALUE('Customers Raw data'!B37),TODAY(),"M"))</f>
        <v>23</v>
      </c>
      <c r="M37">
        <f t="shared" ca="1" si="0"/>
        <v>11500</v>
      </c>
      <c r="N37">
        <f t="shared" si="1"/>
        <v>3</v>
      </c>
      <c r="O37">
        <f t="shared" ca="1" si="2"/>
        <v>0</v>
      </c>
      <c r="P37">
        <f t="shared" si="3"/>
        <v>0</v>
      </c>
      <c r="Q37" t="e">
        <f t="shared" si="4"/>
        <v>#VALUE!</v>
      </c>
    </row>
    <row r="38" spans="1:17" ht="15" customHeight="1" x14ac:dyDescent="0.25">
      <c r="A38">
        <f>'Customers Raw data'!A38</f>
        <v>1037</v>
      </c>
      <c r="B38" t="str">
        <f>'Customers Raw data'!B38</f>
        <v>2024-11-30</v>
      </c>
      <c r="C38" t="str">
        <f>'Customers Raw data'!C38</f>
        <v>Pro</v>
      </c>
      <c r="D38">
        <f>'Customers Raw data'!D38</f>
        <v>200</v>
      </c>
      <c r="E38">
        <f>'Customers Raw data'!E38</f>
        <v>100</v>
      </c>
      <c r="F38">
        <f>'Customers Raw data'!F38</f>
        <v>0</v>
      </c>
      <c r="G38">
        <f>IF('Customers Raw data'!F38&lt;&gt;"",1,0)</f>
        <v>0</v>
      </c>
      <c r="H38" t="str">
        <f>IF('Customers Raw data'!F38&lt;&gt;"",YEAR(DATEVALUE('Customers Raw data'!F38)),"")</f>
        <v/>
      </c>
      <c r="I38" t="str">
        <f>IF('Customers Raw data'!F38&lt;&gt;"",MONTH(DATEVALUE('Customers Raw data'!F38)),"")</f>
        <v/>
      </c>
      <c r="J38">
        <f>YEAR(DATEVALUE('Customers Raw data'!B38))</f>
        <v>2024</v>
      </c>
      <c r="K38">
        <f>MONTH(DATEVALUE('Customers Raw data'!B38))</f>
        <v>11</v>
      </c>
      <c r="L38">
        <f ca="1">IF('Customers Raw data'!F38&lt;&gt;"",DATEDIF(DATEVALUE('Customers Raw data'!B38),DATEVALUE('Customers Raw data'!F38),"M"),DATEDIF(DATEVALUE('Customers Raw data'!B38),TODAY(),"M"))</f>
        <v>16</v>
      </c>
      <c r="M38">
        <f t="shared" ca="1" si="0"/>
        <v>3200</v>
      </c>
      <c r="N38">
        <f t="shared" si="1"/>
        <v>2</v>
      </c>
      <c r="O38">
        <f t="shared" ca="1" si="2"/>
        <v>0</v>
      </c>
      <c r="P38">
        <f t="shared" si="3"/>
        <v>0</v>
      </c>
      <c r="Q38" t="e">
        <f t="shared" si="4"/>
        <v>#VALUE!</v>
      </c>
    </row>
    <row r="39" spans="1:17" ht="15" customHeight="1" x14ac:dyDescent="0.25">
      <c r="A39">
        <f>'Customers Raw data'!A39</f>
        <v>1038</v>
      </c>
      <c r="B39" t="str">
        <f>'Customers Raw data'!B39</f>
        <v>2024-01-28</v>
      </c>
      <c r="C39" t="str">
        <f>'Customers Raw data'!C39</f>
        <v>Enterprise</v>
      </c>
      <c r="D39">
        <f>'Customers Raw data'!D39</f>
        <v>500</v>
      </c>
      <c r="E39">
        <f>'Customers Raw data'!E39</f>
        <v>200</v>
      </c>
      <c r="F39">
        <f>'Customers Raw data'!F39</f>
        <v>0</v>
      </c>
      <c r="G39">
        <f>IF('Customers Raw data'!F39&lt;&gt;"",1,0)</f>
        <v>0</v>
      </c>
      <c r="H39" t="str">
        <f>IF('Customers Raw data'!F39&lt;&gt;"",YEAR(DATEVALUE('Customers Raw data'!F39)),"")</f>
        <v/>
      </c>
      <c r="I39" t="str">
        <f>IF('Customers Raw data'!F39&lt;&gt;"",MONTH(DATEVALUE('Customers Raw data'!F39)),"")</f>
        <v/>
      </c>
      <c r="J39">
        <f>YEAR(DATEVALUE('Customers Raw data'!B39))</f>
        <v>2024</v>
      </c>
      <c r="K39">
        <f>MONTH(DATEVALUE('Customers Raw data'!B39))</f>
        <v>1</v>
      </c>
      <c r="L39">
        <f ca="1">IF('Customers Raw data'!F39&lt;&gt;"",DATEDIF(DATEVALUE('Customers Raw data'!B39),DATEVALUE('Customers Raw data'!F39),"M"),DATEDIF(DATEVALUE('Customers Raw data'!B39),TODAY(),"M"))</f>
        <v>26</v>
      </c>
      <c r="M39">
        <f t="shared" ca="1" si="0"/>
        <v>13000</v>
      </c>
      <c r="N39">
        <f t="shared" si="1"/>
        <v>3</v>
      </c>
      <c r="O39">
        <f t="shared" ca="1" si="2"/>
        <v>0</v>
      </c>
      <c r="P39">
        <f t="shared" si="3"/>
        <v>0</v>
      </c>
      <c r="Q39" t="e">
        <f t="shared" si="4"/>
        <v>#VALUE!</v>
      </c>
    </row>
    <row r="40" spans="1:17" ht="15" customHeight="1" x14ac:dyDescent="0.25">
      <c r="A40">
        <f>'Customers Raw data'!A40</f>
        <v>1039</v>
      </c>
      <c r="B40" t="str">
        <f>'Customers Raw data'!B40</f>
        <v>2025-04-22</v>
      </c>
      <c r="C40" t="str">
        <f>'Customers Raw data'!C40</f>
        <v>Basic</v>
      </c>
      <c r="D40">
        <f>'Customers Raw data'!D40</f>
        <v>50</v>
      </c>
      <c r="E40">
        <f>'Customers Raw data'!E40</f>
        <v>30</v>
      </c>
      <c r="F40">
        <f>'Customers Raw data'!F40</f>
        <v>0</v>
      </c>
      <c r="G40">
        <f>IF('Customers Raw data'!F40&lt;&gt;"",1,0)</f>
        <v>0</v>
      </c>
      <c r="H40" t="str">
        <f>IF('Customers Raw data'!F40&lt;&gt;"",YEAR(DATEVALUE('Customers Raw data'!F40)),"")</f>
        <v/>
      </c>
      <c r="I40" t="str">
        <f>IF('Customers Raw data'!F40&lt;&gt;"",MONTH(DATEVALUE('Customers Raw data'!F40)),"")</f>
        <v/>
      </c>
      <c r="J40">
        <f>YEAR(DATEVALUE('Customers Raw data'!B40))</f>
        <v>2025</v>
      </c>
      <c r="K40">
        <f>MONTH(DATEVALUE('Customers Raw data'!B40))</f>
        <v>4</v>
      </c>
      <c r="L40">
        <f ca="1">IF('Customers Raw data'!F40&lt;&gt;"",DATEDIF(DATEVALUE('Customers Raw data'!B40),DATEVALUE('Customers Raw data'!F40),"M"),DATEDIF(DATEVALUE('Customers Raw data'!B40),TODAY(),"M"))</f>
        <v>11</v>
      </c>
      <c r="M40">
        <f t="shared" ca="1" si="0"/>
        <v>550</v>
      </c>
      <c r="N40">
        <f t="shared" si="1"/>
        <v>1</v>
      </c>
      <c r="O40">
        <f t="shared" ca="1" si="2"/>
        <v>0</v>
      </c>
      <c r="P40">
        <f t="shared" si="3"/>
        <v>0</v>
      </c>
      <c r="Q40" t="e">
        <f t="shared" si="4"/>
        <v>#VALUE!</v>
      </c>
    </row>
    <row r="41" spans="1:17" ht="15" customHeight="1" x14ac:dyDescent="0.25">
      <c r="A41">
        <f>'Customers Raw data'!A41</f>
        <v>1040</v>
      </c>
      <c r="B41" t="str">
        <f>'Customers Raw data'!B41</f>
        <v>2024-05-16</v>
      </c>
      <c r="C41" t="str">
        <f>'Customers Raw data'!C41</f>
        <v>Enterprise</v>
      </c>
      <c r="D41">
        <f>'Customers Raw data'!D41</f>
        <v>500</v>
      </c>
      <c r="E41">
        <f>'Customers Raw data'!E41</f>
        <v>200</v>
      </c>
      <c r="F41">
        <f>'Customers Raw data'!F41</f>
        <v>0</v>
      </c>
      <c r="G41">
        <f>IF('Customers Raw data'!F41&lt;&gt;"",1,0)</f>
        <v>0</v>
      </c>
      <c r="H41" t="str">
        <f>IF('Customers Raw data'!F41&lt;&gt;"",YEAR(DATEVALUE('Customers Raw data'!F41)),"")</f>
        <v/>
      </c>
      <c r="I41" t="str">
        <f>IF('Customers Raw data'!F41&lt;&gt;"",MONTH(DATEVALUE('Customers Raw data'!F41)),"")</f>
        <v/>
      </c>
      <c r="J41">
        <f>YEAR(DATEVALUE('Customers Raw data'!B41))</f>
        <v>2024</v>
      </c>
      <c r="K41">
        <f>MONTH(DATEVALUE('Customers Raw data'!B41))</f>
        <v>5</v>
      </c>
      <c r="L41">
        <f ca="1">IF('Customers Raw data'!F41&lt;&gt;"",DATEDIF(DATEVALUE('Customers Raw data'!B41),DATEVALUE('Customers Raw data'!F41),"M"),DATEDIF(DATEVALUE('Customers Raw data'!B41),TODAY(),"M"))</f>
        <v>22</v>
      </c>
      <c r="M41">
        <f t="shared" ca="1" si="0"/>
        <v>11000</v>
      </c>
      <c r="N41">
        <f t="shared" si="1"/>
        <v>3</v>
      </c>
      <c r="O41">
        <f t="shared" ca="1" si="2"/>
        <v>0</v>
      </c>
      <c r="P41">
        <f t="shared" si="3"/>
        <v>0</v>
      </c>
      <c r="Q41" t="e">
        <f t="shared" si="4"/>
        <v>#VALUE!</v>
      </c>
    </row>
    <row r="42" spans="1:17" ht="15" customHeight="1" x14ac:dyDescent="0.25">
      <c r="A42">
        <f>'Customers Raw data'!A42</f>
        <v>1041</v>
      </c>
      <c r="B42" t="str">
        <f>'Customers Raw data'!B42</f>
        <v>2024-06-21</v>
      </c>
      <c r="C42" t="str">
        <f>'Customers Raw data'!C42</f>
        <v>Pro</v>
      </c>
      <c r="D42">
        <f>'Customers Raw data'!D42</f>
        <v>200</v>
      </c>
      <c r="E42">
        <f>'Customers Raw data'!E42</f>
        <v>100</v>
      </c>
      <c r="F42">
        <f>'Customers Raw data'!F42</f>
        <v>0</v>
      </c>
      <c r="G42">
        <f>IF('Customers Raw data'!F42&lt;&gt;"",1,0)</f>
        <v>0</v>
      </c>
      <c r="H42" t="str">
        <f>IF('Customers Raw data'!F42&lt;&gt;"",YEAR(DATEVALUE('Customers Raw data'!F42)),"")</f>
        <v/>
      </c>
      <c r="I42" t="str">
        <f>IF('Customers Raw data'!F42&lt;&gt;"",MONTH(DATEVALUE('Customers Raw data'!F42)),"")</f>
        <v/>
      </c>
      <c r="J42">
        <f>YEAR(DATEVALUE('Customers Raw data'!B42))</f>
        <v>2024</v>
      </c>
      <c r="K42">
        <f>MONTH(DATEVALUE('Customers Raw data'!B42))</f>
        <v>6</v>
      </c>
      <c r="L42">
        <f ca="1">IF('Customers Raw data'!F42&lt;&gt;"",DATEDIF(DATEVALUE('Customers Raw data'!B42),DATEVALUE('Customers Raw data'!F42),"M"),DATEDIF(DATEVALUE('Customers Raw data'!B42),TODAY(),"M"))</f>
        <v>21</v>
      </c>
      <c r="M42">
        <f t="shared" ca="1" si="0"/>
        <v>4200</v>
      </c>
      <c r="N42">
        <f t="shared" si="1"/>
        <v>2</v>
      </c>
      <c r="O42">
        <f t="shared" ca="1" si="2"/>
        <v>0</v>
      </c>
      <c r="P42">
        <f t="shared" si="3"/>
        <v>0</v>
      </c>
      <c r="Q42" t="e">
        <f t="shared" si="4"/>
        <v>#VALUE!</v>
      </c>
    </row>
    <row r="43" spans="1:17" ht="15" customHeight="1" x14ac:dyDescent="0.25">
      <c r="A43">
        <f>'Customers Raw data'!A43</f>
        <v>1042</v>
      </c>
      <c r="B43" t="str">
        <f>'Customers Raw data'!B43</f>
        <v>2024-04-18</v>
      </c>
      <c r="C43" t="str">
        <f>'Customers Raw data'!C43</f>
        <v>Pro</v>
      </c>
      <c r="D43">
        <f>'Customers Raw data'!D43</f>
        <v>200</v>
      </c>
      <c r="E43">
        <f>'Customers Raw data'!E43</f>
        <v>100</v>
      </c>
      <c r="F43" t="str">
        <f>'Customers Raw data'!F43</f>
        <v>2025-03-19</v>
      </c>
      <c r="G43">
        <f>IF('Customers Raw data'!F43&lt;&gt;"",1,0)</f>
        <v>1</v>
      </c>
      <c r="H43">
        <f>IF('Customers Raw data'!F43&lt;&gt;"",YEAR(DATEVALUE('Customers Raw data'!F43)),"")</f>
        <v>2025</v>
      </c>
      <c r="I43">
        <f>IF('Customers Raw data'!F43&lt;&gt;"",MONTH(DATEVALUE('Customers Raw data'!F43)),"")</f>
        <v>3</v>
      </c>
      <c r="J43">
        <f>YEAR(DATEVALUE('Customers Raw data'!B43))</f>
        <v>2024</v>
      </c>
      <c r="K43">
        <f>MONTH(DATEVALUE('Customers Raw data'!B43))</f>
        <v>4</v>
      </c>
      <c r="L43">
        <f ca="1">IF('Customers Raw data'!F43&lt;&gt;"",DATEDIF(DATEVALUE('Customers Raw data'!B43),DATEVALUE('Customers Raw data'!F43),"M"),DATEDIF(DATEVALUE('Customers Raw data'!B43),TODAY(),"M"))</f>
        <v>11</v>
      </c>
      <c r="M43">
        <f t="shared" ca="1" si="0"/>
        <v>2200</v>
      </c>
      <c r="N43">
        <f t="shared" si="1"/>
        <v>2</v>
      </c>
      <c r="O43">
        <f t="shared" ca="1" si="2"/>
        <v>0</v>
      </c>
      <c r="P43">
        <f t="shared" si="3"/>
        <v>200</v>
      </c>
      <c r="Q43" t="str">
        <f t="shared" si="4"/>
        <v>2025-03</v>
      </c>
    </row>
    <row r="44" spans="1:17" ht="15" customHeight="1" x14ac:dyDescent="0.25">
      <c r="A44">
        <f>'Customers Raw data'!A44</f>
        <v>1043</v>
      </c>
      <c r="B44" t="str">
        <f>'Customers Raw data'!B44</f>
        <v>2025-01-27</v>
      </c>
      <c r="C44" t="str">
        <f>'Customers Raw data'!C44</f>
        <v>Enterprise</v>
      </c>
      <c r="D44">
        <f>'Customers Raw data'!D44</f>
        <v>500</v>
      </c>
      <c r="E44">
        <f>'Customers Raw data'!E44</f>
        <v>200</v>
      </c>
      <c r="F44" t="str">
        <f>'Customers Raw data'!F44</f>
        <v>2025-03-11</v>
      </c>
      <c r="G44">
        <f>IF('Customers Raw data'!F44&lt;&gt;"",1,0)</f>
        <v>1</v>
      </c>
      <c r="H44">
        <f>IF('Customers Raw data'!F44&lt;&gt;"",YEAR(DATEVALUE('Customers Raw data'!F44)),"")</f>
        <v>2025</v>
      </c>
      <c r="I44">
        <f>IF('Customers Raw data'!F44&lt;&gt;"",MONTH(DATEVALUE('Customers Raw data'!F44)),"")</f>
        <v>3</v>
      </c>
      <c r="J44">
        <f>YEAR(DATEVALUE('Customers Raw data'!B44))</f>
        <v>2025</v>
      </c>
      <c r="K44">
        <f>MONTH(DATEVALUE('Customers Raw data'!B44))</f>
        <v>1</v>
      </c>
      <c r="L44">
        <f ca="1">IF('Customers Raw data'!F44&lt;&gt;"",DATEDIF(DATEVALUE('Customers Raw data'!B44),DATEVALUE('Customers Raw data'!F44),"M"),DATEDIF(DATEVALUE('Customers Raw data'!B44),TODAY(),"M"))</f>
        <v>1</v>
      </c>
      <c r="M44">
        <f t="shared" ca="1" si="0"/>
        <v>500</v>
      </c>
      <c r="N44">
        <f t="shared" si="1"/>
        <v>3</v>
      </c>
      <c r="O44">
        <f t="shared" ca="1" si="2"/>
        <v>1</v>
      </c>
      <c r="P44">
        <f t="shared" si="3"/>
        <v>500</v>
      </c>
      <c r="Q44" t="str">
        <f t="shared" si="4"/>
        <v>2025-03</v>
      </c>
    </row>
    <row r="45" spans="1:17" ht="15" customHeight="1" x14ac:dyDescent="0.25">
      <c r="A45">
        <f>'Customers Raw data'!A45</f>
        <v>1044</v>
      </c>
      <c r="B45" t="str">
        <f>'Customers Raw data'!B45</f>
        <v>2025-02-28</v>
      </c>
      <c r="C45" t="str">
        <f>'Customers Raw data'!C45</f>
        <v>Pro</v>
      </c>
      <c r="D45">
        <f>'Customers Raw data'!D45</f>
        <v>200</v>
      </c>
      <c r="E45">
        <f>'Customers Raw data'!E45</f>
        <v>100</v>
      </c>
      <c r="F45">
        <f>'Customers Raw data'!F45</f>
        <v>0</v>
      </c>
      <c r="G45">
        <f>IF('Customers Raw data'!F45&lt;&gt;"",1,0)</f>
        <v>0</v>
      </c>
      <c r="H45" t="str">
        <f>IF('Customers Raw data'!F45&lt;&gt;"",YEAR(DATEVALUE('Customers Raw data'!F45)),"")</f>
        <v/>
      </c>
      <c r="I45" t="str">
        <f>IF('Customers Raw data'!F45&lt;&gt;"",MONTH(DATEVALUE('Customers Raw data'!F45)),"")</f>
        <v/>
      </c>
      <c r="J45">
        <f>YEAR(DATEVALUE('Customers Raw data'!B45))</f>
        <v>2025</v>
      </c>
      <c r="K45">
        <f>MONTH(DATEVALUE('Customers Raw data'!B45))</f>
        <v>2</v>
      </c>
      <c r="L45">
        <f ca="1">IF('Customers Raw data'!F45&lt;&gt;"",DATEDIF(DATEVALUE('Customers Raw data'!B45),DATEVALUE('Customers Raw data'!F45),"M"),DATEDIF(DATEVALUE('Customers Raw data'!B45),TODAY(),"M"))</f>
        <v>13</v>
      </c>
      <c r="M45">
        <f t="shared" ca="1" si="0"/>
        <v>2600</v>
      </c>
      <c r="N45">
        <f t="shared" si="1"/>
        <v>2</v>
      </c>
      <c r="O45">
        <f t="shared" ca="1" si="2"/>
        <v>0</v>
      </c>
      <c r="P45">
        <f t="shared" si="3"/>
        <v>0</v>
      </c>
      <c r="Q45" t="e">
        <f t="shared" si="4"/>
        <v>#VALUE!</v>
      </c>
    </row>
    <row r="46" spans="1:17" ht="15" customHeight="1" x14ac:dyDescent="0.25">
      <c r="A46">
        <f>'Customers Raw data'!A46</f>
        <v>1045</v>
      </c>
      <c r="B46" t="str">
        <f>'Customers Raw data'!B46</f>
        <v>2025-06-30</v>
      </c>
      <c r="C46" t="str">
        <f>'Customers Raw data'!C46</f>
        <v>Pro</v>
      </c>
      <c r="D46">
        <f>'Customers Raw data'!D46</f>
        <v>200</v>
      </c>
      <c r="E46">
        <f>'Customers Raw data'!E46</f>
        <v>100</v>
      </c>
      <c r="F46">
        <f>'Customers Raw data'!F46</f>
        <v>0</v>
      </c>
      <c r="G46">
        <f>IF('Customers Raw data'!F46&lt;&gt;"",1,0)</f>
        <v>0</v>
      </c>
      <c r="H46" t="str">
        <f>IF('Customers Raw data'!F46&lt;&gt;"",YEAR(DATEVALUE('Customers Raw data'!F46)),"")</f>
        <v/>
      </c>
      <c r="I46" t="str">
        <f>IF('Customers Raw data'!F46&lt;&gt;"",MONTH(DATEVALUE('Customers Raw data'!F46)),"")</f>
        <v/>
      </c>
      <c r="J46">
        <f>YEAR(DATEVALUE('Customers Raw data'!B46))</f>
        <v>2025</v>
      </c>
      <c r="K46">
        <f>MONTH(DATEVALUE('Customers Raw data'!B46))</f>
        <v>6</v>
      </c>
      <c r="L46">
        <f ca="1">IF('Customers Raw data'!F46&lt;&gt;"",DATEDIF(DATEVALUE('Customers Raw data'!B46),DATEVALUE('Customers Raw data'!F46),"M"),DATEDIF(DATEVALUE('Customers Raw data'!B46),TODAY(),"M"))</f>
        <v>9</v>
      </c>
      <c r="M46">
        <f t="shared" ca="1" si="0"/>
        <v>1800</v>
      </c>
      <c r="N46">
        <f t="shared" si="1"/>
        <v>2</v>
      </c>
      <c r="O46">
        <f t="shared" ca="1" si="2"/>
        <v>0</v>
      </c>
      <c r="P46">
        <f t="shared" si="3"/>
        <v>0</v>
      </c>
      <c r="Q46" t="e">
        <f t="shared" si="4"/>
        <v>#VALUE!</v>
      </c>
    </row>
    <row r="47" spans="1:17" ht="15" customHeight="1" x14ac:dyDescent="0.25">
      <c r="A47">
        <f>'Customers Raw data'!A47</f>
        <v>1046</v>
      </c>
      <c r="B47" t="str">
        <f>'Customers Raw data'!B47</f>
        <v>2024-09-18</v>
      </c>
      <c r="C47" t="str">
        <f>'Customers Raw data'!C47</f>
        <v>Pro</v>
      </c>
      <c r="D47">
        <f>'Customers Raw data'!D47</f>
        <v>200</v>
      </c>
      <c r="E47">
        <f>'Customers Raw data'!E47</f>
        <v>100</v>
      </c>
      <c r="F47">
        <f>'Customers Raw data'!F47</f>
        <v>0</v>
      </c>
      <c r="G47">
        <f>IF('Customers Raw data'!F47&lt;&gt;"",1,0)</f>
        <v>0</v>
      </c>
      <c r="H47" t="str">
        <f>IF('Customers Raw data'!F47&lt;&gt;"",YEAR(DATEVALUE('Customers Raw data'!F47)),"")</f>
        <v/>
      </c>
      <c r="I47" t="str">
        <f>IF('Customers Raw data'!F47&lt;&gt;"",MONTH(DATEVALUE('Customers Raw data'!F47)),"")</f>
        <v/>
      </c>
      <c r="J47">
        <f>YEAR(DATEVALUE('Customers Raw data'!B47))</f>
        <v>2024</v>
      </c>
      <c r="K47">
        <f>MONTH(DATEVALUE('Customers Raw data'!B47))</f>
        <v>9</v>
      </c>
      <c r="L47">
        <f ca="1">IF('Customers Raw data'!F47&lt;&gt;"",DATEDIF(DATEVALUE('Customers Raw data'!B47),DATEVALUE('Customers Raw data'!F47),"M"),DATEDIF(DATEVALUE('Customers Raw data'!B47),TODAY(),"M"))</f>
        <v>18</v>
      </c>
      <c r="M47">
        <f t="shared" ca="1" si="0"/>
        <v>3600</v>
      </c>
      <c r="N47">
        <f t="shared" si="1"/>
        <v>2</v>
      </c>
      <c r="O47">
        <f t="shared" ca="1" si="2"/>
        <v>0</v>
      </c>
      <c r="P47">
        <f t="shared" si="3"/>
        <v>0</v>
      </c>
      <c r="Q47" t="e">
        <f t="shared" si="4"/>
        <v>#VALUE!</v>
      </c>
    </row>
    <row r="48" spans="1:17" ht="15" customHeight="1" x14ac:dyDescent="0.25">
      <c r="A48">
        <f>'Customers Raw data'!A48</f>
        <v>1047</v>
      </c>
      <c r="B48" t="str">
        <f>'Customers Raw data'!B48</f>
        <v>2025-01-05</v>
      </c>
      <c r="C48" t="str">
        <f>'Customers Raw data'!C48</f>
        <v>Basic</v>
      </c>
      <c r="D48">
        <f>'Customers Raw data'!D48</f>
        <v>50</v>
      </c>
      <c r="E48">
        <f>'Customers Raw data'!E48</f>
        <v>30</v>
      </c>
      <c r="F48" t="str">
        <f>'Customers Raw data'!F48</f>
        <v>2025-04-20</v>
      </c>
      <c r="G48">
        <f>IF('Customers Raw data'!F48&lt;&gt;"",1,0)</f>
        <v>1</v>
      </c>
      <c r="H48">
        <f>IF('Customers Raw data'!F48&lt;&gt;"",YEAR(DATEVALUE('Customers Raw data'!F48)),"")</f>
        <v>2025</v>
      </c>
      <c r="I48">
        <f>IF('Customers Raw data'!F48&lt;&gt;"",MONTH(DATEVALUE('Customers Raw data'!F48)),"")</f>
        <v>4</v>
      </c>
      <c r="J48">
        <f>YEAR(DATEVALUE('Customers Raw data'!B48))</f>
        <v>2025</v>
      </c>
      <c r="K48">
        <f>MONTH(DATEVALUE('Customers Raw data'!B48))</f>
        <v>1</v>
      </c>
      <c r="L48">
        <f ca="1">IF('Customers Raw data'!F48&lt;&gt;"",DATEDIF(DATEVALUE('Customers Raw data'!B48),DATEVALUE('Customers Raw data'!F48),"M"),DATEDIF(DATEVALUE('Customers Raw data'!B48),TODAY(),"M"))</f>
        <v>3</v>
      </c>
      <c r="M48">
        <f t="shared" ca="1" si="0"/>
        <v>150</v>
      </c>
      <c r="N48">
        <f t="shared" si="1"/>
        <v>1</v>
      </c>
      <c r="O48">
        <f t="shared" ca="1" si="2"/>
        <v>1</v>
      </c>
      <c r="P48">
        <f t="shared" si="3"/>
        <v>50</v>
      </c>
      <c r="Q48" t="str">
        <f t="shared" si="4"/>
        <v>2025-04</v>
      </c>
    </row>
    <row r="49" spans="1:17" ht="15" customHeight="1" x14ac:dyDescent="0.25">
      <c r="A49">
        <f>'Customers Raw data'!A49</f>
        <v>1048</v>
      </c>
      <c r="B49" t="str">
        <f>'Customers Raw data'!B49</f>
        <v>2024-08-25</v>
      </c>
      <c r="C49" t="str">
        <f>'Customers Raw data'!C49</f>
        <v>Enterprise</v>
      </c>
      <c r="D49">
        <f>'Customers Raw data'!D49</f>
        <v>500</v>
      </c>
      <c r="E49">
        <f>'Customers Raw data'!E49</f>
        <v>200</v>
      </c>
      <c r="F49">
        <f>'Customers Raw data'!F49</f>
        <v>0</v>
      </c>
      <c r="G49">
        <f>IF('Customers Raw data'!F49&lt;&gt;"",1,0)</f>
        <v>0</v>
      </c>
      <c r="H49" t="str">
        <f>IF('Customers Raw data'!F49&lt;&gt;"",YEAR(DATEVALUE('Customers Raw data'!F49)),"")</f>
        <v/>
      </c>
      <c r="I49" t="str">
        <f>IF('Customers Raw data'!F49&lt;&gt;"",MONTH(DATEVALUE('Customers Raw data'!F49)),"")</f>
        <v/>
      </c>
      <c r="J49">
        <f>YEAR(DATEVALUE('Customers Raw data'!B49))</f>
        <v>2024</v>
      </c>
      <c r="K49">
        <f>MONTH(DATEVALUE('Customers Raw data'!B49))</f>
        <v>8</v>
      </c>
      <c r="L49">
        <f ca="1">IF('Customers Raw data'!F49&lt;&gt;"",DATEDIF(DATEVALUE('Customers Raw data'!B49),DATEVALUE('Customers Raw data'!F49),"M"),DATEDIF(DATEVALUE('Customers Raw data'!B49),TODAY(),"M"))</f>
        <v>19</v>
      </c>
      <c r="M49">
        <f t="shared" ca="1" si="0"/>
        <v>9500</v>
      </c>
      <c r="N49">
        <f t="shared" si="1"/>
        <v>3</v>
      </c>
      <c r="O49">
        <f t="shared" ca="1" si="2"/>
        <v>0</v>
      </c>
      <c r="P49">
        <f t="shared" si="3"/>
        <v>0</v>
      </c>
      <c r="Q49" t="e">
        <f t="shared" si="4"/>
        <v>#VALUE!</v>
      </c>
    </row>
    <row r="50" spans="1:17" ht="15" customHeight="1" x14ac:dyDescent="0.25">
      <c r="A50">
        <f>'Customers Raw data'!A50</f>
        <v>1049</v>
      </c>
      <c r="B50" t="str">
        <f>'Customers Raw data'!B50</f>
        <v>2024-05-15</v>
      </c>
      <c r="C50" t="str">
        <f>'Customers Raw data'!C50</f>
        <v>Pro</v>
      </c>
      <c r="D50">
        <f>'Customers Raw data'!D50</f>
        <v>200</v>
      </c>
      <c r="E50">
        <f>'Customers Raw data'!E50</f>
        <v>100</v>
      </c>
      <c r="F50">
        <f>'Customers Raw data'!F50</f>
        <v>0</v>
      </c>
      <c r="G50">
        <f>IF('Customers Raw data'!F50&lt;&gt;"",1,0)</f>
        <v>0</v>
      </c>
      <c r="H50" t="str">
        <f>IF('Customers Raw data'!F50&lt;&gt;"",YEAR(DATEVALUE('Customers Raw data'!F50)),"")</f>
        <v/>
      </c>
      <c r="I50" t="str">
        <f>IF('Customers Raw data'!F50&lt;&gt;"",MONTH(DATEVALUE('Customers Raw data'!F50)),"")</f>
        <v/>
      </c>
      <c r="J50">
        <f>YEAR(DATEVALUE('Customers Raw data'!B50))</f>
        <v>2024</v>
      </c>
      <c r="K50">
        <f>MONTH(DATEVALUE('Customers Raw data'!B50))</f>
        <v>5</v>
      </c>
      <c r="L50">
        <f ca="1">IF('Customers Raw data'!F50&lt;&gt;"",DATEDIF(DATEVALUE('Customers Raw data'!B50),DATEVALUE('Customers Raw data'!F50),"M"),DATEDIF(DATEVALUE('Customers Raw data'!B50),TODAY(),"M"))</f>
        <v>22</v>
      </c>
      <c r="M50">
        <f t="shared" ca="1" si="0"/>
        <v>4400</v>
      </c>
      <c r="N50">
        <f t="shared" si="1"/>
        <v>2</v>
      </c>
      <c r="O50">
        <f t="shared" ca="1" si="2"/>
        <v>0</v>
      </c>
      <c r="P50">
        <f t="shared" si="3"/>
        <v>0</v>
      </c>
      <c r="Q50" t="e">
        <f t="shared" si="4"/>
        <v>#VALUE!</v>
      </c>
    </row>
    <row r="51" spans="1:17" ht="15" customHeight="1" x14ac:dyDescent="0.25">
      <c r="A51">
        <f>'Customers Raw data'!A51</f>
        <v>1050</v>
      </c>
      <c r="B51" t="str">
        <f>'Customers Raw data'!B51</f>
        <v>2024-06-30</v>
      </c>
      <c r="C51" t="str">
        <f>'Customers Raw data'!C51</f>
        <v>Pro</v>
      </c>
      <c r="D51">
        <f>'Customers Raw data'!D51</f>
        <v>200</v>
      </c>
      <c r="E51">
        <f>'Customers Raw data'!E51</f>
        <v>100</v>
      </c>
      <c r="F51">
        <f>'Customers Raw data'!F51</f>
        <v>0</v>
      </c>
      <c r="G51">
        <f>IF('Customers Raw data'!F51&lt;&gt;"",1,0)</f>
        <v>0</v>
      </c>
      <c r="H51" t="str">
        <f>IF('Customers Raw data'!F51&lt;&gt;"",YEAR(DATEVALUE('Customers Raw data'!F51)),"")</f>
        <v/>
      </c>
      <c r="I51" t="str">
        <f>IF('Customers Raw data'!F51&lt;&gt;"",MONTH(DATEVALUE('Customers Raw data'!F51)),"")</f>
        <v/>
      </c>
      <c r="J51">
        <f>YEAR(DATEVALUE('Customers Raw data'!B51))</f>
        <v>2024</v>
      </c>
      <c r="K51">
        <f>MONTH(DATEVALUE('Customers Raw data'!B51))</f>
        <v>6</v>
      </c>
      <c r="L51">
        <f ca="1">IF('Customers Raw data'!F51&lt;&gt;"",DATEDIF(DATEVALUE('Customers Raw data'!B51),DATEVALUE('Customers Raw data'!F51),"M"),DATEDIF(DATEVALUE('Customers Raw data'!B51),TODAY(),"M"))</f>
        <v>21</v>
      </c>
      <c r="M51">
        <f t="shared" ca="1" si="0"/>
        <v>4200</v>
      </c>
      <c r="N51">
        <f t="shared" si="1"/>
        <v>2</v>
      </c>
      <c r="O51">
        <f t="shared" ca="1" si="2"/>
        <v>0</v>
      </c>
      <c r="P51">
        <f t="shared" si="3"/>
        <v>0</v>
      </c>
      <c r="Q51" t="e">
        <f t="shared" si="4"/>
        <v>#VALUE!</v>
      </c>
    </row>
    <row r="52" spans="1:17" ht="15" customHeight="1" x14ac:dyDescent="0.25">
      <c r="A52">
        <f>'Customers Raw data'!A52</f>
        <v>1051</v>
      </c>
      <c r="B52" t="str">
        <f>'Customers Raw data'!B52</f>
        <v>2025-01-10</v>
      </c>
      <c r="C52" t="str">
        <f>'Customers Raw data'!C52</f>
        <v>Pro</v>
      </c>
      <c r="D52">
        <f>'Customers Raw data'!D52</f>
        <v>200</v>
      </c>
      <c r="E52">
        <f>'Customers Raw data'!E52</f>
        <v>100</v>
      </c>
      <c r="F52">
        <f>'Customers Raw data'!F52</f>
        <v>0</v>
      </c>
      <c r="G52">
        <f>IF('Customers Raw data'!F52&lt;&gt;"",1,0)</f>
        <v>0</v>
      </c>
      <c r="H52" t="str">
        <f>IF('Customers Raw data'!F52&lt;&gt;"",YEAR(DATEVALUE('Customers Raw data'!F52)),"")</f>
        <v/>
      </c>
      <c r="I52" t="str">
        <f>IF('Customers Raw data'!F52&lt;&gt;"",MONTH(DATEVALUE('Customers Raw data'!F52)),"")</f>
        <v/>
      </c>
      <c r="J52">
        <f>YEAR(DATEVALUE('Customers Raw data'!B52))</f>
        <v>2025</v>
      </c>
      <c r="K52">
        <f>MONTH(DATEVALUE('Customers Raw data'!B52))</f>
        <v>1</v>
      </c>
      <c r="L52">
        <f ca="1">IF('Customers Raw data'!F52&lt;&gt;"",DATEDIF(DATEVALUE('Customers Raw data'!B52),DATEVALUE('Customers Raw data'!F52),"M"),DATEDIF(DATEVALUE('Customers Raw data'!B52),TODAY(),"M"))</f>
        <v>14</v>
      </c>
      <c r="M52">
        <f t="shared" ca="1" si="0"/>
        <v>2800</v>
      </c>
      <c r="N52">
        <f t="shared" si="1"/>
        <v>2</v>
      </c>
      <c r="O52">
        <f t="shared" ca="1" si="2"/>
        <v>0</v>
      </c>
      <c r="P52">
        <f t="shared" si="3"/>
        <v>0</v>
      </c>
      <c r="Q52" t="e">
        <f t="shared" si="4"/>
        <v>#VALUE!</v>
      </c>
    </row>
    <row r="53" spans="1:17" ht="15" customHeight="1" x14ac:dyDescent="0.25">
      <c r="A53">
        <f>'Customers Raw data'!A53</f>
        <v>1052</v>
      </c>
      <c r="B53" t="str">
        <f>'Customers Raw data'!B53</f>
        <v>2024-05-03</v>
      </c>
      <c r="C53" t="str">
        <f>'Customers Raw data'!C53</f>
        <v>Basic</v>
      </c>
      <c r="D53">
        <f>'Customers Raw data'!D53</f>
        <v>50</v>
      </c>
      <c r="E53">
        <f>'Customers Raw data'!E53</f>
        <v>30</v>
      </c>
      <c r="F53">
        <f>'Customers Raw data'!F53</f>
        <v>0</v>
      </c>
      <c r="G53">
        <f>IF('Customers Raw data'!F53&lt;&gt;"",1,0)</f>
        <v>0</v>
      </c>
      <c r="H53" t="str">
        <f>IF('Customers Raw data'!F53&lt;&gt;"",YEAR(DATEVALUE('Customers Raw data'!F53)),"")</f>
        <v/>
      </c>
      <c r="I53" t="str">
        <f>IF('Customers Raw data'!F53&lt;&gt;"",MONTH(DATEVALUE('Customers Raw data'!F53)),"")</f>
        <v/>
      </c>
      <c r="J53">
        <f>YEAR(DATEVALUE('Customers Raw data'!B53))</f>
        <v>2024</v>
      </c>
      <c r="K53">
        <f>MONTH(DATEVALUE('Customers Raw data'!B53))</f>
        <v>5</v>
      </c>
      <c r="L53">
        <f ca="1">IF('Customers Raw data'!F53&lt;&gt;"",DATEDIF(DATEVALUE('Customers Raw data'!B53),DATEVALUE('Customers Raw data'!F53),"M"),DATEDIF(DATEVALUE('Customers Raw data'!B53),TODAY(),"M"))</f>
        <v>23</v>
      </c>
      <c r="M53">
        <f t="shared" ca="1" si="0"/>
        <v>1150</v>
      </c>
      <c r="N53">
        <f t="shared" si="1"/>
        <v>1</v>
      </c>
      <c r="O53">
        <f t="shared" ca="1" si="2"/>
        <v>0</v>
      </c>
      <c r="P53">
        <f t="shared" si="3"/>
        <v>0</v>
      </c>
      <c r="Q53" t="e">
        <f t="shared" si="4"/>
        <v>#VALUE!</v>
      </c>
    </row>
    <row r="54" spans="1:17" ht="15" customHeight="1" x14ac:dyDescent="0.25">
      <c r="A54">
        <f>'Customers Raw data'!A54</f>
        <v>1053</v>
      </c>
      <c r="B54" t="str">
        <f>'Customers Raw data'!B54</f>
        <v>2024-12-15</v>
      </c>
      <c r="C54" t="str">
        <f>'Customers Raw data'!C54</f>
        <v>Enterprise</v>
      </c>
      <c r="D54">
        <f>'Customers Raw data'!D54</f>
        <v>500</v>
      </c>
      <c r="E54">
        <f>'Customers Raw data'!E54</f>
        <v>200</v>
      </c>
      <c r="F54">
        <f>'Customers Raw data'!F54</f>
        <v>0</v>
      </c>
      <c r="G54">
        <f>IF('Customers Raw data'!F54&lt;&gt;"",1,0)</f>
        <v>0</v>
      </c>
      <c r="H54" t="str">
        <f>IF('Customers Raw data'!F54&lt;&gt;"",YEAR(DATEVALUE('Customers Raw data'!F54)),"")</f>
        <v/>
      </c>
      <c r="I54" t="str">
        <f>IF('Customers Raw data'!F54&lt;&gt;"",MONTH(DATEVALUE('Customers Raw data'!F54)),"")</f>
        <v/>
      </c>
      <c r="J54">
        <f>YEAR(DATEVALUE('Customers Raw data'!B54))</f>
        <v>2024</v>
      </c>
      <c r="K54">
        <f>MONTH(DATEVALUE('Customers Raw data'!B54))</f>
        <v>12</v>
      </c>
      <c r="L54">
        <f ca="1">IF('Customers Raw data'!F54&lt;&gt;"",DATEDIF(DATEVALUE('Customers Raw data'!B54),DATEVALUE('Customers Raw data'!F54),"M"),DATEDIF(DATEVALUE('Customers Raw data'!B54),TODAY(),"M"))</f>
        <v>15</v>
      </c>
      <c r="M54">
        <f t="shared" ca="1" si="0"/>
        <v>7500</v>
      </c>
      <c r="N54">
        <f t="shared" si="1"/>
        <v>3</v>
      </c>
      <c r="O54">
        <f t="shared" ca="1" si="2"/>
        <v>0</v>
      </c>
      <c r="P54">
        <f t="shared" si="3"/>
        <v>0</v>
      </c>
      <c r="Q54" t="e">
        <f t="shared" si="4"/>
        <v>#VALUE!</v>
      </c>
    </row>
    <row r="55" spans="1:17" ht="15" customHeight="1" x14ac:dyDescent="0.25">
      <c r="A55">
        <f>'Customers Raw data'!A55</f>
        <v>1054</v>
      </c>
      <c r="B55" t="str">
        <f>'Customers Raw data'!B55</f>
        <v>2024-03-09</v>
      </c>
      <c r="C55" t="str">
        <f>'Customers Raw data'!C55</f>
        <v>Pro</v>
      </c>
      <c r="D55">
        <f>'Customers Raw data'!D55</f>
        <v>200</v>
      </c>
      <c r="E55">
        <f>'Customers Raw data'!E55</f>
        <v>100</v>
      </c>
      <c r="F55">
        <f>'Customers Raw data'!F55</f>
        <v>0</v>
      </c>
      <c r="G55">
        <f>IF('Customers Raw data'!F55&lt;&gt;"",1,0)</f>
        <v>0</v>
      </c>
      <c r="H55" t="str">
        <f>IF('Customers Raw data'!F55&lt;&gt;"",YEAR(DATEVALUE('Customers Raw data'!F55)),"")</f>
        <v/>
      </c>
      <c r="I55" t="str">
        <f>IF('Customers Raw data'!F55&lt;&gt;"",MONTH(DATEVALUE('Customers Raw data'!F55)),"")</f>
        <v/>
      </c>
      <c r="J55">
        <f>YEAR(DATEVALUE('Customers Raw data'!B55))</f>
        <v>2024</v>
      </c>
      <c r="K55">
        <f>MONTH(DATEVALUE('Customers Raw data'!B55))</f>
        <v>3</v>
      </c>
      <c r="L55">
        <f ca="1">IF('Customers Raw data'!F55&lt;&gt;"",DATEDIF(DATEVALUE('Customers Raw data'!B55),DATEVALUE('Customers Raw data'!F55),"M"),DATEDIF(DATEVALUE('Customers Raw data'!B55),TODAY(),"M"))</f>
        <v>24</v>
      </c>
      <c r="M55">
        <f t="shared" ca="1" si="0"/>
        <v>4800</v>
      </c>
      <c r="N55">
        <f t="shared" si="1"/>
        <v>2</v>
      </c>
      <c r="O55">
        <f t="shared" ca="1" si="2"/>
        <v>0</v>
      </c>
      <c r="P55">
        <f t="shared" si="3"/>
        <v>0</v>
      </c>
      <c r="Q55" t="e">
        <f t="shared" si="4"/>
        <v>#VALUE!</v>
      </c>
    </row>
    <row r="56" spans="1:17" ht="15" customHeight="1" x14ac:dyDescent="0.25">
      <c r="A56">
        <f>'Customers Raw data'!A56</f>
        <v>1055</v>
      </c>
      <c r="B56" t="str">
        <f>'Customers Raw data'!B56</f>
        <v>2024-03-30</v>
      </c>
      <c r="C56" t="str">
        <f>'Customers Raw data'!C56</f>
        <v>Enterprise</v>
      </c>
      <c r="D56">
        <f>'Customers Raw data'!D56</f>
        <v>500</v>
      </c>
      <c r="E56">
        <f>'Customers Raw data'!E56</f>
        <v>200</v>
      </c>
      <c r="F56">
        <f>'Customers Raw data'!F56</f>
        <v>0</v>
      </c>
      <c r="G56">
        <f>IF('Customers Raw data'!F56&lt;&gt;"",1,0)</f>
        <v>0</v>
      </c>
      <c r="H56" t="str">
        <f>IF('Customers Raw data'!F56&lt;&gt;"",YEAR(DATEVALUE('Customers Raw data'!F56)),"")</f>
        <v/>
      </c>
      <c r="I56" t="str">
        <f>IF('Customers Raw data'!F56&lt;&gt;"",MONTH(DATEVALUE('Customers Raw data'!F56)),"")</f>
        <v/>
      </c>
      <c r="J56">
        <f>YEAR(DATEVALUE('Customers Raw data'!B56))</f>
        <v>2024</v>
      </c>
      <c r="K56">
        <f>MONTH(DATEVALUE('Customers Raw data'!B56))</f>
        <v>3</v>
      </c>
      <c r="L56">
        <f ca="1">IF('Customers Raw data'!F56&lt;&gt;"",DATEDIF(DATEVALUE('Customers Raw data'!B56),DATEVALUE('Customers Raw data'!F56),"M"),DATEDIF(DATEVALUE('Customers Raw data'!B56),TODAY(),"M"))</f>
        <v>24</v>
      </c>
      <c r="M56">
        <f t="shared" ca="1" si="0"/>
        <v>12000</v>
      </c>
      <c r="N56">
        <f t="shared" si="1"/>
        <v>3</v>
      </c>
      <c r="O56">
        <f t="shared" ca="1" si="2"/>
        <v>0</v>
      </c>
      <c r="P56">
        <f t="shared" si="3"/>
        <v>0</v>
      </c>
      <c r="Q56" t="e">
        <f t="shared" si="4"/>
        <v>#VALUE!</v>
      </c>
    </row>
    <row r="57" spans="1:17" ht="15" customHeight="1" x14ac:dyDescent="0.25">
      <c r="A57">
        <f>'Customers Raw data'!A57</f>
        <v>1056</v>
      </c>
      <c r="B57" t="str">
        <f>'Customers Raw data'!B57</f>
        <v>2024-10-12</v>
      </c>
      <c r="C57" t="str">
        <f>'Customers Raw data'!C57</f>
        <v>Pro</v>
      </c>
      <c r="D57">
        <f>'Customers Raw data'!D57</f>
        <v>200</v>
      </c>
      <c r="E57">
        <f>'Customers Raw data'!E57</f>
        <v>100</v>
      </c>
      <c r="F57" t="str">
        <f>'Customers Raw data'!F57</f>
        <v>2024-12-15</v>
      </c>
      <c r="G57">
        <f>IF('Customers Raw data'!F57&lt;&gt;"",1,0)</f>
        <v>1</v>
      </c>
      <c r="H57">
        <f>IF('Customers Raw data'!F57&lt;&gt;"",YEAR(DATEVALUE('Customers Raw data'!F57)),"")</f>
        <v>2024</v>
      </c>
      <c r="I57">
        <f>IF('Customers Raw data'!F57&lt;&gt;"",MONTH(DATEVALUE('Customers Raw data'!F57)),"")</f>
        <v>12</v>
      </c>
      <c r="J57">
        <f>YEAR(DATEVALUE('Customers Raw data'!B57))</f>
        <v>2024</v>
      </c>
      <c r="K57">
        <f>MONTH(DATEVALUE('Customers Raw data'!B57))</f>
        <v>10</v>
      </c>
      <c r="L57">
        <f ca="1">IF('Customers Raw data'!F57&lt;&gt;"",DATEDIF(DATEVALUE('Customers Raw data'!B57),DATEVALUE('Customers Raw data'!F57),"M"),DATEDIF(DATEVALUE('Customers Raw data'!B57),TODAY(),"M"))</f>
        <v>2</v>
      </c>
      <c r="M57">
        <f t="shared" ca="1" si="0"/>
        <v>400</v>
      </c>
      <c r="N57">
        <f t="shared" si="1"/>
        <v>2</v>
      </c>
      <c r="O57">
        <f t="shared" ca="1" si="2"/>
        <v>1</v>
      </c>
      <c r="P57">
        <f t="shared" si="3"/>
        <v>200</v>
      </c>
      <c r="Q57" t="str">
        <f t="shared" si="4"/>
        <v>2024-12</v>
      </c>
    </row>
    <row r="58" spans="1:17" ht="15" customHeight="1" x14ac:dyDescent="0.25">
      <c r="A58">
        <f>'Customers Raw data'!A58</f>
        <v>1057</v>
      </c>
      <c r="B58" t="str">
        <f>'Customers Raw data'!B58</f>
        <v>2024-04-05</v>
      </c>
      <c r="C58" t="str">
        <f>'Customers Raw data'!C58</f>
        <v>Basic</v>
      </c>
      <c r="D58">
        <f>'Customers Raw data'!D58</f>
        <v>50</v>
      </c>
      <c r="E58">
        <f>'Customers Raw data'!E58</f>
        <v>30</v>
      </c>
      <c r="F58">
        <f>'Customers Raw data'!F58</f>
        <v>0</v>
      </c>
      <c r="G58">
        <f>IF('Customers Raw data'!F58&lt;&gt;"",1,0)</f>
        <v>0</v>
      </c>
      <c r="H58" t="str">
        <f>IF('Customers Raw data'!F58&lt;&gt;"",YEAR(DATEVALUE('Customers Raw data'!F58)),"")</f>
        <v/>
      </c>
      <c r="I58" t="str">
        <f>IF('Customers Raw data'!F58&lt;&gt;"",MONTH(DATEVALUE('Customers Raw data'!F58)),"")</f>
        <v/>
      </c>
      <c r="J58">
        <f>YEAR(DATEVALUE('Customers Raw data'!B58))</f>
        <v>2024</v>
      </c>
      <c r="K58">
        <f>MONTH(DATEVALUE('Customers Raw data'!B58))</f>
        <v>4</v>
      </c>
      <c r="L58">
        <f ca="1">IF('Customers Raw data'!F58&lt;&gt;"",DATEDIF(DATEVALUE('Customers Raw data'!B58),DATEVALUE('Customers Raw data'!F58),"M"),DATEDIF(DATEVALUE('Customers Raw data'!B58),TODAY(),"M"))</f>
        <v>24</v>
      </c>
      <c r="M58">
        <f t="shared" ca="1" si="0"/>
        <v>1200</v>
      </c>
      <c r="N58">
        <f t="shared" si="1"/>
        <v>1</v>
      </c>
      <c r="O58">
        <f t="shared" ca="1" si="2"/>
        <v>0</v>
      </c>
      <c r="P58">
        <f t="shared" si="3"/>
        <v>0</v>
      </c>
      <c r="Q58" t="e">
        <f t="shared" si="4"/>
        <v>#VALUE!</v>
      </c>
    </row>
    <row r="59" spans="1:17" ht="15" customHeight="1" x14ac:dyDescent="0.25">
      <c r="A59">
        <f>'Customers Raw data'!A59</f>
        <v>1058</v>
      </c>
      <c r="B59" t="str">
        <f>'Customers Raw data'!B59</f>
        <v>2025-06-03</v>
      </c>
      <c r="C59" t="str">
        <f>'Customers Raw data'!C59</f>
        <v>Enterprise</v>
      </c>
      <c r="D59">
        <f>'Customers Raw data'!D59</f>
        <v>500</v>
      </c>
      <c r="E59">
        <f>'Customers Raw data'!E59</f>
        <v>200</v>
      </c>
      <c r="F59">
        <f>'Customers Raw data'!F59</f>
        <v>0</v>
      </c>
      <c r="G59">
        <f>IF('Customers Raw data'!F59&lt;&gt;"",1,0)</f>
        <v>0</v>
      </c>
      <c r="H59" t="str">
        <f>IF('Customers Raw data'!F59&lt;&gt;"",YEAR(DATEVALUE('Customers Raw data'!F59)),"")</f>
        <v/>
      </c>
      <c r="I59" t="str">
        <f>IF('Customers Raw data'!F59&lt;&gt;"",MONTH(DATEVALUE('Customers Raw data'!F59)),"")</f>
        <v/>
      </c>
      <c r="J59">
        <f>YEAR(DATEVALUE('Customers Raw data'!B59))</f>
        <v>2025</v>
      </c>
      <c r="K59">
        <f>MONTH(DATEVALUE('Customers Raw data'!B59))</f>
        <v>6</v>
      </c>
      <c r="L59">
        <f ca="1">IF('Customers Raw data'!F59&lt;&gt;"",DATEDIF(DATEVALUE('Customers Raw data'!B59),DATEVALUE('Customers Raw data'!F59),"M"),DATEDIF(DATEVALUE('Customers Raw data'!B59),TODAY(),"M"))</f>
        <v>10</v>
      </c>
      <c r="M59">
        <f t="shared" ca="1" si="0"/>
        <v>5000</v>
      </c>
      <c r="N59">
        <f t="shared" si="1"/>
        <v>3</v>
      </c>
      <c r="O59">
        <f t="shared" ca="1" si="2"/>
        <v>0</v>
      </c>
      <c r="P59">
        <f t="shared" si="3"/>
        <v>0</v>
      </c>
      <c r="Q59" t="e">
        <f t="shared" si="4"/>
        <v>#VALUE!</v>
      </c>
    </row>
    <row r="60" spans="1:17" ht="15" customHeight="1" x14ac:dyDescent="0.25">
      <c r="A60">
        <f>'Customers Raw data'!A60</f>
        <v>1059</v>
      </c>
      <c r="B60" t="str">
        <f>'Customers Raw data'!B60</f>
        <v>2024-02-05</v>
      </c>
      <c r="C60" t="str">
        <f>'Customers Raw data'!C60</f>
        <v>Enterprise</v>
      </c>
      <c r="D60">
        <f>'Customers Raw data'!D60</f>
        <v>500</v>
      </c>
      <c r="E60">
        <f>'Customers Raw data'!E60</f>
        <v>200</v>
      </c>
      <c r="F60">
        <f>'Customers Raw data'!F60</f>
        <v>0</v>
      </c>
      <c r="G60">
        <f>IF('Customers Raw data'!F60&lt;&gt;"",1,0)</f>
        <v>0</v>
      </c>
      <c r="H60" t="str">
        <f>IF('Customers Raw data'!F60&lt;&gt;"",YEAR(DATEVALUE('Customers Raw data'!F60)),"")</f>
        <v/>
      </c>
      <c r="I60" t="str">
        <f>IF('Customers Raw data'!F60&lt;&gt;"",MONTH(DATEVALUE('Customers Raw data'!F60)),"")</f>
        <v/>
      </c>
      <c r="J60">
        <f>YEAR(DATEVALUE('Customers Raw data'!B60))</f>
        <v>2024</v>
      </c>
      <c r="K60">
        <f>MONTH(DATEVALUE('Customers Raw data'!B60))</f>
        <v>2</v>
      </c>
      <c r="L60">
        <f ca="1">IF('Customers Raw data'!F60&lt;&gt;"",DATEDIF(DATEVALUE('Customers Raw data'!B60),DATEVALUE('Customers Raw data'!F60),"M"),DATEDIF(DATEVALUE('Customers Raw data'!B60),TODAY(),"M"))</f>
        <v>26</v>
      </c>
      <c r="M60">
        <f t="shared" ca="1" si="0"/>
        <v>13000</v>
      </c>
      <c r="N60">
        <f t="shared" si="1"/>
        <v>3</v>
      </c>
      <c r="O60">
        <f t="shared" ca="1" si="2"/>
        <v>0</v>
      </c>
      <c r="P60">
        <f t="shared" si="3"/>
        <v>0</v>
      </c>
      <c r="Q60" t="e">
        <f t="shared" si="4"/>
        <v>#VALUE!</v>
      </c>
    </row>
    <row r="61" spans="1:17" ht="15" customHeight="1" x14ac:dyDescent="0.25">
      <c r="A61">
        <f>'Customers Raw data'!A61</f>
        <v>1060</v>
      </c>
      <c r="B61" t="str">
        <f>'Customers Raw data'!B61</f>
        <v>2025-03-31</v>
      </c>
      <c r="C61" t="str">
        <f>'Customers Raw data'!C61</f>
        <v>Basic</v>
      </c>
      <c r="D61">
        <f>'Customers Raw data'!D61</f>
        <v>50</v>
      </c>
      <c r="E61">
        <f>'Customers Raw data'!E61</f>
        <v>30</v>
      </c>
      <c r="F61" t="str">
        <f>'Customers Raw data'!F61</f>
        <v>2025-06-10</v>
      </c>
      <c r="G61">
        <f>IF('Customers Raw data'!F61&lt;&gt;"",1,0)</f>
        <v>1</v>
      </c>
      <c r="H61">
        <f>IF('Customers Raw data'!F61&lt;&gt;"",YEAR(DATEVALUE('Customers Raw data'!F61)),"")</f>
        <v>2025</v>
      </c>
      <c r="I61">
        <f>IF('Customers Raw data'!F61&lt;&gt;"",MONTH(DATEVALUE('Customers Raw data'!F61)),"")</f>
        <v>6</v>
      </c>
      <c r="J61">
        <f>YEAR(DATEVALUE('Customers Raw data'!B61))</f>
        <v>2025</v>
      </c>
      <c r="K61">
        <f>MONTH(DATEVALUE('Customers Raw data'!B61))</f>
        <v>3</v>
      </c>
      <c r="L61">
        <f ca="1">IF('Customers Raw data'!F61&lt;&gt;"",DATEDIF(DATEVALUE('Customers Raw data'!B61),DATEVALUE('Customers Raw data'!F61),"M"),DATEDIF(DATEVALUE('Customers Raw data'!B61),TODAY(),"M"))</f>
        <v>2</v>
      </c>
      <c r="M61">
        <f t="shared" ca="1" si="0"/>
        <v>100</v>
      </c>
      <c r="N61">
        <f t="shared" si="1"/>
        <v>1</v>
      </c>
      <c r="O61">
        <f t="shared" ca="1" si="2"/>
        <v>1</v>
      </c>
      <c r="P61">
        <f t="shared" si="3"/>
        <v>50</v>
      </c>
      <c r="Q61" t="str">
        <f t="shared" si="4"/>
        <v>2025-06</v>
      </c>
    </row>
    <row r="62" spans="1:17" ht="15" customHeight="1" x14ac:dyDescent="0.25">
      <c r="A62">
        <f>'Customers Raw data'!A62</f>
        <v>1061</v>
      </c>
      <c r="B62" t="str">
        <f>'Customers Raw data'!B62</f>
        <v>2025-02-08</v>
      </c>
      <c r="C62" t="str">
        <f>'Customers Raw data'!C62</f>
        <v>Basic</v>
      </c>
      <c r="D62">
        <f>'Customers Raw data'!D62</f>
        <v>50</v>
      </c>
      <c r="E62">
        <f>'Customers Raw data'!E62</f>
        <v>30</v>
      </c>
      <c r="F62">
        <f>'Customers Raw data'!F62</f>
        <v>0</v>
      </c>
      <c r="G62">
        <f>IF('Customers Raw data'!F62&lt;&gt;"",1,0)</f>
        <v>0</v>
      </c>
      <c r="H62" t="str">
        <f>IF('Customers Raw data'!F62&lt;&gt;"",YEAR(DATEVALUE('Customers Raw data'!F62)),"")</f>
        <v/>
      </c>
      <c r="I62" t="str">
        <f>IF('Customers Raw data'!F62&lt;&gt;"",MONTH(DATEVALUE('Customers Raw data'!F62)),"")</f>
        <v/>
      </c>
      <c r="J62">
        <f>YEAR(DATEVALUE('Customers Raw data'!B62))</f>
        <v>2025</v>
      </c>
      <c r="K62">
        <f>MONTH(DATEVALUE('Customers Raw data'!B62))</f>
        <v>2</v>
      </c>
      <c r="L62">
        <f ca="1">IF('Customers Raw data'!F62&lt;&gt;"",DATEDIF(DATEVALUE('Customers Raw data'!B62),DATEVALUE('Customers Raw data'!F62),"M"),DATEDIF(DATEVALUE('Customers Raw data'!B62),TODAY(),"M"))</f>
        <v>13</v>
      </c>
      <c r="M62">
        <f t="shared" ca="1" si="0"/>
        <v>650</v>
      </c>
      <c r="N62">
        <f t="shared" si="1"/>
        <v>1</v>
      </c>
      <c r="O62">
        <f t="shared" ca="1" si="2"/>
        <v>0</v>
      </c>
      <c r="P62">
        <f t="shared" si="3"/>
        <v>0</v>
      </c>
      <c r="Q62" t="e">
        <f t="shared" si="4"/>
        <v>#VALUE!</v>
      </c>
    </row>
    <row r="63" spans="1:17" ht="15" customHeight="1" x14ac:dyDescent="0.25">
      <c r="A63">
        <f>'Customers Raw data'!A63</f>
        <v>1062</v>
      </c>
      <c r="B63" t="str">
        <f>'Customers Raw data'!B63</f>
        <v>2025-05-13</v>
      </c>
      <c r="C63" t="str">
        <f>'Customers Raw data'!C63</f>
        <v>Pro</v>
      </c>
      <c r="D63">
        <f>'Customers Raw data'!D63</f>
        <v>200</v>
      </c>
      <c r="E63">
        <f>'Customers Raw data'!E63</f>
        <v>100</v>
      </c>
      <c r="F63" t="str">
        <f>'Customers Raw data'!F63</f>
        <v>2025-06-12</v>
      </c>
      <c r="G63">
        <f>IF('Customers Raw data'!F63&lt;&gt;"",1,0)</f>
        <v>1</v>
      </c>
      <c r="H63">
        <f>IF('Customers Raw data'!F63&lt;&gt;"",YEAR(DATEVALUE('Customers Raw data'!F63)),"")</f>
        <v>2025</v>
      </c>
      <c r="I63">
        <f>IF('Customers Raw data'!F63&lt;&gt;"",MONTH(DATEVALUE('Customers Raw data'!F63)),"")</f>
        <v>6</v>
      </c>
      <c r="J63">
        <f>YEAR(DATEVALUE('Customers Raw data'!B63))</f>
        <v>2025</v>
      </c>
      <c r="K63">
        <f>MONTH(DATEVALUE('Customers Raw data'!B63))</f>
        <v>5</v>
      </c>
      <c r="L63">
        <f ca="1">IF('Customers Raw data'!F63&lt;&gt;"",DATEDIF(DATEVALUE('Customers Raw data'!B63),DATEVALUE('Customers Raw data'!F63),"M"),DATEDIF(DATEVALUE('Customers Raw data'!B63),TODAY(),"M"))</f>
        <v>0</v>
      </c>
      <c r="M63">
        <f t="shared" ca="1" si="0"/>
        <v>0</v>
      </c>
      <c r="N63">
        <f t="shared" si="1"/>
        <v>2</v>
      </c>
      <c r="O63">
        <f t="shared" ca="1" si="2"/>
        <v>1</v>
      </c>
      <c r="P63">
        <f t="shared" si="3"/>
        <v>200</v>
      </c>
      <c r="Q63" t="str">
        <f t="shared" si="4"/>
        <v>2025-06</v>
      </c>
    </row>
    <row r="64" spans="1:17" ht="15" customHeight="1" x14ac:dyDescent="0.25">
      <c r="A64">
        <f>'Customers Raw data'!A64</f>
        <v>1063</v>
      </c>
      <c r="B64" t="str">
        <f>'Customers Raw data'!B64</f>
        <v>2024-07-28</v>
      </c>
      <c r="C64" t="str">
        <f>'Customers Raw data'!C64</f>
        <v>Pro</v>
      </c>
      <c r="D64">
        <f>'Customers Raw data'!D64</f>
        <v>200</v>
      </c>
      <c r="E64">
        <f>'Customers Raw data'!E64</f>
        <v>100</v>
      </c>
      <c r="F64">
        <f>'Customers Raw data'!F64</f>
        <v>0</v>
      </c>
      <c r="G64">
        <f>IF('Customers Raw data'!F64&lt;&gt;"",1,0)</f>
        <v>0</v>
      </c>
      <c r="H64" t="str">
        <f>IF('Customers Raw data'!F64&lt;&gt;"",YEAR(DATEVALUE('Customers Raw data'!F64)),"")</f>
        <v/>
      </c>
      <c r="I64" t="str">
        <f>IF('Customers Raw data'!F64&lt;&gt;"",MONTH(DATEVALUE('Customers Raw data'!F64)),"")</f>
        <v/>
      </c>
      <c r="J64">
        <f>YEAR(DATEVALUE('Customers Raw data'!B64))</f>
        <v>2024</v>
      </c>
      <c r="K64">
        <f>MONTH(DATEVALUE('Customers Raw data'!B64))</f>
        <v>7</v>
      </c>
      <c r="L64">
        <f ca="1">IF('Customers Raw data'!F64&lt;&gt;"",DATEDIF(DATEVALUE('Customers Raw data'!B64),DATEVALUE('Customers Raw data'!F64),"M"),DATEDIF(DATEVALUE('Customers Raw data'!B64),TODAY(),"M"))</f>
        <v>20</v>
      </c>
      <c r="M64">
        <f t="shared" ca="1" si="0"/>
        <v>4000</v>
      </c>
      <c r="N64">
        <f t="shared" si="1"/>
        <v>2</v>
      </c>
      <c r="O64">
        <f t="shared" ca="1" si="2"/>
        <v>0</v>
      </c>
      <c r="P64">
        <f t="shared" si="3"/>
        <v>0</v>
      </c>
      <c r="Q64" t="e">
        <f t="shared" si="4"/>
        <v>#VALUE!</v>
      </c>
    </row>
    <row r="65" spans="1:17" ht="15" customHeight="1" x14ac:dyDescent="0.25">
      <c r="A65">
        <f>'Customers Raw data'!A65</f>
        <v>1064</v>
      </c>
      <c r="B65" t="str">
        <f>'Customers Raw data'!B65</f>
        <v>2025-05-02</v>
      </c>
      <c r="C65" t="str">
        <f>'Customers Raw data'!C65</f>
        <v>Basic</v>
      </c>
      <c r="D65">
        <f>'Customers Raw data'!D65</f>
        <v>50</v>
      </c>
      <c r="E65">
        <f>'Customers Raw data'!E65</f>
        <v>30</v>
      </c>
      <c r="F65">
        <f>'Customers Raw data'!F65</f>
        <v>0</v>
      </c>
      <c r="G65">
        <f>IF('Customers Raw data'!F65&lt;&gt;"",1,0)</f>
        <v>0</v>
      </c>
      <c r="H65" t="str">
        <f>IF('Customers Raw data'!F65&lt;&gt;"",YEAR(DATEVALUE('Customers Raw data'!F65)),"")</f>
        <v/>
      </c>
      <c r="I65" t="str">
        <f>IF('Customers Raw data'!F65&lt;&gt;"",MONTH(DATEVALUE('Customers Raw data'!F65)),"")</f>
        <v/>
      </c>
      <c r="J65">
        <f>YEAR(DATEVALUE('Customers Raw data'!B65))</f>
        <v>2025</v>
      </c>
      <c r="K65">
        <f>MONTH(DATEVALUE('Customers Raw data'!B65))</f>
        <v>5</v>
      </c>
      <c r="L65">
        <f ca="1">IF('Customers Raw data'!F65&lt;&gt;"",DATEDIF(DATEVALUE('Customers Raw data'!B65),DATEVALUE('Customers Raw data'!F65),"M"),DATEDIF(DATEVALUE('Customers Raw data'!B65),TODAY(),"M"))</f>
        <v>11</v>
      </c>
      <c r="M65">
        <f t="shared" ca="1" si="0"/>
        <v>550</v>
      </c>
      <c r="N65">
        <f t="shared" si="1"/>
        <v>1</v>
      </c>
      <c r="O65">
        <f t="shared" ca="1" si="2"/>
        <v>0</v>
      </c>
      <c r="P65">
        <f t="shared" si="3"/>
        <v>0</v>
      </c>
      <c r="Q65" t="e">
        <f t="shared" si="4"/>
        <v>#VALUE!</v>
      </c>
    </row>
    <row r="66" spans="1:17" ht="15" customHeight="1" x14ac:dyDescent="0.25">
      <c r="A66">
        <f>'Customers Raw data'!A66</f>
        <v>1065</v>
      </c>
      <c r="B66" t="str">
        <f>'Customers Raw data'!B66</f>
        <v>2024-07-25</v>
      </c>
      <c r="C66" t="str">
        <f>'Customers Raw data'!C66</f>
        <v>Enterprise</v>
      </c>
      <c r="D66">
        <f>'Customers Raw data'!D66</f>
        <v>500</v>
      </c>
      <c r="E66">
        <f>'Customers Raw data'!E66</f>
        <v>200</v>
      </c>
      <c r="F66">
        <f>'Customers Raw data'!F66</f>
        <v>0</v>
      </c>
      <c r="G66">
        <f>IF('Customers Raw data'!F66&lt;&gt;"",1,0)</f>
        <v>0</v>
      </c>
      <c r="H66" t="str">
        <f>IF('Customers Raw data'!F66&lt;&gt;"",YEAR(DATEVALUE('Customers Raw data'!F66)),"")</f>
        <v/>
      </c>
      <c r="I66" t="str">
        <f>IF('Customers Raw data'!F66&lt;&gt;"",MONTH(DATEVALUE('Customers Raw data'!F66)),"")</f>
        <v/>
      </c>
      <c r="J66">
        <f>YEAR(DATEVALUE('Customers Raw data'!B66))</f>
        <v>2024</v>
      </c>
      <c r="K66">
        <f>MONTH(DATEVALUE('Customers Raw data'!B66))</f>
        <v>7</v>
      </c>
      <c r="L66">
        <f ca="1">IF('Customers Raw data'!F66&lt;&gt;"",DATEDIF(DATEVALUE('Customers Raw data'!B66),DATEVALUE('Customers Raw data'!F66),"M"),DATEDIF(DATEVALUE('Customers Raw data'!B66),TODAY(),"M"))</f>
        <v>20</v>
      </c>
      <c r="M66">
        <f t="shared" ref="M66:M129" ca="1" si="5">D66*L66</f>
        <v>10000</v>
      </c>
      <c r="N66">
        <f t="shared" ref="N66:N129" si="6">IF(C66="Basic",1,IF(C66="Pro",2,IF(C66="Enterprise",3,0)))</f>
        <v>3</v>
      </c>
      <c r="O66">
        <f t="shared" ref="O66:O129" ca="1" si="7">IF(AND(G66=1,L66&lt;6),1,0)</f>
        <v>0</v>
      </c>
      <c r="P66">
        <f t="shared" ref="P66:P129" si="8">IF(G66=1,D66,0)</f>
        <v>0</v>
      </c>
      <c r="Q66" t="e">
        <f t="shared" ref="Q66:Q129" si="9">IF(F66&lt;&gt;"",TEXT(DATEVALUE(F66),"YYYY-MM"),"")</f>
        <v>#VALUE!</v>
      </c>
    </row>
    <row r="67" spans="1:17" ht="15" customHeight="1" x14ac:dyDescent="0.25">
      <c r="A67">
        <f>'Customers Raw data'!A67</f>
        <v>1066</v>
      </c>
      <c r="B67" t="str">
        <f>'Customers Raw data'!B67</f>
        <v>2024-12-10</v>
      </c>
      <c r="C67" t="str">
        <f>'Customers Raw data'!C67</f>
        <v>Enterprise</v>
      </c>
      <c r="D67">
        <f>'Customers Raw data'!D67</f>
        <v>500</v>
      </c>
      <c r="E67">
        <f>'Customers Raw data'!E67</f>
        <v>200</v>
      </c>
      <c r="F67">
        <f>'Customers Raw data'!F67</f>
        <v>0</v>
      </c>
      <c r="G67">
        <f>IF('Customers Raw data'!F67&lt;&gt;"",1,0)</f>
        <v>0</v>
      </c>
      <c r="H67" t="str">
        <f>IF('Customers Raw data'!F67&lt;&gt;"",YEAR(DATEVALUE('Customers Raw data'!F67)),"")</f>
        <v/>
      </c>
      <c r="I67" t="str">
        <f>IF('Customers Raw data'!F67&lt;&gt;"",MONTH(DATEVALUE('Customers Raw data'!F67)),"")</f>
        <v/>
      </c>
      <c r="J67">
        <f>YEAR(DATEVALUE('Customers Raw data'!B67))</f>
        <v>2024</v>
      </c>
      <c r="K67">
        <f>MONTH(DATEVALUE('Customers Raw data'!B67))</f>
        <v>12</v>
      </c>
      <c r="L67">
        <f ca="1">IF('Customers Raw data'!F67&lt;&gt;"",DATEDIF(DATEVALUE('Customers Raw data'!B67),DATEVALUE('Customers Raw data'!F67),"M"),DATEDIF(DATEVALUE('Customers Raw data'!B67),TODAY(),"M"))</f>
        <v>15</v>
      </c>
      <c r="M67">
        <f t="shared" ca="1" si="5"/>
        <v>7500</v>
      </c>
      <c r="N67">
        <f t="shared" si="6"/>
        <v>3</v>
      </c>
      <c r="O67">
        <f t="shared" ca="1" si="7"/>
        <v>0</v>
      </c>
      <c r="P67">
        <f t="shared" si="8"/>
        <v>0</v>
      </c>
      <c r="Q67" t="e">
        <f t="shared" si="9"/>
        <v>#VALUE!</v>
      </c>
    </row>
    <row r="68" spans="1:17" ht="15" customHeight="1" x14ac:dyDescent="0.25">
      <c r="A68">
        <f>'Customers Raw data'!A68</f>
        <v>1067</v>
      </c>
      <c r="B68" t="str">
        <f>'Customers Raw data'!B68</f>
        <v>2025-02-23</v>
      </c>
      <c r="C68" t="str">
        <f>'Customers Raw data'!C68</f>
        <v>Enterprise</v>
      </c>
      <c r="D68">
        <f>'Customers Raw data'!D68</f>
        <v>500</v>
      </c>
      <c r="E68">
        <f>'Customers Raw data'!E68</f>
        <v>200</v>
      </c>
      <c r="F68">
        <f>'Customers Raw data'!F68</f>
        <v>0</v>
      </c>
      <c r="G68">
        <f>IF('Customers Raw data'!F68&lt;&gt;"",1,0)</f>
        <v>0</v>
      </c>
      <c r="H68" t="str">
        <f>IF('Customers Raw data'!F68&lt;&gt;"",YEAR(DATEVALUE('Customers Raw data'!F68)),"")</f>
        <v/>
      </c>
      <c r="I68" t="str">
        <f>IF('Customers Raw data'!F68&lt;&gt;"",MONTH(DATEVALUE('Customers Raw data'!F68)),"")</f>
        <v/>
      </c>
      <c r="J68">
        <f>YEAR(DATEVALUE('Customers Raw data'!B68))</f>
        <v>2025</v>
      </c>
      <c r="K68">
        <f>MONTH(DATEVALUE('Customers Raw data'!B68))</f>
        <v>2</v>
      </c>
      <c r="L68">
        <f ca="1">IF('Customers Raw data'!F68&lt;&gt;"",DATEDIF(DATEVALUE('Customers Raw data'!B68),DATEVALUE('Customers Raw data'!F68),"M"),DATEDIF(DATEVALUE('Customers Raw data'!B68),TODAY(),"M"))</f>
        <v>13</v>
      </c>
      <c r="M68">
        <f t="shared" ca="1" si="5"/>
        <v>6500</v>
      </c>
      <c r="N68">
        <f t="shared" si="6"/>
        <v>3</v>
      </c>
      <c r="O68">
        <f t="shared" ca="1" si="7"/>
        <v>0</v>
      </c>
      <c r="P68">
        <f t="shared" si="8"/>
        <v>0</v>
      </c>
      <c r="Q68" t="e">
        <f t="shared" si="9"/>
        <v>#VALUE!</v>
      </c>
    </row>
    <row r="69" spans="1:17" ht="15" customHeight="1" x14ac:dyDescent="0.25">
      <c r="A69">
        <f>'Customers Raw data'!A69</f>
        <v>1068</v>
      </c>
      <c r="B69" t="str">
        <f>'Customers Raw data'!B69</f>
        <v>2024-03-05</v>
      </c>
      <c r="C69" t="str">
        <f>'Customers Raw data'!C69</f>
        <v>Pro</v>
      </c>
      <c r="D69">
        <f>'Customers Raw data'!D69</f>
        <v>200</v>
      </c>
      <c r="E69">
        <f>'Customers Raw data'!E69</f>
        <v>100</v>
      </c>
      <c r="F69">
        <f>'Customers Raw data'!F69</f>
        <v>0</v>
      </c>
      <c r="G69">
        <f>IF('Customers Raw data'!F69&lt;&gt;"",1,0)</f>
        <v>0</v>
      </c>
      <c r="H69" t="str">
        <f>IF('Customers Raw data'!F69&lt;&gt;"",YEAR(DATEVALUE('Customers Raw data'!F69)),"")</f>
        <v/>
      </c>
      <c r="I69" t="str">
        <f>IF('Customers Raw data'!F69&lt;&gt;"",MONTH(DATEVALUE('Customers Raw data'!F69)),"")</f>
        <v/>
      </c>
      <c r="J69">
        <f>YEAR(DATEVALUE('Customers Raw data'!B69))</f>
        <v>2024</v>
      </c>
      <c r="K69">
        <f>MONTH(DATEVALUE('Customers Raw data'!B69))</f>
        <v>3</v>
      </c>
      <c r="L69">
        <f ca="1">IF('Customers Raw data'!F69&lt;&gt;"",DATEDIF(DATEVALUE('Customers Raw data'!B69),DATEVALUE('Customers Raw data'!F69),"M"),DATEDIF(DATEVALUE('Customers Raw data'!B69),TODAY(),"M"))</f>
        <v>25</v>
      </c>
      <c r="M69">
        <f t="shared" ca="1" si="5"/>
        <v>5000</v>
      </c>
      <c r="N69">
        <f t="shared" si="6"/>
        <v>2</v>
      </c>
      <c r="O69">
        <f t="shared" ca="1" si="7"/>
        <v>0</v>
      </c>
      <c r="P69">
        <f t="shared" si="8"/>
        <v>0</v>
      </c>
      <c r="Q69" t="e">
        <f t="shared" si="9"/>
        <v>#VALUE!</v>
      </c>
    </row>
    <row r="70" spans="1:17" ht="15" customHeight="1" x14ac:dyDescent="0.25">
      <c r="A70">
        <f>'Customers Raw data'!A70</f>
        <v>1069</v>
      </c>
      <c r="B70" t="str">
        <f>'Customers Raw data'!B70</f>
        <v>2024-02-16</v>
      </c>
      <c r="C70" t="str">
        <f>'Customers Raw data'!C70</f>
        <v>Enterprise</v>
      </c>
      <c r="D70">
        <f>'Customers Raw data'!D70</f>
        <v>500</v>
      </c>
      <c r="E70">
        <f>'Customers Raw data'!E70</f>
        <v>200</v>
      </c>
      <c r="F70">
        <f>'Customers Raw data'!F70</f>
        <v>0</v>
      </c>
      <c r="G70">
        <f>IF('Customers Raw data'!F70&lt;&gt;"",1,0)</f>
        <v>0</v>
      </c>
      <c r="H70" t="str">
        <f>IF('Customers Raw data'!F70&lt;&gt;"",YEAR(DATEVALUE('Customers Raw data'!F70)),"")</f>
        <v/>
      </c>
      <c r="I70" t="str">
        <f>IF('Customers Raw data'!F70&lt;&gt;"",MONTH(DATEVALUE('Customers Raw data'!F70)),"")</f>
        <v/>
      </c>
      <c r="J70">
        <f>YEAR(DATEVALUE('Customers Raw data'!B70))</f>
        <v>2024</v>
      </c>
      <c r="K70">
        <f>MONTH(DATEVALUE('Customers Raw data'!B70))</f>
        <v>2</v>
      </c>
      <c r="L70">
        <f ca="1">IF('Customers Raw data'!F70&lt;&gt;"",DATEDIF(DATEVALUE('Customers Raw data'!B70),DATEVALUE('Customers Raw data'!F70),"M"),DATEDIF(DATEVALUE('Customers Raw data'!B70),TODAY(),"M"))</f>
        <v>25</v>
      </c>
      <c r="M70">
        <f t="shared" ca="1" si="5"/>
        <v>12500</v>
      </c>
      <c r="N70">
        <f t="shared" si="6"/>
        <v>3</v>
      </c>
      <c r="O70">
        <f t="shared" ca="1" si="7"/>
        <v>0</v>
      </c>
      <c r="P70">
        <f t="shared" si="8"/>
        <v>0</v>
      </c>
      <c r="Q70" t="e">
        <f t="shared" si="9"/>
        <v>#VALUE!</v>
      </c>
    </row>
    <row r="71" spans="1:17" ht="15" customHeight="1" x14ac:dyDescent="0.25">
      <c r="A71">
        <f>'Customers Raw data'!A71</f>
        <v>1070</v>
      </c>
      <c r="B71" t="str">
        <f>'Customers Raw data'!B71</f>
        <v>2024-01-10</v>
      </c>
      <c r="C71" t="str">
        <f>'Customers Raw data'!C71</f>
        <v>Pro</v>
      </c>
      <c r="D71">
        <f>'Customers Raw data'!D71</f>
        <v>200</v>
      </c>
      <c r="E71">
        <f>'Customers Raw data'!E71</f>
        <v>100</v>
      </c>
      <c r="F71">
        <f>'Customers Raw data'!F71</f>
        <v>0</v>
      </c>
      <c r="G71">
        <f>IF('Customers Raw data'!F71&lt;&gt;"",1,0)</f>
        <v>0</v>
      </c>
      <c r="H71" t="str">
        <f>IF('Customers Raw data'!F71&lt;&gt;"",YEAR(DATEVALUE('Customers Raw data'!F71)),"")</f>
        <v/>
      </c>
      <c r="I71" t="str">
        <f>IF('Customers Raw data'!F71&lt;&gt;"",MONTH(DATEVALUE('Customers Raw data'!F71)),"")</f>
        <v/>
      </c>
      <c r="J71">
        <f>YEAR(DATEVALUE('Customers Raw data'!B71))</f>
        <v>2024</v>
      </c>
      <c r="K71">
        <f>MONTH(DATEVALUE('Customers Raw data'!B71))</f>
        <v>1</v>
      </c>
      <c r="L71">
        <f ca="1">IF('Customers Raw data'!F71&lt;&gt;"",DATEDIF(DATEVALUE('Customers Raw data'!B71),DATEVALUE('Customers Raw data'!F71),"M"),DATEDIF(DATEVALUE('Customers Raw data'!B71),TODAY(),"M"))</f>
        <v>26</v>
      </c>
      <c r="M71">
        <f t="shared" ca="1" si="5"/>
        <v>5200</v>
      </c>
      <c r="N71">
        <f t="shared" si="6"/>
        <v>2</v>
      </c>
      <c r="O71">
        <f t="shared" ca="1" si="7"/>
        <v>0</v>
      </c>
      <c r="P71">
        <f t="shared" si="8"/>
        <v>0</v>
      </c>
      <c r="Q71" t="e">
        <f t="shared" si="9"/>
        <v>#VALUE!</v>
      </c>
    </row>
    <row r="72" spans="1:17" ht="15" customHeight="1" x14ac:dyDescent="0.25">
      <c r="A72">
        <f>'Customers Raw data'!A72</f>
        <v>1071</v>
      </c>
      <c r="B72" t="str">
        <f>'Customers Raw data'!B72</f>
        <v>2024-11-15</v>
      </c>
      <c r="C72" t="str">
        <f>'Customers Raw data'!C72</f>
        <v>Enterprise</v>
      </c>
      <c r="D72">
        <f>'Customers Raw data'!D72</f>
        <v>500</v>
      </c>
      <c r="E72">
        <f>'Customers Raw data'!E72</f>
        <v>200</v>
      </c>
      <c r="F72">
        <f>'Customers Raw data'!F72</f>
        <v>0</v>
      </c>
      <c r="G72">
        <f>IF('Customers Raw data'!F72&lt;&gt;"",1,0)</f>
        <v>0</v>
      </c>
      <c r="H72" t="str">
        <f>IF('Customers Raw data'!F72&lt;&gt;"",YEAR(DATEVALUE('Customers Raw data'!F72)),"")</f>
        <v/>
      </c>
      <c r="I72" t="str">
        <f>IF('Customers Raw data'!F72&lt;&gt;"",MONTH(DATEVALUE('Customers Raw data'!F72)),"")</f>
        <v/>
      </c>
      <c r="J72">
        <f>YEAR(DATEVALUE('Customers Raw data'!B72))</f>
        <v>2024</v>
      </c>
      <c r="K72">
        <f>MONTH(DATEVALUE('Customers Raw data'!B72))</f>
        <v>11</v>
      </c>
      <c r="L72">
        <f ca="1">IF('Customers Raw data'!F72&lt;&gt;"",DATEDIF(DATEVALUE('Customers Raw data'!B72),DATEVALUE('Customers Raw data'!F72),"M"),DATEDIF(DATEVALUE('Customers Raw data'!B72),TODAY(),"M"))</f>
        <v>16</v>
      </c>
      <c r="M72">
        <f t="shared" ca="1" si="5"/>
        <v>8000</v>
      </c>
      <c r="N72">
        <f t="shared" si="6"/>
        <v>3</v>
      </c>
      <c r="O72">
        <f t="shared" ca="1" si="7"/>
        <v>0</v>
      </c>
      <c r="P72">
        <f t="shared" si="8"/>
        <v>0</v>
      </c>
      <c r="Q72" t="e">
        <f t="shared" si="9"/>
        <v>#VALUE!</v>
      </c>
    </row>
    <row r="73" spans="1:17" ht="15" customHeight="1" x14ac:dyDescent="0.25">
      <c r="A73">
        <f>'Customers Raw data'!A73</f>
        <v>1072</v>
      </c>
      <c r="B73" t="str">
        <f>'Customers Raw data'!B73</f>
        <v>2025-02-24</v>
      </c>
      <c r="C73" t="str">
        <f>'Customers Raw data'!C73</f>
        <v>Pro</v>
      </c>
      <c r="D73">
        <f>'Customers Raw data'!D73</f>
        <v>200</v>
      </c>
      <c r="E73">
        <f>'Customers Raw data'!E73</f>
        <v>100</v>
      </c>
      <c r="F73">
        <f>'Customers Raw data'!F73</f>
        <v>0</v>
      </c>
      <c r="G73">
        <f>IF('Customers Raw data'!F73&lt;&gt;"",1,0)</f>
        <v>0</v>
      </c>
      <c r="H73" t="str">
        <f>IF('Customers Raw data'!F73&lt;&gt;"",YEAR(DATEVALUE('Customers Raw data'!F73)),"")</f>
        <v/>
      </c>
      <c r="I73" t="str">
        <f>IF('Customers Raw data'!F73&lt;&gt;"",MONTH(DATEVALUE('Customers Raw data'!F73)),"")</f>
        <v/>
      </c>
      <c r="J73">
        <f>YEAR(DATEVALUE('Customers Raw data'!B73))</f>
        <v>2025</v>
      </c>
      <c r="K73">
        <f>MONTH(DATEVALUE('Customers Raw data'!B73))</f>
        <v>2</v>
      </c>
      <c r="L73">
        <f ca="1">IF('Customers Raw data'!F73&lt;&gt;"",DATEDIF(DATEVALUE('Customers Raw data'!B73),DATEVALUE('Customers Raw data'!F73),"M"),DATEDIF(DATEVALUE('Customers Raw data'!B73),TODAY(),"M"))</f>
        <v>13</v>
      </c>
      <c r="M73">
        <f t="shared" ca="1" si="5"/>
        <v>2600</v>
      </c>
      <c r="N73">
        <f t="shared" si="6"/>
        <v>2</v>
      </c>
      <c r="O73">
        <f t="shared" ca="1" si="7"/>
        <v>0</v>
      </c>
      <c r="P73">
        <f t="shared" si="8"/>
        <v>0</v>
      </c>
      <c r="Q73" t="e">
        <f t="shared" si="9"/>
        <v>#VALUE!</v>
      </c>
    </row>
    <row r="74" spans="1:17" ht="15" customHeight="1" x14ac:dyDescent="0.25">
      <c r="A74">
        <f>'Customers Raw data'!A74</f>
        <v>1073</v>
      </c>
      <c r="B74" t="str">
        <f>'Customers Raw data'!B74</f>
        <v>2024-01-08</v>
      </c>
      <c r="C74" t="str">
        <f>'Customers Raw data'!C74</f>
        <v>Enterprise</v>
      </c>
      <c r="D74">
        <f>'Customers Raw data'!D74</f>
        <v>500</v>
      </c>
      <c r="E74">
        <f>'Customers Raw data'!E74</f>
        <v>200</v>
      </c>
      <c r="F74">
        <f>'Customers Raw data'!F74</f>
        <v>0</v>
      </c>
      <c r="G74">
        <f>IF('Customers Raw data'!F74&lt;&gt;"",1,0)</f>
        <v>0</v>
      </c>
      <c r="H74" t="str">
        <f>IF('Customers Raw data'!F74&lt;&gt;"",YEAR(DATEVALUE('Customers Raw data'!F74)),"")</f>
        <v/>
      </c>
      <c r="I74" t="str">
        <f>IF('Customers Raw data'!F74&lt;&gt;"",MONTH(DATEVALUE('Customers Raw data'!F74)),"")</f>
        <v/>
      </c>
      <c r="J74">
        <f>YEAR(DATEVALUE('Customers Raw data'!B74))</f>
        <v>2024</v>
      </c>
      <c r="K74">
        <f>MONTH(DATEVALUE('Customers Raw data'!B74))</f>
        <v>1</v>
      </c>
      <c r="L74">
        <f ca="1">IF('Customers Raw data'!F74&lt;&gt;"",DATEDIF(DATEVALUE('Customers Raw data'!B74),DATEVALUE('Customers Raw data'!F74),"M"),DATEDIF(DATEVALUE('Customers Raw data'!B74),TODAY(),"M"))</f>
        <v>26</v>
      </c>
      <c r="M74">
        <f t="shared" ca="1" si="5"/>
        <v>13000</v>
      </c>
      <c r="N74">
        <f t="shared" si="6"/>
        <v>3</v>
      </c>
      <c r="O74">
        <f t="shared" ca="1" si="7"/>
        <v>0</v>
      </c>
      <c r="P74">
        <f t="shared" si="8"/>
        <v>0</v>
      </c>
      <c r="Q74" t="e">
        <f t="shared" si="9"/>
        <v>#VALUE!</v>
      </c>
    </row>
    <row r="75" spans="1:17" ht="15" customHeight="1" x14ac:dyDescent="0.25">
      <c r="A75">
        <f>'Customers Raw data'!A75</f>
        <v>1074</v>
      </c>
      <c r="B75" t="str">
        <f>'Customers Raw data'!B75</f>
        <v>2024-08-09</v>
      </c>
      <c r="C75" t="str">
        <f>'Customers Raw data'!C75</f>
        <v>Enterprise</v>
      </c>
      <c r="D75">
        <f>'Customers Raw data'!D75</f>
        <v>500</v>
      </c>
      <c r="E75">
        <f>'Customers Raw data'!E75</f>
        <v>200</v>
      </c>
      <c r="F75" t="str">
        <f>'Customers Raw data'!F75</f>
        <v>2025-05-13</v>
      </c>
      <c r="G75">
        <f>IF('Customers Raw data'!F75&lt;&gt;"",1,0)</f>
        <v>1</v>
      </c>
      <c r="H75">
        <f>IF('Customers Raw data'!F75&lt;&gt;"",YEAR(DATEVALUE('Customers Raw data'!F75)),"")</f>
        <v>2025</v>
      </c>
      <c r="I75">
        <f>IF('Customers Raw data'!F75&lt;&gt;"",MONTH(DATEVALUE('Customers Raw data'!F75)),"")</f>
        <v>5</v>
      </c>
      <c r="J75">
        <f>YEAR(DATEVALUE('Customers Raw data'!B75))</f>
        <v>2024</v>
      </c>
      <c r="K75">
        <f>MONTH(DATEVALUE('Customers Raw data'!B75))</f>
        <v>8</v>
      </c>
      <c r="L75">
        <f ca="1">IF('Customers Raw data'!F75&lt;&gt;"",DATEDIF(DATEVALUE('Customers Raw data'!B75),DATEVALUE('Customers Raw data'!F75),"M"),DATEDIF(DATEVALUE('Customers Raw data'!B75),TODAY(),"M"))</f>
        <v>9</v>
      </c>
      <c r="M75">
        <f t="shared" ca="1" si="5"/>
        <v>4500</v>
      </c>
      <c r="N75">
        <f t="shared" si="6"/>
        <v>3</v>
      </c>
      <c r="O75">
        <f t="shared" ca="1" si="7"/>
        <v>0</v>
      </c>
      <c r="P75">
        <f t="shared" si="8"/>
        <v>500</v>
      </c>
      <c r="Q75" t="str">
        <f t="shared" si="9"/>
        <v>2025-05</v>
      </c>
    </row>
    <row r="76" spans="1:17" ht="15" customHeight="1" x14ac:dyDescent="0.25">
      <c r="A76">
        <f>'Customers Raw data'!A76</f>
        <v>1075</v>
      </c>
      <c r="B76" t="str">
        <f>'Customers Raw data'!B76</f>
        <v>2024-10-14</v>
      </c>
      <c r="C76" t="str">
        <f>'Customers Raw data'!C76</f>
        <v>Enterprise</v>
      </c>
      <c r="D76">
        <f>'Customers Raw data'!D76</f>
        <v>500</v>
      </c>
      <c r="E76">
        <f>'Customers Raw data'!E76</f>
        <v>200</v>
      </c>
      <c r="F76" t="str">
        <f>'Customers Raw data'!F76</f>
        <v>2025-06-25</v>
      </c>
      <c r="G76">
        <f>IF('Customers Raw data'!F76&lt;&gt;"",1,0)</f>
        <v>1</v>
      </c>
      <c r="H76">
        <f>IF('Customers Raw data'!F76&lt;&gt;"",YEAR(DATEVALUE('Customers Raw data'!F76)),"")</f>
        <v>2025</v>
      </c>
      <c r="I76">
        <f>IF('Customers Raw data'!F76&lt;&gt;"",MONTH(DATEVALUE('Customers Raw data'!F76)),"")</f>
        <v>6</v>
      </c>
      <c r="J76">
        <f>YEAR(DATEVALUE('Customers Raw data'!B76))</f>
        <v>2024</v>
      </c>
      <c r="K76">
        <f>MONTH(DATEVALUE('Customers Raw data'!B76))</f>
        <v>10</v>
      </c>
      <c r="L76">
        <f ca="1">IF('Customers Raw data'!F76&lt;&gt;"",DATEDIF(DATEVALUE('Customers Raw data'!B76),DATEVALUE('Customers Raw data'!F76),"M"),DATEDIF(DATEVALUE('Customers Raw data'!B76),TODAY(),"M"))</f>
        <v>8</v>
      </c>
      <c r="M76">
        <f t="shared" ca="1" si="5"/>
        <v>4000</v>
      </c>
      <c r="N76">
        <f t="shared" si="6"/>
        <v>3</v>
      </c>
      <c r="O76">
        <f t="shared" ca="1" si="7"/>
        <v>0</v>
      </c>
      <c r="P76">
        <f t="shared" si="8"/>
        <v>500</v>
      </c>
      <c r="Q76" t="str">
        <f t="shared" si="9"/>
        <v>2025-06</v>
      </c>
    </row>
    <row r="77" spans="1:17" ht="15" customHeight="1" x14ac:dyDescent="0.25">
      <c r="A77">
        <f>'Customers Raw data'!A77</f>
        <v>1076</v>
      </c>
      <c r="B77" t="str">
        <f>'Customers Raw data'!B77</f>
        <v>2024-12-26</v>
      </c>
      <c r="C77" t="str">
        <f>'Customers Raw data'!C77</f>
        <v>Enterprise</v>
      </c>
      <c r="D77">
        <f>'Customers Raw data'!D77</f>
        <v>500</v>
      </c>
      <c r="E77">
        <f>'Customers Raw data'!E77</f>
        <v>200</v>
      </c>
      <c r="F77">
        <f>'Customers Raw data'!F77</f>
        <v>0</v>
      </c>
      <c r="G77">
        <f>IF('Customers Raw data'!F77&lt;&gt;"",1,0)</f>
        <v>0</v>
      </c>
      <c r="H77" t="str">
        <f>IF('Customers Raw data'!F77&lt;&gt;"",YEAR(DATEVALUE('Customers Raw data'!F77)),"")</f>
        <v/>
      </c>
      <c r="I77" t="str">
        <f>IF('Customers Raw data'!F77&lt;&gt;"",MONTH(DATEVALUE('Customers Raw data'!F77)),"")</f>
        <v/>
      </c>
      <c r="J77">
        <f>YEAR(DATEVALUE('Customers Raw data'!B77))</f>
        <v>2024</v>
      </c>
      <c r="K77">
        <f>MONTH(DATEVALUE('Customers Raw data'!B77))</f>
        <v>12</v>
      </c>
      <c r="L77">
        <f ca="1">IF('Customers Raw data'!F77&lt;&gt;"",DATEDIF(DATEVALUE('Customers Raw data'!B77),DATEVALUE('Customers Raw data'!F77),"M"),DATEDIF(DATEVALUE('Customers Raw data'!B77),TODAY(),"M"))</f>
        <v>15</v>
      </c>
      <c r="M77">
        <f t="shared" ca="1" si="5"/>
        <v>7500</v>
      </c>
      <c r="N77">
        <f t="shared" si="6"/>
        <v>3</v>
      </c>
      <c r="O77">
        <f t="shared" ca="1" si="7"/>
        <v>0</v>
      </c>
      <c r="P77">
        <f t="shared" si="8"/>
        <v>0</v>
      </c>
      <c r="Q77" t="e">
        <f t="shared" si="9"/>
        <v>#VALUE!</v>
      </c>
    </row>
    <row r="78" spans="1:17" ht="15" customHeight="1" x14ac:dyDescent="0.25">
      <c r="A78">
        <f>'Customers Raw data'!A78</f>
        <v>1077</v>
      </c>
      <c r="B78" t="str">
        <f>'Customers Raw data'!B78</f>
        <v>2024-06-04</v>
      </c>
      <c r="C78" t="str">
        <f>'Customers Raw data'!C78</f>
        <v>Basic</v>
      </c>
      <c r="D78">
        <f>'Customers Raw data'!D78</f>
        <v>50</v>
      </c>
      <c r="E78">
        <f>'Customers Raw data'!E78</f>
        <v>30</v>
      </c>
      <c r="F78">
        <f>'Customers Raw data'!F78</f>
        <v>0</v>
      </c>
      <c r="G78">
        <f>IF('Customers Raw data'!F78&lt;&gt;"",1,0)</f>
        <v>0</v>
      </c>
      <c r="H78" t="str">
        <f>IF('Customers Raw data'!F78&lt;&gt;"",YEAR(DATEVALUE('Customers Raw data'!F78)),"")</f>
        <v/>
      </c>
      <c r="I78" t="str">
        <f>IF('Customers Raw data'!F78&lt;&gt;"",MONTH(DATEVALUE('Customers Raw data'!F78)),"")</f>
        <v/>
      </c>
      <c r="J78">
        <f>YEAR(DATEVALUE('Customers Raw data'!B78))</f>
        <v>2024</v>
      </c>
      <c r="K78">
        <f>MONTH(DATEVALUE('Customers Raw data'!B78))</f>
        <v>6</v>
      </c>
      <c r="L78">
        <f ca="1">IF('Customers Raw data'!F78&lt;&gt;"",DATEDIF(DATEVALUE('Customers Raw data'!B78),DATEVALUE('Customers Raw data'!F78),"M"),DATEDIF(DATEVALUE('Customers Raw data'!B78),TODAY(),"M"))</f>
        <v>22</v>
      </c>
      <c r="M78">
        <f t="shared" ca="1" si="5"/>
        <v>1100</v>
      </c>
      <c r="N78">
        <f t="shared" si="6"/>
        <v>1</v>
      </c>
      <c r="O78">
        <f t="shared" ca="1" si="7"/>
        <v>0</v>
      </c>
      <c r="P78">
        <f t="shared" si="8"/>
        <v>0</v>
      </c>
      <c r="Q78" t="e">
        <f t="shared" si="9"/>
        <v>#VALUE!</v>
      </c>
    </row>
    <row r="79" spans="1:17" ht="15" customHeight="1" x14ac:dyDescent="0.25">
      <c r="A79">
        <f>'Customers Raw data'!A79</f>
        <v>1078</v>
      </c>
      <c r="B79" t="str">
        <f>'Customers Raw data'!B79</f>
        <v>2024-09-21</v>
      </c>
      <c r="C79" t="str">
        <f>'Customers Raw data'!C79</f>
        <v>Basic</v>
      </c>
      <c r="D79">
        <f>'Customers Raw data'!D79</f>
        <v>50</v>
      </c>
      <c r="E79">
        <f>'Customers Raw data'!E79</f>
        <v>30</v>
      </c>
      <c r="F79">
        <f>'Customers Raw data'!F79</f>
        <v>0</v>
      </c>
      <c r="G79">
        <f>IF('Customers Raw data'!F79&lt;&gt;"",1,0)</f>
        <v>0</v>
      </c>
      <c r="H79" t="str">
        <f>IF('Customers Raw data'!F79&lt;&gt;"",YEAR(DATEVALUE('Customers Raw data'!F79)),"")</f>
        <v/>
      </c>
      <c r="I79" t="str">
        <f>IF('Customers Raw data'!F79&lt;&gt;"",MONTH(DATEVALUE('Customers Raw data'!F79)),"")</f>
        <v/>
      </c>
      <c r="J79">
        <f>YEAR(DATEVALUE('Customers Raw data'!B79))</f>
        <v>2024</v>
      </c>
      <c r="K79">
        <f>MONTH(DATEVALUE('Customers Raw data'!B79))</f>
        <v>9</v>
      </c>
      <c r="L79">
        <f ca="1">IF('Customers Raw data'!F79&lt;&gt;"",DATEDIF(DATEVALUE('Customers Raw data'!B79),DATEVALUE('Customers Raw data'!F79),"M"),DATEDIF(DATEVALUE('Customers Raw data'!B79),TODAY(),"M"))</f>
        <v>18</v>
      </c>
      <c r="M79">
        <f t="shared" ca="1" si="5"/>
        <v>900</v>
      </c>
      <c r="N79">
        <f t="shared" si="6"/>
        <v>1</v>
      </c>
      <c r="O79">
        <f t="shared" ca="1" si="7"/>
        <v>0</v>
      </c>
      <c r="P79">
        <f t="shared" si="8"/>
        <v>0</v>
      </c>
      <c r="Q79" t="e">
        <f t="shared" si="9"/>
        <v>#VALUE!</v>
      </c>
    </row>
    <row r="80" spans="1:17" ht="15" customHeight="1" x14ac:dyDescent="0.25">
      <c r="A80">
        <f>'Customers Raw data'!A80</f>
        <v>1079</v>
      </c>
      <c r="B80" t="str">
        <f>'Customers Raw data'!B80</f>
        <v>2024-03-17</v>
      </c>
      <c r="C80" t="str">
        <f>'Customers Raw data'!C80</f>
        <v>Basic</v>
      </c>
      <c r="D80">
        <f>'Customers Raw data'!D80</f>
        <v>50</v>
      </c>
      <c r="E80">
        <f>'Customers Raw data'!E80</f>
        <v>30</v>
      </c>
      <c r="F80">
        <f>'Customers Raw data'!F80</f>
        <v>0</v>
      </c>
      <c r="G80">
        <f>IF('Customers Raw data'!F80&lt;&gt;"",1,0)</f>
        <v>0</v>
      </c>
      <c r="H80" t="str">
        <f>IF('Customers Raw data'!F80&lt;&gt;"",YEAR(DATEVALUE('Customers Raw data'!F80)),"")</f>
        <v/>
      </c>
      <c r="I80" t="str">
        <f>IF('Customers Raw data'!F80&lt;&gt;"",MONTH(DATEVALUE('Customers Raw data'!F80)),"")</f>
        <v/>
      </c>
      <c r="J80">
        <f>YEAR(DATEVALUE('Customers Raw data'!B80))</f>
        <v>2024</v>
      </c>
      <c r="K80">
        <f>MONTH(DATEVALUE('Customers Raw data'!B80))</f>
        <v>3</v>
      </c>
      <c r="L80">
        <f ca="1">IF('Customers Raw data'!F80&lt;&gt;"",DATEDIF(DATEVALUE('Customers Raw data'!B80),DATEVALUE('Customers Raw data'!F80),"M"),DATEDIF(DATEVALUE('Customers Raw data'!B80),TODAY(),"M"))</f>
        <v>24</v>
      </c>
      <c r="M80">
        <f t="shared" ca="1" si="5"/>
        <v>1200</v>
      </c>
      <c r="N80">
        <f t="shared" si="6"/>
        <v>1</v>
      </c>
      <c r="O80">
        <f t="shared" ca="1" si="7"/>
        <v>0</v>
      </c>
      <c r="P80">
        <f t="shared" si="8"/>
        <v>0</v>
      </c>
      <c r="Q80" t="e">
        <f t="shared" si="9"/>
        <v>#VALUE!</v>
      </c>
    </row>
    <row r="81" spans="1:17" ht="15" customHeight="1" x14ac:dyDescent="0.25">
      <c r="A81">
        <f>'Customers Raw data'!A81</f>
        <v>1080</v>
      </c>
      <c r="B81" t="str">
        <f>'Customers Raw data'!B81</f>
        <v>2024-02-22</v>
      </c>
      <c r="C81" t="str">
        <f>'Customers Raw data'!C81</f>
        <v>Enterprise</v>
      </c>
      <c r="D81">
        <f>'Customers Raw data'!D81</f>
        <v>500</v>
      </c>
      <c r="E81">
        <f>'Customers Raw data'!E81</f>
        <v>200</v>
      </c>
      <c r="F81">
        <f>'Customers Raw data'!F81</f>
        <v>0</v>
      </c>
      <c r="G81">
        <f>IF('Customers Raw data'!F81&lt;&gt;"",1,0)</f>
        <v>0</v>
      </c>
      <c r="H81" t="str">
        <f>IF('Customers Raw data'!F81&lt;&gt;"",YEAR(DATEVALUE('Customers Raw data'!F81)),"")</f>
        <v/>
      </c>
      <c r="I81" t="str">
        <f>IF('Customers Raw data'!F81&lt;&gt;"",MONTH(DATEVALUE('Customers Raw data'!F81)),"")</f>
        <v/>
      </c>
      <c r="J81">
        <f>YEAR(DATEVALUE('Customers Raw data'!B81))</f>
        <v>2024</v>
      </c>
      <c r="K81">
        <f>MONTH(DATEVALUE('Customers Raw data'!B81))</f>
        <v>2</v>
      </c>
      <c r="L81">
        <f ca="1">IF('Customers Raw data'!F81&lt;&gt;"",DATEDIF(DATEVALUE('Customers Raw data'!B81),DATEVALUE('Customers Raw data'!F81),"M"),DATEDIF(DATEVALUE('Customers Raw data'!B81),TODAY(),"M"))</f>
        <v>25</v>
      </c>
      <c r="M81">
        <f t="shared" ca="1" si="5"/>
        <v>12500</v>
      </c>
      <c r="N81">
        <f t="shared" si="6"/>
        <v>3</v>
      </c>
      <c r="O81">
        <f t="shared" ca="1" si="7"/>
        <v>0</v>
      </c>
      <c r="P81">
        <f t="shared" si="8"/>
        <v>0</v>
      </c>
      <c r="Q81" t="e">
        <f t="shared" si="9"/>
        <v>#VALUE!</v>
      </c>
    </row>
    <row r="82" spans="1:17" ht="15" customHeight="1" x14ac:dyDescent="0.25">
      <c r="A82">
        <f>'Customers Raw data'!A82</f>
        <v>1081</v>
      </c>
      <c r="B82" t="str">
        <f>'Customers Raw data'!B82</f>
        <v>2024-07-01</v>
      </c>
      <c r="C82" t="str">
        <f>'Customers Raw data'!C82</f>
        <v>Basic</v>
      </c>
      <c r="D82">
        <f>'Customers Raw data'!D82</f>
        <v>50</v>
      </c>
      <c r="E82">
        <f>'Customers Raw data'!E82</f>
        <v>30</v>
      </c>
      <c r="F82">
        <f>'Customers Raw data'!F82</f>
        <v>0</v>
      </c>
      <c r="G82">
        <f>IF('Customers Raw data'!F82&lt;&gt;"",1,0)</f>
        <v>0</v>
      </c>
      <c r="H82" t="str">
        <f>IF('Customers Raw data'!F82&lt;&gt;"",YEAR(DATEVALUE('Customers Raw data'!F82)),"")</f>
        <v/>
      </c>
      <c r="I82" t="str">
        <f>IF('Customers Raw data'!F82&lt;&gt;"",MONTH(DATEVALUE('Customers Raw data'!F82)),"")</f>
        <v/>
      </c>
      <c r="J82">
        <f>YEAR(DATEVALUE('Customers Raw data'!B82))</f>
        <v>2024</v>
      </c>
      <c r="K82">
        <f>MONTH(DATEVALUE('Customers Raw data'!B82))</f>
        <v>7</v>
      </c>
      <c r="L82">
        <f ca="1">IF('Customers Raw data'!F82&lt;&gt;"",DATEDIF(DATEVALUE('Customers Raw data'!B82),DATEVALUE('Customers Raw data'!F82),"M"),DATEDIF(DATEVALUE('Customers Raw data'!B82),TODAY(),"M"))</f>
        <v>21</v>
      </c>
      <c r="M82">
        <f t="shared" ca="1" si="5"/>
        <v>1050</v>
      </c>
      <c r="N82">
        <f t="shared" si="6"/>
        <v>1</v>
      </c>
      <c r="O82">
        <f t="shared" ca="1" si="7"/>
        <v>0</v>
      </c>
      <c r="P82">
        <f t="shared" si="8"/>
        <v>0</v>
      </c>
      <c r="Q82" t="e">
        <f t="shared" si="9"/>
        <v>#VALUE!</v>
      </c>
    </row>
    <row r="83" spans="1:17" ht="15" customHeight="1" x14ac:dyDescent="0.25">
      <c r="A83">
        <f>'Customers Raw data'!A83</f>
        <v>1082</v>
      </c>
      <c r="B83" t="str">
        <f>'Customers Raw data'!B83</f>
        <v>2025-03-20</v>
      </c>
      <c r="C83" t="str">
        <f>'Customers Raw data'!C83</f>
        <v>Pro</v>
      </c>
      <c r="D83">
        <f>'Customers Raw data'!D83</f>
        <v>200</v>
      </c>
      <c r="E83">
        <f>'Customers Raw data'!E83</f>
        <v>100</v>
      </c>
      <c r="F83">
        <f>'Customers Raw data'!F83</f>
        <v>0</v>
      </c>
      <c r="G83">
        <f>IF('Customers Raw data'!F83&lt;&gt;"",1,0)</f>
        <v>0</v>
      </c>
      <c r="H83" t="str">
        <f>IF('Customers Raw data'!F83&lt;&gt;"",YEAR(DATEVALUE('Customers Raw data'!F83)),"")</f>
        <v/>
      </c>
      <c r="I83" t="str">
        <f>IF('Customers Raw data'!F83&lt;&gt;"",MONTH(DATEVALUE('Customers Raw data'!F83)),"")</f>
        <v/>
      </c>
      <c r="J83">
        <f>YEAR(DATEVALUE('Customers Raw data'!B83))</f>
        <v>2025</v>
      </c>
      <c r="K83">
        <f>MONTH(DATEVALUE('Customers Raw data'!B83))</f>
        <v>3</v>
      </c>
      <c r="L83">
        <f ca="1">IF('Customers Raw data'!F83&lt;&gt;"",DATEDIF(DATEVALUE('Customers Raw data'!B83),DATEVALUE('Customers Raw data'!F83),"M"),DATEDIF(DATEVALUE('Customers Raw data'!B83),TODAY(),"M"))</f>
        <v>12</v>
      </c>
      <c r="M83">
        <f t="shared" ca="1" si="5"/>
        <v>2400</v>
      </c>
      <c r="N83">
        <f t="shared" si="6"/>
        <v>2</v>
      </c>
      <c r="O83">
        <f t="shared" ca="1" si="7"/>
        <v>0</v>
      </c>
      <c r="P83">
        <f t="shared" si="8"/>
        <v>0</v>
      </c>
      <c r="Q83" t="e">
        <f t="shared" si="9"/>
        <v>#VALUE!</v>
      </c>
    </row>
    <row r="84" spans="1:17" ht="15" customHeight="1" x14ac:dyDescent="0.25">
      <c r="A84">
        <f>'Customers Raw data'!A84</f>
        <v>1083</v>
      </c>
      <c r="B84" t="str">
        <f>'Customers Raw data'!B84</f>
        <v>2024-10-02</v>
      </c>
      <c r="C84" t="str">
        <f>'Customers Raw data'!C84</f>
        <v>Pro</v>
      </c>
      <c r="D84">
        <f>'Customers Raw data'!D84</f>
        <v>200</v>
      </c>
      <c r="E84">
        <f>'Customers Raw data'!E84</f>
        <v>100</v>
      </c>
      <c r="F84">
        <f>'Customers Raw data'!F84</f>
        <v>0</v>
      </c>
      <c r="G84">
        <f>IF('Customers Raw data'!F84&lt;&gt;"",1,0)</f>
        <v>0</v>
      </c>
      <c r="H84" t="str">
        <f>IF('Customers Raw data'!F84&lt;&gt;"",YEAR(DATEVALUE('Customers Raw data'!F84)),"")</f>
        <v/>
      </c>
      <c r="I84" t="str">
        <f>IF('Customers Raw data'!F84&lt;&gt;"",MONTH(DATEVALUE('Customers Raw data'!F84)),"")</f>
        <v/>
      </c>
      <c r="J84">
        <f>YEAR(DATEVALUE('Customers Raw data'!B84))</f>
        <v>2024</v>
      </c>
      <c r="K84">
        <f>MONTH(DATEVALUE('Customers Raw data'!B84))</f>
        <v>10</v>
      </c>
      <c r="L84">
        <f ca="1">IF('Customers Raw data'!F84&lt;&gt;"",DATEDIF(DATEVALUE('Customers Raw data'!B84),DATEVALUE('Customers Raw data'!F84),"M"),DATEDIF(DATEVALUE('Customers Raw data'!B84),TODAY(),"M"))</f>
        <v>18</v>
      </c>
      <c r="M84">
        <f t="shared" ca="1" si="5"/>
        <v>3600</v>
      </c>
      <c r="N84">
        <f t="shared" si="6"/>
        <v>2</v>
      </c>
      <c r="O84">
        <f t="shared" ca="1" si="7"/>
        <v>0</v>
      </c>
      <c r="P84">
        <f t="shared" si="8"/>
        <v>0</v>
      </c>
      <c r="Q84" t="e">
        <f t="shared" si="9"/>
        <v>#VALUE!</v>
      </c>
    </row>
    <row r="85" spans="1:17" ht="15" customHeight="1" x14ac:dyDescent="0.25">
      <c r="A85">
        <f>'Customers Raw data'!A85</f>
        <v>1084</v>
      </c>
      <c r="B85" t="str">
        <f>'Customers Raw data'!B85</f>
        <v>2024-01-02</v>
      </c>
      <c r="C85" t="str">
        <f>'Customers Raw data'!C85</f>
        <v>Basic</v>
      </c>
      <c r="D85">
        <f>'Customers Raw data'!D85</f>
        <v>50</v>
      </c>
      <c r="E85">
        <f>'Customers Raw data'!E85</f>
        <v>30</v>
      </c>
      <c r="F85">
        <f>'Customers Raw data'!F85</f>
        <v>0</v>
      </c>
      <c r="G85">
        <f>IF('Customers Raw data'!F85&lt;&gt;"",1,0)</f>
        <v>0</v>
      </c>
      <c r="H85" t="str">
        <f>IF('Customers Raw data'!F85&lt;&gt;"",YEAR(DATEVALUE('Customers Raw data'!F85)),"")</f>
        <v/>
      </c>
      <c r="I85" t="str">
        <f>IF('Customers Raw data'!F85&lt;&gt;"",MONTH(DATEVALUE('Customers Raw data'!F85)),"")</f>
        <v/>
      </c>
      <c r="J85">
        <f>YEAR(DATEVALUE('Customers Raw data'!B85))</f>
        <v>2024</v>
      </c>
      <c r="K85">
        <f>MONTH(DATEVALUE('Customers Raw data'!B85))</f>
        <v>1</v>
      </c>
      <c r="L85">
        <f ca="1">IF('Customers Raw data'!F85&lt;&gt;"",DATEDIF(DATEVALUE('Customers Raw data'!B85),DATEVALUE('Customers Raw data'!F85),"M"),DATEDIF(DATEVALUE('Customers Raw data'!B85),TODAY(),"M"))</f>
        <v>27</v>
      </c>
      <c r="M85">
        <f t="shared" ca="1" si="5"/>
        <v>1350</v>
      </c>
      <c r="N85">
        <f t="shared" si="6"/>
        <v>1</v>
      </c>
      <c r="O85">
        <f t="shared" ca="1" si="7"/>
        <v>0</v>
      </c>
      <c r="P85">
        <f t="shared" si="8"/>
        <v>0</v>
      </c>
      <c r="Q85" t="e">
        <f t="shared" si="9"/>
        <v>#VALUE!</v>
      </c>
    </row>
    <row r="86" spans="1:17" ht="15" customHeight="1" x14ac:dyDescent="0.25">
      <c r="A86">
        <f>'Customers Raw data'!A86</f>
        <v>1085</v>
      </c>
      <c r="B86" t="str">
        <f>'Customers Raw data'!B86</f>
        <v>2024-10-24</v>
      </c>
      <c r="C86" t="str">
        <f>'Customers Raw data'!C86</f>
        <v>Basic</v>
      </c>
      <c r="D86">
        <f>'Customers Raw data'!D86</f>
        <v>50</v>
      </c>
      <c r="E86">
        <f>'Customers Raw data'!E86</f>
        <v>30</v>
      </c>
      <c r="F86" t="str">
        <f>'Customers Raw data'!F86</f>
        <v>2025-05-21</v>
      </c>
      <c r="G86">
        <f>IF('Customers Raw data'!F86&lt;&gt;"",1,0)</f>
        <v>1</v>
      </c>
      <c r="H86">
        <f>IF('Customers Raw data'!F86&lt;&gt;"",YEAR(DATEVALUE('Customers Raw data'!F86)),"")</f>
        <v>2025</v>
      </c>
      <c r="I86">
        <f>IF('Customers Raw data'!F86&lt;&gt;"",MONTH(DATEVALUE('Customers Raw data'!F86)),"")</f>
        <v>5</v>
      </c>
      <c r="J86">
        <f>YEAR(DATEVALUE('Customers Raw data'!B86))</f>
        <v>2024</v>
      </c>
      <c r="K86">
        <f>MONTH(DATEVALUE('Customers Raw data'!B86))</f>
        <v>10</v>
      </c>
      <c r="L86">
        <f ca="1">IF('Customers Raw data'!F86&lt;&gt;"",DATEDIF(DATEVALUE('Customers Raw data'!B86),DATEVALUE('Customers Raw data'!F86),"M"),DATEDIF(DATEVALUE('Customers Raw data'!B86),TODAY(),"M"))</f>
        <v>6</v>
      </c>
      <c r="M86">
        <f t="shared" ca="1" si="5"/>
        <v>300</v>
      </c>
      <c r="N86">
        <f t="shared" si="6"/>
        <v>1</v>
      </c>
      <c r="O86">
        <f t="shared" ca="1" si="7"/>
        <v>0</v>
      </c>
      <c r="P86">
        <f t="shared" si="8"/>
        <v>50</v>
      </c>
      <c r="Q86" t="str">
        <f t="shared" si="9"/>
        <v>2025-05</v>
      </c>
    </row>
    <row r="87" spans="1:17" ht="15" customHeight="1" x14ac:dyDescent="0.25">
      <c r="A87">
        <f>'Customers Raw data'!A87</f>
        <v>1086</v>
      </c>
      <c r="B87" t="str">
        <f>'Customers Raw data'!B87</f>
        <v>2024-01-29</v>
      </c>
      <c r="C87" t="str">
        <f>'Customers Raw data'!C87</f>
        <v>Enterprise</v>
      </c>
      <c r="D87">
        <f>'Customers Raw data'!D87</f>
        <v>500</v>
      </c>
      <c r="E87">
        <f>'Customers Raw data'!E87</f>
        <v>200</v>
      </c>
      <c r="F87">
        <f>'Customers Raw data'!F87</f>
        <v>0</v>
      </c>
      <c r="G87">
        <f>IF('Customers Raw data'!F87&lt;&gt;"",1,0)</f>
        <v>0</v>
      </c>
      <c r="H87" t="str">
        <f>IF('Customers Raw data'!F87&lt;&gt;"",YEAR(DATEVALUE('Customers Raw data'!F87)),"")</f>
        <v/>
      </c>
      <c r="I87" t="str">
        <f>IF('Customers Raw data'!F87&lt;&gt;"",MONTH(DATEVALUE('Customers Raw data'!F87)),"")</f>
        <v/>
      </c>
      <c r="J87">
        <f>YEAR(DATEVALUE('Customers Raw data'!B87))</f>
        <v>2024</v>
      </c>
      <c r="K87">
        <f>MONTH(DATEVALUE('Customers Raw data'!B87))</f>
        <v>1</v>
      </c>
      <c r="L87">
        <f ca="1">IF('Customers Raw data'!F87&lt;&gt;"",DATEDIF(DATEVALUE('Customers Raw data'!B87),DATEVALUE('Customers Raw data'!F87),"M"),DATEDIF(DATEVALUE('Customers Raw data'!B87),TODAY(),"M"))</f>
        <v>26</v>
      </c>
      <c r="M87">
        <f t="shared" ca="1" si="5"/>
        <v>13000</v>
      </c>
      <c r="N87">
        <f t="shared" si="6"/>
        <v>3</v>
      </c>
      <c r="O87">
        <f t="shared" ca="1" si="7"/>
        <v>0</v>
      </c>
      <c r="P87">
        <f t="shared" si="8"/>
        <v>0</v>
      </c>
      <c r="Q87" t="e">
        <f t="shared" si="9"/>
        <v>#VALUE!</v>
      </c>
    </row>
    <row r="88" spans="1:17" ht="15" customHeight="1" x14ac:dyDescent="0.25">
      <c r="A88">
        <f>'Customers Raw data'!A88</f>
        <v>1087</v>
      </c>
      <c r="B88" t="str">
        <f>'Customers Raw data'!B88</f>
        <v>2024-07-19</v>
      </c>
      <c r="C88" t="str">
        <f>'Customers Raw data'!C88</f>
        <v>Enterprise</v>
      </c>
      <c r="D88">
        <f>'Customers Raw data'!D88</f>
        <v>500</v>
      </c>
      <c r="E88">
        <f>'Customers Raw data'!E88</f>
        <v>200</v>
      </c>
      <c r="F88">
        <f>'Customers Raw data'!F88</f>
        <v>0</v>
      </c>
      <c r="G88">
        <f>IF('Customers Raw data'!F88&lt;&gt;"",1,0)</f>
        <v>0</v>
      </c>
      <c r="H88" t="str">
        <f>IF('Customers Raw data'!F88&lt;&gt;"",YEAR(DATEVALUE('Customers Raw data'!F88)),"")</f>
        <v/>
      </c>
      <c r="I88" t="str">
        <f>IF('Customers Raw data'!F88&lt;&gt;"",MONTH(DATEVALUE('Customers Raw data'!F88)),"")</f>
        <v/>
      </c>
      <c r="J88">
        <f>YEAR(DATEVALUE('Customers Raw data'!B88))</f>
        <v>2024</v>
      </c>
      <c r="K88">
        <f>MONTH(DATEVALUE('Customers Raw data'!B88))</f>
        <v>7</v>
      </c>
      <c r="L88">
        <f ca="1">IF('Customers Raw data'!F88&lt;&gt;"",DATEDIF(DATEVALUE('Customers Raw data'!B88),DATEVALUE('Customers Raw data'!F88),"M"),DATEDIF(DATEVALUE('Customers Raw data'!B88),TODAY(),"M"))</f>
        <v>20</v>
      </c>
      <c r="M88">
        <f t="shared" ca="1" si="5"/>
        <v>10000</v>
      </c>
      <c r="N88">
        <f t="shared" si="6"/>
        <v>3</v>
      </c>
      <c r="O88">
        <f t="shared" ca="1" si="7"/>
        <v>0</v>
      </c>
      <c r="P88">
        <f t="shared" si="8"/>
        <v>0</v>
      </c>
      <c r="Q88" t="e">
        <f t="shared" si="9"/>
        <v>#VALUE!</v>
      </c>
    </row>
    <row r="89" spans="1:17" ht="15" customHeight="1" x14ac:dyDescent="0.25">
      <c r="A89">
        <f>'Customers Raw data'!A89</f>
        <v>1088</v>
      </c>
      <c r="B89" t="str">
        <f>'Customers Raw data'!B89</f>
        <v>2025-01-13</v>
      </c>
      <c r="C89" t="str">
        <f>'Customers Raw data'!C89</f>
        <v>Pro</v>
      </c>
      <c r="D89">
        <f>'Customers Raw data'!D89</f>
        <v>200</v>
      </c>
      <c r="E89">
        <f>'Customers Raw data'!E89</f>
        <v>100</v>
      </c>
      <c r="F89">
        <f>'Customers Raw data'!F89</f>
        <v>0</v>
      </c>
      <c r="G89">
        <f>IF('Customers Raw data'!F89&lt;&gt;"",1,0)</f>
        <v>0</v>
      </c>
      <c r="H89" t="str">
        <f>IF('Customers Raw data'!F89&lt;&gt;"",YEAR(DATEVALUE('Customers Raw data'!F89)),"")</f>
        <v/>
      </c>
      <c r="I89" t="str">
        <f>IF('Customers Raw data'!F89&lt;&gt;"",MONTH(DATEVALUE('Customers Raw data'!F89)),"")</f>
        <v/>
      </c>
      <c r="J89">
        <f>YEAR(DATEVALUE('Customers Raw data'!B89))</f>
        <v>2025</v>
      </c>
      <c r="K89">
        <f>MONTH(DATEVALUE('Customers Raw data'!B89))</f>
        <v>1</v>
      </c>
      <c r="L89">
        <f ca="1">IF('Customers Raw data'!F89&lt;&gt;"",DATEDIF(DATEVALUE('Customers Raw data'!B89),DATEVALUE('Customers Raw data'!F89),"M"),DATEDIF(DATEVALUE('Customers Raw data'!B89),TODAY(),"M"))</f>
        <v>14</v>
      </c>
      <c r="M89">
        <f t="shared" ca="1" si="5"/>
        <v>2800</v>
      </c>
      <c r="N89">
        <f t="shared" si="6"/>
        <v>2</v>
      </c>
      <c r="O89">
        <f t="shared" ca="1" si="7"/>
        <v>0</v>
      </c>
      <c r="P89">
        <f t="shared" si="8"/>
        <v>0</v>
      </c>
      <c r="Q89" t="e">
        <f t="shared" si="9"/>
        <v>#VALUE!</v>
      </c>
    </row>
    <row r="90" spans="1:17" ht="15" customHeight="1" x14ac:dyDescent="0.25">
      <c r="A90">
        <f>'Customers Raw data'!A90</f>
        <v>1089</v>
      </c>
      <c r="B90" t="str">
        <f>'Customers Raw data'!B90</f>
        <v>2024-06-12</v>
      </c>
      <c r="C90" t="str">
        <f>'Customers Raw data'!C90</f>
        <v>Basic</v>
      </c>
      <c r="D90">
        <f>'Customers Raw data'!D90</f>
        <v>50</v>
      </c>
      <c r="E90">
        <f>'Customers Raw data'!E90</f>
        <v>30</v>
      </c>
      <c r="F90">
        <f>'Customers Raw data'!F90</f>
        <v>0</v>
      </c>
      <c r="G90">
        <f>IF('Customers Raw data'!F90&lt;&gt;"",1,0)</f>
        <v>0</v>
      </c>
      <c r="H90" t="str">
        <f>IF('Customers Raw data'!F90&lt;&gt;"",YEAR(DATEVALUE('Customers Raw data'!F90)),"")</f>
        <v/>
      </c>
      <c r="I90" t="str">
        <f>IF('Customers Raw data'!F90&lt;&gt;"",MONTH(DATEVALUE('Customers Raw data'!F90)),"")</f>
        <v/>
      </c>
      <c r="J90">
        <f>YEAR(DATEVALUE('Customers Raw data'!B90))</f>
        <v>2024</v>
      </c>
      <c r="K90">
        <f>MONTH(DATEVALUE('Customers Raw data'!B90))</f>
        <v>6</v>
      </c>
      <c r="L90">
        <f ca="1">IF('Customers Raw data'!F90&lt;&gt;"",DATEDIF(DATEVALUE('Customers Raw data'!B90),DATEVALUE('Customers Raw data'!F90),"M"),DATEDIF(DATEVALUE('Customers Raw data'!B90),TODAY(),"M"))</f>
        <v>21</v>
      </c>
      <c r="M90">
        <f t="shared" ca="1" si="5"/>
        <v>1050</v>
      </c>
      <c r="N90">
        <f t="shared" si="6"/>
        <v>1</v>
      </c>
      <c r="O90">
        <f t="shared" ca="1" si="7"/>
        <v>0</v>
      </c>
      <c r="P90">
        <f t="shared" si="8"/>
        <v>0</v>
      </c>
      <c r="Q90" t="e">
        <f t="shared" si="9"/>
        <v>#VALUE!</v>
      </c>
    </row>
    <row r="91" spans="1:17" ht="15" customHeight="1" x14ac:dyDescent="0.25">
      <c r="A91">
        <f>'Customers Raw data'!A91</f>
        <v>1090</v>
      </c>
      <c r="B91" t="str">
        <f>'Customers Raw data'!B91</f>
        <v>2024-11-19</v>
      </c>
      <c r="C91" t="str">
        <f>'Customers Raw data'!C91</f>
        <v>Enterprise</v>
      </c>
      <c r="D91">
        <f>'Customers Raw data'!D91</f>
        <v>500</v>
      </c>
      <c r="E91">
        <f>'Customers Raw data'!E91</f>
        <v>200</v>
      </c>
      <c r="F91">
        <f>'Customers Raw data'!F91</f>
        <v>0</v>
      </c>
      <c r="G91">
        <f>IF('Customers Raw data'!F91&lt;&gt;"",1,0)</f>
        <v>0</v>
      </c>
      <c r="H91" t="str">
        <f>IF('Customers Raw data'!F91&lt;&gt;"",YEAR(DATEVALUE('Customers Raw data'!F91)),"")</f>
        <v/>
      </c>
      <c r="I91" t="str">
        <f>IF('Customers Raw data'!F91&lt;&gt;"",MONTH(DATEVALUE('Customers Raw data'!F91)),"")</f>
        <v/>
      </c>
      <c r="J91">
        <f>YEAR(DATEVALUE('Customers Raw data'!B91))</f>
        <v>2024</v>
      </c>
      <c r="K91">
        <f>MONTH(DATEVALUE('Customers Raw data'!B91))</f>
        <v>11</v>
      </c>
      <c r="L91">
        <f ca="1">IF('Customers Raw data'!F91&lt;&gt;"",DATEDIF(DATEVALUE('Customers Raw data'!B91),DATEVALUE('Customers Raw data'!F91),"M"),DATEDIF(DATEVALUE('Customers Raw data'!B91),TODAY(),"M"))</f>
        <v>16</v>
      </c>
      <c r="M91">
        <f t="shared" ca="1" si="5"/>
        <v>8000</v>
      </c>
      <c r="N91">
        <f t="shared" si="6"/>
        <v>3</v>
      </c>
      <c r="O91">
        <f t="shared" ca="1" si="7"/>
        <v>0</v>
      </c>
      <c r="P91">
        <f t="shared" si="8"/>
        <v>0</v>
      </c>
      <c r="Q91" t="e">
        <f t="shared" si="9"/>
        <v>#VALUE!</v>
      </c>
    </row>
    <row r="92" spans="1:17" ht="15" customHeight="1" x14ac:dyDescent="0.25">
      <c r="A92">
        <f>'Customers Raw data'!A92</f>
        <v>1091</v>
      </c>
      <c r="B92" t="str">
        <f>'Customers Raw data'!B92</f>
        <v>2024-07-31</v>
      </c>
      <c r="C92" t="str">
        <f>'Customers Raw data'!C92</f>
        <v>Pro</v>
      </c>
      <c r="D92">
        <f>'Customers Raw data'!D92</f>
        <v>200</v>
      </c>
      <c r="E92">
        <f>'Customers Raw data'!E92</f>
        <v>100</v>
      </c>
      <c r="F92">
        <f>'Customers Raw data'!F92</f>
        <v>0</v>
      </c>
      <c r="G92">
        <f>IF('Customers Raw data'!F92&lt;&gt;"",1,0)</f>
        <v>0</v>
      </c>
      <c r="H92" t="str">
        <f>IF('Customers Raw data'!F92&lt;&gt;"",YEAR(DATEVALUE('Customers Raw data'!F92)),"")</f>
        <v/>
      </c>
      <c r="I92" t="str">
        <f>IF('Customers Raw data'!F92&lt;&gt;"",MONTH(DATEVALUE('Customers Raw data'!F92)),"")</f>
        <v/>
      </c>
      <c r="J92">
        <f>YEAR(DATEVALUE('Customers Raw data'!B92))</f>
        <v>2024</v>
      </c>
      <c r="K92">
        <f>MONTH(DATEVALUE('Customers Raw data'!B92))</f>
        <v>7</v>
      </c>
      <c r="L92">
        <f ca="1">IF('Customers Raw data'!F92&lt;&gt;"",DATEDIF(DATEVALUE('Customers Raw data'!B92),DATEVALUE('Customers Raw data'!F92),"M"),DATEDIF(DATEVALUE('Customers Raw data'!B92),TODAY(),"M"))</f>
        <v>20</v>
      </c>
      <c r="M92">
        <f t="shared" ca="1" si="5"/>
        <v>4000</v>
      </c>
      <c r="N92">
        <f t="shared" si="6"/>
        <v>2</v>
      </c>
      <c r="O92">
        <f t="shared" ca="1" si="7"/>
        <v>0</v>
      </c>
      <c r="P92">
        <f t="shared" si="8"/>
        <v>0</v>
      </c>
      <c r="Q92" t="e">
        <f t="shared" si="9"/>
        <v>#VALUE!</v>
      </c>
    </row>
    <row r="93" spans="1:17" ht="15" customHeight="1" x14ac:dyDescent="0.25">
      <c r="A93">
        <f>'Customers Raw data'!A93</f>
        <v>1092</v>
      </c>
      <c r="B93" t="str">
        <f>'Customers Raw data'!B93</f>
        <v>2024-05-22</v>
      </c>
      <c r="C93" t="str">
        <f>'Customers Raw data'!C93</f>
        <v>Pro</v>
      </c>
      <c r="D93">
        <f>'Customers Raw data'!D93</f>
        <v>200</v>
      </c>
      <c r="E93">
        <f>'Customers Raw data'!E93</f>
        <v>100</v>
      </c>
      <c r="F93">
        <f>'Customers Raw data'!F93</f>
        <v>0</v>
      </c>
      <c r="G93">
        <f>IF('Customers Raw data'!F93&lt;&gt;"",1,0)</f>
        <v>0</v>
      </c>
      <c r="H93" t="str">
        <f>IF('Customers Raw data'!F93&lt;&gt;"",YEAR(DATEVALUE('Customers Raw data'!F93)),"")</f>
        <v/>
      </c>
      <c r="I93" t="str">
        <f>IF('Customers Raw data'!F93&lt;&gt;"",MONTH(DATEVALUE('Customers Raw data'!F93)),"")</f>
        <v/>
      </c>
      <c r="J93">
        <f>YEAR(DATEVALUE('Customers Raw data'!B93))</f>
        <v>2024</v>
      </c>
      <c r="K93">
        <f>MONTH(DATEVALUE('Customers Raw data'!B93))</f>
        <v>5</v>
      </c>
      <c r="L93">
        <f ca="1">IF('Customers Raw data'!F93&lt;&gt;"",DATEDIF(DATEVALUE('Customers Raw data'!B93),DATEVALUE('Customers Raw data'!F93),"M"),DATEDIF(DATEVALUE('Customers Raw data'!B93),TODAY(),"M"))</f>
        <v>22</v>
      </c>
      <c r="M93">
        <f t="shared" ca="1" si="5"/>
        <v>4400</v>
      </c>
      <c r="N93">
        <f t="shared" si="6"/>
        <v>2</v>
      </c>
      <c r="O93">
        <f t="shared" ca="1" si="7"/>
        <v>0</v>
      </c>
      <c r="P93">
        <f t="shared" si="8"/>
        <v>0</v>
      </c>
      <c r="Q93" t="e">
        <f t="shared" si="9"/>
        <v>#VALUE!</v>
      </c>
    </row>
    <row r="94" spans="1:17" ht="15" customHeight="1" x14ac:dyDescent="0.25">
      <c r="A94">
        <f>'Customers Raw data'!A94</f>
        <v>1093</v>
      </c>
      <c r="B94" t="str">
        <f>'Customers Raw data'!B94</f>
        <v>2024-07-29</v>
      </c>
      <c r="C94" t="str">
        <f>'Customers Raw data'!C94</f>
        <v>Pro</v>
      </c>
      <c r="D94">
        <f>'Customers Raw data'!D94</f>
        <v>200</v>
      </c>
      <c r="E94">
        <f>'Customers Raw data'!E94</f>
        <v>100</v>
      </c>
      <c r="F94">
        <f>'Customers Raw data'!F94</f>
        <v>0</v>
      </c>
      <c r="G94">
        <f>IF('Customers Raw data'!F94&lt;&gt;"",1,0)</f>
        <v>0</v>
      </c>
      <c r="H94" t="str">
        <f>IF('Customers Raw data'!F94&lt;&gt;"",YEAR(DATEVALUE('Customers Raw data'!F94)),"")</f>
        <v/>
      </c>
      <c r="I94" t="str">
        <f>IF('Customers Raw data'!F94&lt;&gt;"",MONTH(DATEVALUE('Customers Raw data'!F94)),"")</f>
        <v/>
      </c>
      <c r="J94">
        <f>YEAR(DATEVALUE('Customers Raw data'!B94))</f>
        <v>2024</v>
      </c>
      <c r="K94">
        <f>MONTH(DATEVALUE('Customers Raw data'!B94))</f>
        <v>7</v>
      </c>
      <c r="L94">
        <f ca="1">IF('Customers Raw data'!F94&lt;&gt;"",DATEDIF(DATEVALUE('Customers Raw data'!B94),DATEVALUE('Customers Raw data'!F94),"M"),DATEDIF(DATEVALUE('Customers Raw data'!B94),TODAY(),"M"))</f>
        <v>20</v>
      </c>
      <c r="M94">
        <f t="shared" ca="1" si="5"/>
        <v>4000</v>
      </c>
      <c r="N94">
        <f t="shared" si="6"/>
        <v>2</v>
      </c>
      <c r="O94">
        <f t="shared" ca="1" si="7"/>
        <v>0</v>
      </c>
      <c r="P94">
        <f t="shared" si="8"/>
        <v>0</v>
      </c>
      <c r="Q94" t="e">
        <f t="shared" si="9"/>
        <v>#VALUE!</v>
      </c>
    </row>
    <row r="95" spans="1:17" ht="15" customHeight="1" x14ac:dyDescent="0.25">
      <c r="A95">
        <f>'Customers Raw data'!A95</f>
        <v>1094</v>
      </c>
      <c r="B95" t="str">
        <f>'Customers Raw data'!B95</f>
        <v>2024-12-31</v>
      </c>
      <c r="C95" t="str">
        <f>'Customers Raw data'!C95</f>
        <v>Enterprise</v>
      </c>
      <c r="D95">
        <f>'Customers Raw data'!D95</f>
        <v>500</v>
      </c>
      <c r="E95">
        <f>'Customers Raw data'!E95</f>
        <v>200</v>
      </c>
      <c r="F95">
        <f>'Customers Raw data'!F95</f>
        <v>0</v>
      </c>
      <c r="G95">
        <f>IF('Customers Raw data'!F95&lt;&gt;"",1,0)</f>
        <v>0</v>
      </c>
      <c r="H95" t="str">
        <f>IF('Customers Raw data'!F95&lt;&gt;"",YEAR(DATEVALUE('Customers Raw data'!F95)),"")</f>
        <v/>
      </c>
      <c r="I95" t="str">
        <f>IF('Customers Raw data'!F95&lt;&gt;"",MONTH(DATEVALUE('Customers Raw data'!F95)),"")</f>
        <v/>
      </c>
      <c r="J95">
        <f>YEAR(DATEVALUE('Customers Raw data'!B95))</f>
        <v>2024</v>
      </c>
      <c r="K95">
        <f>MONTH(DATEVALUE('Customers Raw data'!B95))</f>
        <v>12</v>
      </c>
      <c r="L95">
        <f ca="1">IF('Customers Raw data'!F95&lt;&gt;"",DATEDIF(DATEVALUE('Customers Raw data'!B95),DATEVALUE('Customers Raw data'!F95),"M"),DATEDIF(DATEVALUE('Customers Raw data'!B95),TODAY(),"M"))</f>
        <v>15</v>
      </c>
      <c r="M95">
        <f t="shared" ca="1" si="5"/>
        <v>7500</v>
      </c>
      <c r="N95">
        <f t="shared" si="6"/>
        <v>3</v>
      </c>
      <c r="O95">
        <f t="shared" ca="1" si="7"/>
        <v>0</v>
      </c>
      <c r="P95">
        <f t="shared" si="8"/>
        <v>0</v>
      </c>
      <c r="Q95" t="e">
        <f t="shared" si="9"/>
        <v>#VALUE!</v>
      </c>
    </row>
    <row r="96" spans="1:17" ht="15" customHeight="1" x14ac:dyDescent="0.25">
      <c r="A96">
        <f>'Customers Raw data'!A96</f>
        <v>1095</v>
      </c>
      <c r="B96" t="str">
        <f>'Customers Raw data'!B96</f>
        <v>2024-05-09</v>
      </c>
      <c r="C96" t="str">
        <f>'Customers Raw data'!C96</f>
        <v>Enterprise</v>
      </c>
      <c r="D96">
        <f>'Customers Raw data'!D96</f>
        <v>500</v>
      </c>
      <c r="E96">
        <f>'Customers Raw data'!E96</f>
        <v>200</v>
      </c>
      <c r="F96" t="str">
        <f>'Customers Raw data'!F96</f>
        <v>2024-08-11</v>
      </c>
      <c r="G96">
        <f>IF('Customers Raw data'!F96&lt;&gt;"",1,0)</f>
        <v>1</v>
      </c>
      <c r="H96">
        <f>IF('Customers Raw data'!F96&lt;&gt;"",YEAR(DATEVALUE('Customers Raw data'!F96)),"")</f>
        <v>2024</v>
      </c>
      <c r="I96">
        <f>IF('Customers Raw data'!F96&lt;&gt;"",MONTH(DATEVALUE('Customers Raw data'!F96)),"")</f>
        <v>8</v>
      </c>
      <c r="J96">
        <f>YEAR(DATEVALUE('Customers Raw data'!B96))</f>
        <v>2024</v>
      </c>
      <c r="K96">
        <f>MONTH(DATEVALUE('Customers Raw data'!B96))</f>
        <v>5</v>
      </c>
      <c r="L96">
        <f ca="1">IF('Customers Raw data'!F96&lt;&gt;"",DATEDIF(DATEVALUE('Customers Raw data'!B96),DATEVALUE('Customers Raw data'!F96),"M"),DATEDIF(DATEVALUE('Customers Raw data'!B96),TODAY(),"M"))</f>
        <v>3</v>
      </c>
      <c r="M96">
        <f t="shared" ca="1" si="5"/>
        <v>1500</v>
      </c>
      <c r="N96">
        <f t="shared" si="6"/>
        <v>3</v>
      </c>
      <c r="O96">
        <f t="shared" ca="1" si="7"/>
        <v>1</v>
      </c>
      <c r="P96">
        <f t="shared" si="8"/>
        <v>500</v>
      </c>
      <c r="Q96" t="str">
        <f t="shared" si="9"/>
        <v>2024-08</v>
      </c>
    </row>
    <row r="97" spans="1:17" ht="15" customHeight="1" x14ac:dyDescent="0.25">
      <c r="A97">
        <f>'Customers Raw data'!A97</f>
        <v>1096</v>
      </c>
      <c r="B97" t="str">
        <f>'Customers Raw data'!B97</f>
        <v>2025-06-10</v>
      </c>
      <c r="C97" t="str">
        <f>'Customers Raw data'!C97</f>
        <v>Enterprise</v>
      </c>
      <c r="D97">
        <f>'Customers Raw data'!D97</f>
        <v>500</v>
      </c>
      <c r="E97">
        <f>'Customers Raw data'!E97</f>
        <v>200</v>
      </c>
      <c r="F97">
        <f>'Customers Raw data'!F97</f>
        <v>0</v>
      </c>
      <c r="G97">
        <f>IF('Customers Raw data'!F97&lt;&gt;"",1,0)</f>
        <v>0</v>
      </c>
      <c r="H97" t="str">
        <f>IF('Customers Raw data'!F97&lt;&gt;"",YEAR(DATEVALUE('Customers Raw data'!F97)),"")</f>
        <v/>
      </c>
      <c r="I97" t="str">
        <f>IF('Customers Raw data'!F97&lt;&gt;"",MONTH(DATEVALUE('Customers Raw data'!F97)),"")</f>
        <v/>
      </c>
      <c r="J97">
        <f>YEAR(DATEVALUE('Customers Raw data'!B97))</f>
        <v>2025</v>
      </c>
      <c r="K97">
        <f>MONTH(DATEVALUE('Customers Raw data'!B97))</f>
        <v>6</v>
      </c>
      <c r="L97">
        <f ca="1">IF('Customers Raw data'!F97&lt;&gt;"",DATEDIF(DATEVALUE('Customers Raw data'!B97),DATEVALUE('Customers Raw data'!F97),"M"),DATEDIF(DATEVALUE('Customers Raw data'!B97),TODAY(),"M"))</f>
        <v>9</v>
      </c>
      <c r="M97">
        <f t="shared" ca="1" si="5"/>
        <v>4500</v>
      </c>
      <c r="N97">
        <f t="shared" si="6"/>
        <v>3</v>
      </c>
      <c r="O97">
        <f t="shared" ca="1" si="7"/>
        <v>0</v>
      </c>
      <c r="P97">
        <f t="shared" si="8"/>
        <v>0</v>
      </c>
      <c r="Q97" t="e">
        <f t="shared" si="9"/>
        <v>#VALUE!</v>
      </c>
    </row>
    <row r="98" spans="1:17" ht="15" customHeight="1" x14ac:dyDescent="0.25">
      <c r="A98">
        <f>'Customers Raw data'!A98</f>
        <v>1097</v>
      </c>
      <c r="B98" t="str">
        <f>'Customers Raw data'!B98</f>
        <v>2024-05-26</v>
      </c>
      <c r="C98" t="str">
        <f>'Customers Raw data'!C98</f>
        <v>Enterprise</v>
      </c>
      <c r="D98">
        <f>'Customers Raw data'!D98</f>
        <v>500</v>
      </c>
      <c r="E98">
        <f>'Customers Raw data'!E98</f>
        <v>200</v>
      </c>
      <c r="F98">
        <f>'Customers Raw data'!F98</f>
        <v>0</v>
      </c>
      <c r="G98">
        <f>IF('Customers Raw data'!F98&lt;&gt;"",1,0)</f>
        <v>0</v>
      </c>
      <c r="H98" t="str">
        <f>IF('Customers Raw data'!F98&lt;&gt;"",YEAR(DATEVALUE('Customers Raw data'!F98)),"")</f>
        <v/>
      </c>
      <c r="I98" t="str">
        <f>IF('Customers Raw data'!F98&lt;&gt;"",MONTH(DATEVALUE('Customers Raw data'!F98)),"")</f>
        <v/>
      </c>
      <c r="J98">
        <f>YEAR(DATEVALUE('Customers Raw data'!B98))</f>
        <v>2024</v>
      </c>
      <c r="K98">
        <f>MONTH(DATEVALUE('Customers Raw data'!B98))</f>
        <v>5</v>
      </c>
      <c r="L98">
        <f ca="1">IF('Customers Raw data'!F98&lt;&gt;"",DATEDIF(DATEVALUE('Customers Raw data'!B98),DATEVALUE('Customers Raw data'!F98),"M"),DATEDIF(DATEVALUE('Customers Raw data'!B98),TODAY(),"M"))</f>
        <v>22</v>
      </c>
      <c r="M98">
        <f t="shared" ca="1" si="5"/>
        <v>11000</v>
      </c>
      <c r="N98">
        <f t="shared" si="6"/>
        <v>3</v>
      </c>
      <c r="O98">
        <f t="shared" ca="1" si="7"/>
        <v>0</v>
      </c>
      <c r="P98">
        <f t="shared" si="8"/>
        <v>0</v>
      </c>
      <c r="Q98" t="e">
        <f t="shared" si="9"/>
        <v>#VALUE!</v>
      </c>
    </row>
    <row r="99" spans="1:17" ht="15" customHeight="1" x14ac:dyDescent="0.25">
      <c r="A99">
        <f>'Customers Raw data'!A99</f>
        <v>1098</v>
      </c>
      <c r="B99" t="str">
        <f>'Customers Raw data'!B99</f>
        <v>2025-01-02</v>
      </c>
      <c r="C99" t="str">
        <f>'Customers Raw data'!C99</f>
        <v>Enterprise</v>
      </c>
      <c r="D99">
        <f>'Customers Raw data'!D99</f>
        <v>500</v>
      </c>
      <c r="E99">
        <f>'Customers Raw data'!E99</f>
        <v>200</v>
      </c>
      <c r="F99">
        <f>'Customers Raw data'!F99</f>
        <v>0</v>
      </c>
      <c r="G99">
        <f>IF('Customers Raw data'!F99&lt;&gt;"",1,0)</f>
        <v>0</v>
      </c>
      <c r="H99" t="str">
        <f>IF('Customers Raw data'!F99&lt;&gt;"",YEAR(DATEVALUE('Customers Raw data'!F99)),"")</f>
        <v/>
      </c>
      <c r="I99" t="str">
        <f>IF('Customers Raw data'!F99&lt;&gt;"",MONTH(DATEVALUE('Customers Raw data'!F99)),"")</f>
        <v/>
      </c>
      <c r="J99">
        <f>YEAR(DATEVALUE('Customers Raw data'!B99))</f>
        <v>2025</v>
      </c>
      <c r="K99">
        <f>MONTH(DATEVALUE('Customers Raw data'!B99))</f>
        <v>1</v>
      </c>
      <c r="L99">
        <f ca="1">IF('Customers Raw data'!F99&lt;&gt;"",DATEDIF(DATEVALUE('Customers Raw data'!B99),DATEVALUE('Customers Raw data'!F99),"M"),DATEDIF(DATEVALUE('Customers Raw data'!B99),TODAY(),"M"))</f>
        <v>15</v>
      </c>
      <c r="M99">
        <f t="shared" ca="1" si="5"/>
        <v>7500</v>
      </c>
      <c r="N99">
        <f t="shared" si="6"/>
        <v>3</v>
      </c>
      <c r="O99">
        <f t="shared" ca="1" si="7"/>
        <v>0</v>
      </c>
      <c r="P99">
        <f t="shared" si="8"/>
        <v>0</v>
      </c>
      <c r="Q99" t="e">
        <f t="shared" si="9"/>
        <v>#VALUE!</v>
      </c>
    </row>
    <row r="100" spans="1:17" ht="15" customHeight="1" x14ac:dyDescent="0.25">
      <c r="A100">
        <f>'Customers Raw data'!A100</f>
        <v>1099</v>
      </c>
      <c r="B100" t="str">
        <f>'Customers Raw data'!B100</f>
        <v>2025-01-21</v>
      </c>
      <c r="C100" t="str">
        <f>'Customers Raw data'!C100</f>
        <v>Enterprise</v>
      </c>
      <c r="D100">
        <f>'Customers Raw data'!D100</f>
        <v>500</v>
      </c>
      <c r="E100">
        <f>'Customers Raw data'!E100</f>
        <v>200</v>
      </c>
      <c r="F100">
        <f>'Customers Raw data'!F100</f>
        <v>0</v>
      </c>
      <c r="G100">
        <f>IF('Customers Raw data'!F100&lt;&gt;"",1,0)</f>
        <v>0</v>
      </c>
      <c r="H100" t="str">
        <f>IF('Customers Raw data'!F100&lt;&gt;"",YEAR(DATEVALUE('Customers Raw data'!F100)),"")</f>
        <v/>
      </c>
      <c r="I100" t="str">
        <f>IF('Customers Raw data'!F100&lt;&gt;"",MONTH(DATEVALUE('Customers Raw data'!F100)),"")</f>
        <v/>
      </c>
      <c r="J100">
        <f>YEAR(DATEVALUE('Customers Raw data'!B100))</f>
        <v>2025</v>
      </c>
      <c r="K100">
        <f>MONTH(DATEVALUE('Customers Raw data'!B100))</f>
        <v>1</v>
      </c>
      <c r="L100">
        <f ca="1">IF('Customers Raw data'!F100&lt;&gt;"",DATEDIF(DATEVALUE('Customers Raw data'!B100),DATEVALUE('Customers Raw data'!F100),"M"),DATEDIF(DATEVALUE('Customers Raw data'!B100),TODAY(),"M"))</f>
        <v>14</v>
      </c>
      <c r="M100">
        <f t="shared" ca="1" si="5"/>
        <v>7000</v>
      </c>
      <c r="N100">
        <f t="shared" si="6"/>
        <v>3</v>
      </c>
      <c r="O100">
        <f t="shared" ca="1" si="7"/>
        <v>0</v>
      </c>
      <c r="P100">
        <f t="shared" si="8"/>
        <v>0</v>
      </c>
      <c r="Q100" t="e">
        <f t="shared" si="9"/>
        <v>#VALUE!</v>
      </c>
    </row>
    <row r="101" spans="1:17" ht="15" customHeight="1" x14ac:dyDescent="0.25">
      <c r="A101">
        <f>'Customers Raw data'!A101</f>
        <v>1100</v>
      </c>
      <c r="B101" t="str">
        <f>'Customers Raw data'!B101</f>
        <v>2024-05-20</v>
      </c>
      <c r="C101" t="str">
        <f>'Customers Raw data'!C101</f>
        <v>Enterprise</v>
      </c>
      <c r="D101">
        <f>'Customers Raw data'!D101</f>
        <v>500</v>
      </c>
      <c r="E101">
        <f>'Customers Raw data'!E101</f>
        <v>200</v>
      </c>
      <c r="F101">
        <f>'Customers Raw data'!F101</f>
        <v>0</v>
      </c>
      <c r="G101">
        <f>IF('Customers Raw data'!F101&lt;&gt;"",1,0)</f>
        <v>0</v>
      </c>
      <c r="H101" t="str">
        <f>IF('Customers Raw data'!F101&lt;&gt;"",YEAR(DATEVALUE('Customers Raw data'!F101)),"")</f>
        <v/>
      </c>
      <c r="I101" t="str">
        <f>IF('Customers Raw data'!F101&lt;&gt;"",MONTH(DATEVALUE('Customers Raw data'!F101)),"")</f>
        <v/>
      </c>
      <c r="J101">
        <f>YEAR(DATEVALUE('Customers Raw data'!B101))</f>
        <v>2024</v>
      </c>
      <c r="K101">
        <f>MONTH(DATEVALUE('Customers Raw data'!B101))</f>
        <v>5</v>
      </c>
      <c r="L101">
        <f ca="1">IF('Customers Raw data'!F101&lt;&gt;"",DATEDIF(DATEVALUE('Customers Raw data'!B101),DATEVALUE('Customers Raw data'!F101),"M"),DATEDIF(DATEVALUE('Customers Raw data'!B101),TODAY(),"M"))</f>
        <v>22</v>
      </c>
      <c r="M101">
        <f t="shared" ca="1" si="5"/>
        <v>11000</v>
      </c>
      <c r="N101">
        <f t="shared" si="6"/>
        <v>3</v>
      </c>
      <c r="O101">
        <f t="shared" ca="1" si="7"/>
        <v>0</v>
      </c>
      <c r="P101">
        <f t="shared" si="8"/>
        <v>0</v>
      </c>
      <c r="Q101" t="e">
        <f t="shared" si="9"/>
        <v>#VALUE!</v>
      </c>
    </row>
    <row r="102" spans="1:17" ht="15" customHeight="1" x14ac:dyDescent="0.25">
      <c r="A102">
        <f>'Customers Raw data'!A102</f>
        <v>1101</v>
      </c>
      <c r="B102" t="str">
        <f>'Customers Raw data'!B102</f>
        <v>2024-09-06</v>
      </c>
      <c r="C102" t="str">
        <f>'Customers Raw data'!C102</f>
        <v>Enterprise</v>
      </c>
      <c r="D102">
        <f>'Customers Raw data'!D102</f>
        <v>500</v>
      </c>
      <c r="E102">
        <f>'Customers Raw data'!E102</f>
        <v>200</v>
      </c>
      <c r="F102">
        <f>'Customers Raw data'!F102</f>
        <v>0</v>
      </c>
      <c r="G102">
        <f>IF('Customers Raw data'!F102&lt;&gt;"",1,0)</f>
        <v>0</v>
      </c>
      <c r="H102" t="str">
        <f>IF('Customers Raw data'!F102&lt;&gt;"",YEAR(DATEVALUE('Customers Raw data'!F102)),"")</f>
        <v/>
      </c>
      <c r="I102" t="str">
        <f>IF('Customers Raw data'!F102&lt;&gt;"",MONTH(DATEVALUE('Customers Raw data'!F102)),"")</f>
        <v/>
      </c>
      <c r="J102">
        <f>YEAR(DATEVALUE('Customers Raw data'!B102))</f>
        <v>2024</v>
      </c>
      <c r="K102">
        <f>MONTH(DATEVALUE('Customers Raw data'!B102))</f>
        <v>9</v>
      </c>
      <c r="L102">
        <f ca="1">IF('Customers Raw data'!F102&lt;&gt;"",DATEDIF(DATEVALUE('Customers Raw data'!B102),DATEVALUE('Customers Raw data'!F102),"M"),DATEDIF(DATEVALUE('Customers Raw data'!B102),TODAY(),"M"))</f>
        <v>19</v>
      </c>
      <c r="M102">
        <f t="shared" ca="1" si="5"/>
        <v>9500</v>
      </c>
      <c r="N102">
        <f t="shared" si="6"/>
        <v>3</v>
      </c>
      <c r="O102">
        <f t="shared" ca="1" si="7"/>
        <v>0</v>
      </c>
      <c r="P102">
        <f t="shared" si="8"/>
        <v>0</v>
      </c>
      <c r="Q102" t="e">
        <f t="shared" si="9"/>
        <v>#VALUE!</v>
      </c>
    </row>
    <row r="103" spans="1:17" ht="15" customHeight="1" x14ac:dyDescent="0.25">
      <c r="A103">
        <f>'Customers Raw data'!A103</f>
        <v>1102</v>
      </c>
      <c r="B103" t="str">
        <f>'Customers Raw data'!B103</f>
        <v>2025-06-25</v>
      </c>
      <c r="C103" t="str">
        <f>'Customers Raw data'!C103</f>
        <v>Pro</v>
      </c>
      <c r="D103">
        <f>'Customers Raw data'!D103</f>
        <v>200</v>
      </c>
      <c r="E103">
        <f>'Customers Raw data'!E103</f>
        <v>100</v>
      </c>
      <c r="F103">
        <f>'Customers Raw data'!F103</f>
        <v>0</v>
      </c>
      <c r="G103">
        <f>IF('Customers Raw data'!F103&lt;&gt;"",1,0)</f>
        <v>0</v>
      </c>
      <c r="H103" t="str">
        <f>IF('Customers Raw data'!F103&lt;&gt;"",YEAR(DATEVALUE('Customers Raw data'!F103)),"")</f>
        <v/>
      </c>
      <c r="I103" t="str">
        <f>IF('Customers Raw data'!F103&lt;&gt;"",MONTH(DATEVALUE('Customers Raw data'!F103)),"")</f>
        <v/>
      </c>
      <c r="J103">
        <f>YEAR(DATEVALUE('Customers Raw data'!B103))</f>
        <v>2025</v>
      </c>
      <c r="K103">
        <f>MONTH(DATEVALUE('Customers Raw data'!B103))</f>
        <v>6</v>
      </c>
      <c r="L103">
        <f ca="1">IF('Customers Raw data'!F103&lt;&gt;"",DATEDIF(DATEVALUE('Customers Raw data'!B103),DATEVALUE('Customers Raw data'!F103),"M"),DATEDIF(DATEVALUE('Customers Raw data'!B103),TODAY(),"M"))</f>
        <v>9</v>
      </c>
      <c r="M103">
        <f t="shared" ca="1" si="5"/>
        <v>1800</v>
      </c>
      <c r="N103">
        <f t="shared" si="6"/>
        <v>2</v>
      </c>
      <c r="O103">
        <f t="shared" ca="1" si="7"/>
        <v>0</v>
      </c>
      <c r="P103">
        <f t="shared" si="8"/>
        <v>0</v>
      </c>
      <c r="Q103" t="e">
        <f t="shared" si="9"/>
        <v>#VALUE!</v>
      </c>
    </row>
    <row r="104" spans="1:17" ht="15" customHeight="1" x14ac:dyDescent="0.25">
      <c r="A104">
        <f>'Customers Raw data'!A104</f>
        <v>1103</v>
      </c>
      <c r="B104" t="str">
        <f>'Customers Raw data'!B104</f>
        <v>2024-03-04</v>
      </c>
      <c r="C104" t="str">
        <f>'Customers Raw data'!C104</f>
        <v>Basic</v>
      </c>
      <c r="D104">
        <f>'Customers Raw data'!D104</f>
        <v>50</v>
      </c>
      <c r="E104">
        <f>'Customers Raw data'!E104</f>
        <v>30</v>
      </c>
      <c r="F104">
        <f>'Customers Raw data'!F104</f>
        <v>0</v>
      </c>
      <c r="G104">
        <f>IF('Customers Raw data'!F104&lt;&gt;"",1,0)</f>
        <v>0</v>
      </c>
      <c r="H104" t="str">
        <f>IF('Customers Raw data'!F104&lt;&gt;"",YEAR(DATEVALUE('Customers Raw data'!F104)),"")</f>
        <v/>
      </c>
      <c r="I104" t="str">
        <f>IF('Customers Raw data'!F104&lt;&gt;"",MONTH(DATEVALUE('Customers Raw data'!F104)),"")</f>
        <v/>
      </c>
      <c r="J104">
        <f>YEAR(DATEVALUE('Customers Raw data'!B104))</f>
        <v>2024</v>
      </c>
      <c r="K104">
        <f>MONTH(DATEVALUE('Customers Raw data'!B104))</f>
        <v>3</v>
      </c>
      <c r="L104">
        <f ca="1">IF('Customers Raw data'!F104&lt;&gt;"",DATEDIF(DATEVALUE('Customers Raw data'!B104),DATEVALUE('Customers Raw data'!F104),"M"),DATEDIF(DATEVALUE('Customers Raw data'!B104),TODAY(),"M"))</f>
        <v>25</v>
      </c>
      <c r="M104">
        <f t="shared" ca="1" si="5"/>
        <v>1250</v>
      </c>
      <c r="N104">
        <f t="shared" si="6"/>
        <v>1</v>
      </c>
      <c r="O104">
        <f t="shared" ca="1" si="7"/>
        <v>0</v>
      </c>
      <c r="P104">
        <f t="shared" si="8"/>
        <v>0</v>
      </c>
      <c r="Q104" t="e">
        <f t="shared" si="9"/>
        <v>#VALUE!</v>
      </c>
    </row>
    <row r="105" spans="1:17" ht="15" customHeight="1" x14ac:dyDescent="0.25">
      <c r="A105">
        <f>'Customers Raw data'!A105</f>
        <v>1104</v>
      </c>
      <c r="B105" t="str">
        <f>'Customers Raw data'!B105</f>
        <v>2024-03-07</v>
      </c>
      <c r="C105" t="str">
        <f>'Customers Raw data'!C105</f>
        <v>Pro</v>
      </c>
      <c r="D105">
        <f>'Customers Raw data'!D105</f>
        <v>200</v>
      </c>
      <c r="E105">
        <f>'Customers Raw data'!E105</f>
        <v>100</v>
      </c>
      <c r="F105">
        <f>'Customers Raw data'!F105</f>
        <v>0</v>
      </c>
      <c r="G105">
        <f>IF('Customers Raw data'!F105&lt;&gt;"",1,0)</f>
        <v>0</v>
      </c>
      <c r="H105" t="str">
        <f>IF('Customers Raw data'!F105&lt;&gt;"",YEAR(DATEVALUE('Customers Raw data'!F105)),"")</f>
        <v/>
      </c>
      <c r="I105" t="str">
        <f>IF('Customers Raw data'!F105&lt;&gt;"",MONTH(DATEVALUE('Customers Raw data'!F105)),"")</f>
        <v/>
      </c>
      <c r="J105">
        <f>YEAR(DATEVALUE('Customers Raw data'!B105))</f>
        <v>2024</v>
      </c>
      <c r="K105">
        <f>MONTH(DATEVALUE('Customers Raw data'!B105))</f>
        <v>3</v>
      </c>
      <c r="L105">
        <f ca="1">IF('Customers Raw data'!F105&lt;&gt;"",DATEDIF(DATEVALUE('Customers Raw data'!B105),DATEVALUE('Customers Raw data'!F105),"M"),DATEDIF(DATEVALUE('Customers Raw data'!B105),TODAY(),"M"))</f>
        <v>25</v>
      </c>
      <c r="M105">
        <f t="shared" ca="1" si="5"/>
        <v>5000</v>
      </c>
      <c r="N105">
        <f t="shared" si="6"/>
        <v>2</v>
      </c>
      <c r="O105">
        <f t="shared" ca="1" si="7"/>
        <v>0</v>
      </c>
      <c r="P105">
        <f t="shared" si="8"/>
        <v>0</v>
      </c>
      <c r="Q105" t="e">
        <f t="shared" si="9"/>
        <v>#VALUE!</v>
      </c>
    </row>
    <row r="106" spans="1:17" ht="15" customHeight="1" x14ac:dyDescent="0.25">
      <c r="A106">
        <f>'Customers Raw data'!A106</f>
        <v>1105</v>
      </c>
      <c r="B106" t="str">
        <f>'Customers Raw data'!B106</f>
        <v>2025-01-29</v>
      </c>
      <c r="C106" t="str">
        <f>'Customers Raw data'!C106</f>
        <v>Basic</v>
      </c>
      <c r="D106">
        <f>'Customers Raw data'!D106</f>
        <v>50</v>
      </c>
      <c r="E106">
        <f>'Customers Raw data'!E106</f>
        <v>30</v>
      </c>
      <c r="F106">
        <f>'Customers Raw data'!F106</f>
        <v>0</v>
      </c>
      <c r="G106">
        <f>IF('Customers Raw data'!F106&lt;&gt;"",1,0)</f>
        <v>0</v>
      </c>
      <c r="H106" t="str">
        <f>IF('Customers Raw data'!F106&lt;&gt;"",YEAR(DATEVALUE('Customers Raw data'!F106)),"")</f>
        <v/>
      </c>
      <c r="I106" t="str">
        <f>IF('Customers Raw data'!F106&lt;&gt;"",MONTH(DATEVALUE('Customers Raw data'!F106)),"")</f>
        <v/>
      </c>
      <c r="J106">
        <f>YEAR(DATEVALUE('Customers Raw data'!B106))</f>
        <v>2025</v>
      </c>
      <c r="K106">
        <f>MONTH(DATEVALUE('Customers Raw data'!B106))</f>
        <v>1</v>
      </c>
      <c r="L106">
        <f ca="1">IF('Customers Raw data'!F106&lt;&gt;"",DATEDIF(DATEVALUE('Customers Raw data'!B106),DATEVALUE('Customers Raw data'!F106),"M"),DATEDIF(DATEVALUE('Customers Raw data'!B106),TODAY(),"M"))</f>
        <v>14</v>
      </c>
      <c r="M106">
        <f t="shared" ca="1" si="5"/>
        <v>700</v>
      </c>
      <c r="N106">
        <f t="shared" si="6"/>
        <v>1</v>
      </c>
      <c r="O106">
        <f t="shared" ca="1" si="7"/>
        <v>0</v>
      </c>
      <c r="P106">
        <f t="shared" si="8"/>
        <v>0</v>
      </c>
      <c r="Q106" t="e">
        <f t="shared" si="9"/>
        <v>#VALUE!</v>
      </c>
    </row>
    <row r="107" spans="1:17" ht="15" customHeight="1" x14ac:dyDescent="0.25">
      <c r="A107">
        <f>'Customers Raw data'!A107</f>
        <v>1106</v>
      </c>
      <c r="B107" t="str">
        <f>'Customers Raw data'!B107</f>
        <v>2024-07-25</v>
      </c>
      <c r="C107" t="str">
        <f>'Customers Raw data'!C107</f>
        <v>Pro</v>
      </c>
      <c r="D107">
        <f>'Customers Raw data'!D107</f>
        <v>200</v>
      </c>
      <c r="E107">
        <f>'Customers Raw data'!E107</f>
        <v>100</v>
      </c>
      <c r="F107">
        <f>'Customers Raw data'!F107</f>
        <v>0</v>
      </c>
      <c r="G107">
        <f>IF('Customers Raw data'!F107&lt;&gt;"",1,0)</f>
        <v>0</v>
      </c>
      <c r="H107" t="str">
        <f>IF('Customers Raw data'!F107&lt;&gt;"",YEAR(DATEVALUE('Customers Raw data'!F107)),"")</f>
        <v/>
      </c>
      <c r="I107" t="str">
        <f>IF('Customers Raw data'!F107&lt;&gt;"",MONTH(DATEVALUE('Customers Raw data'!F107)),"")</f>
        <v/>
      </c>
      <c r="J107">
        <f>YEAR(DATEVALUE('Customers Raw data'!B107))</f>
        <v>2024</v>
      </c>
      <c r="K107">
        <f>MONTH(DATEVALUE('Customers Raw data'!B107))</f>
        <v>7</v>
      </c>
      <c r="L107">
        <f ca="1">IF('Customers Raw data'!F107&lt;&gt;"",DATEDIF(DATEVALUE('Customers Raw data'!B107),DATEVALUE('Customers Raw data'!F107),"M"),DATEDIF(DATEVALUE('Customers Raw data'!B107),TODAY(),"M"))</f>
        <v>20</v>
      </c>
      <c r="M107">
        <f t="shared" ca="1" si="5"/>
        <v>4000</v>
      </c>
      <c r="N107">
        <f t="shared" si="6"/>
        <v>2</v>
      </c>
      <c r="O107">
        <f t="shared" ca="1" si="7"/>
        <v>0</v>
      </c>
      <c r="P107">
        <f t="shared" si="8"/>
        <v>0</v>
      </c>
      <c r="Q107" t="e">
        <f t="shared" si="9"/>
        <v>#VALUE!</v>
      </c>
    </row>
    <row r="108" spans="1:17" ht="15" customHeight="1" x14ac:dyDescent="0.25">
      <c r="A108">
        <f>'Customers Raw data'!A108</f>
        <v>1107</v>
      </c>
      <c r="B108" t="str">
        <f>'Customers Raw data'!B108</f>
        <v>2024-02-19</v>
      </c>
      <c r="C108" t="str">
        <f>'Customers Raw data'!C108</f>
        <v>Pro</v>
      </c>
      <c r="D108">
        <f>'Customers Raw data'!D108</f>
        <v>200</v>
      </c>
      <c r="E108">
        <f>'Customers Raw data'!E108</f>
        <v>100</v>
      </c>
      <c r="F108">
        <f>'Customers Raw data'!F108</f>
        <v>0</v>
      </c>
      <c r="G108">
        <f>IF('Customers Raw data'!F108&lt;&gt;"",1,0)</f>
        <v>0</v>
      </c>
      <c r="H108" t="str">
        <f>IF('Customers Raw data'!F108&lt;&gt;"",YEAR(DATEVALUE('Customers Raw data'!F108)),"")</f>
        <v/>
      </c>
      <c r="I108" t="str">
        <f>IF('Customers Raw data'!F108&lt;&gt;"",MONTH(DATEVALUE('Customers Raw data'!F108)),"")</f>
        <v/>
      </c>
      <c r="J108">
        <f>YEAR(DATEVALUE('Customers Raw data'!B108))</f>
        <v>2024</v>
      </c>
      <c r="K108">
        <f>MONTH(DATEVALUE('Customers Raw data'!B108))</f>
        <v>2</v>
      </c>
      <c r="L108">
        <f ca="1">IF('Customers Raw data'!F108&lt;&gt;"",DATEDIF(DATEVALUE('Customers Raw data'!B108),DATEVALUE('Customers Raw data'!F108),"M"),DATEDIF(DATEVALUE('Customers Raw data'!B108),TODAY(),"M"))</f>
        <v>25</v>
      </c>
      <c r="M108">
        <f t="shared" ca="1" si="5"/>
        <v>5000</v>
      </c>
      <c r="N108">
        <f t="shared" si="6"/>
        <v>2</v>
      </c>
      <c r="O108">
        <f t="shared" ca="1" si="7"/>
        <v>0</v>
      </c>
      <c r="P108">
        <f t="shared" si="8"/>
        <v>0</v>
      </c>
      <c r="Q108" t="e">
        <f t="shared" si="9"/>
        <v>#VALUE!</v>
      </c>
    </row>
    <row r="109" spans="1:17" ht="15" customHeight="1" x14ac:dyDescent="0.25">
      <c r="A109">
        <f>'Customers Raw data'!A109</f>
        <v>1108</v>
      </c>
      <c r="B109" t="str">
        <f>'Customers Raw data'!B109</f>
        <v>2024-11-19</v>
      </c>
      <c r="C109" t="str">
        <f>'Customers Raw data'!C109</f>
        <v>Pro</v>
      </c>
      <c r="D109">
        <f>'Customers Raw data'!D109</f>
        <v>200</v>
      </c>
      <c r="E109">
        <f>'Customers Raw data'!E109</f>
        <v>100</v>
      </c>
      <c r="F109">
        <f>'Customers Raw data'!F109</f>
        <v>0</v>
      </c>
      <c r="G109">
        <f>IF('Customers Raw data'!F109&lt;&gt;"",1,0)</f>
        <v>0</v>
      </c>
      <c r="H109" t="str">
        <f>IF('Customers Raw data'!F109&lt;&gt;"",YEAR(DATEVALUE('Customers Raw data'!F109)),"")</f>
        <v/>
      </c>
      <c r="I109" t="str">
        <f>IF('Customers Raw data'!F109&lt;&gt;"",MONTH(DATEVALUE('Customers Raw data'!F109)),"")</f>
        <v/>
      </c>
      <c r="J109">
        <f>YEAR(DATEVALUE('Customers Raw data'!B109))</f>
        <v>2024</v>
      </c>
      <c r="K109">
        <f>MONTH(DATEVALUE('Customers Raw data'!B109))</f>
        <v>11</v>
      </c>
      <c r="L109">
        <f ca="1">IF('Customers Raw data'!F109&lt;&gt;"",DATEDIF(DATEVALUE('Customers Raw data'!B109),DATEVALUE('Customers Raw data'!F109),"M"),DATEDIF(DATEVALUE('Customers Raw data'!B109),TODAY(),"M"))</f>
        <v>16</v>
      </c>
      <c r="M109">
        <f t="shared" ca="1" si="5"/>
        <v>3200</v>
      </c>
      <c r="N109">
        <f t="shared" si="6"/>
        <v>2</v>
      </c>
      <c r="O109">
        <f t="shared" ca="1" si="7"/>
        <v>0</v>
      </c>
      <c r="P109">
        <f t="shared" si="8"/>
        <v>0</v>
      </c>
      <c r="Q109" t="e">
        <f t="shared" si="9"/>
        <v>#VALUE!</v>
      </c>
    </row>
    <row r="110" spans="1:17" ht="15" customHeight="1" x14ac:dyDescent="0.25">
      <c r="A110">
        <f>'Customers Raw data'!A110</f>
        <v>1109</v>
      </c>
      <c r="B110" t="str">
        <f>'Customers Raw data'!B110</f>
        <v>2024-06-06</v>
      </c>
      <c r="C110" t="str">
        <f>'Customers Raw data'!C110</f>
        <v>Pro</v>
      </c>
      <c r="D110">
        <f>'Customers Raw data'!D110</f>
        <v>200</v>
      </c>
      <c r="E110">
        <f>'Customers Raw data'!E110</f>
        <v>100</v>
      </c>
      <c r="F110">
        <f>'Customers Raw data'!F110</f>
        <v>0</v>
      </c>
      <c r="G110">
        <f>IF('Customers Raw data'!F110&lt;&gt;"",1,0)</f>
        <v>0</v>
      </c>
      <c r="H110" t="str">
        <f>IF('Customers Raw data'!F110&lt;&gt;"",YEAR(DATEVALUE('Customers Raw data'!F110)),"")</f>
        <v/>
      </c>
      <c r="I110" t="str">
        <f>IF('Customers Raw data'!F110&lt;&gt;"",MONTH(DATEVALUE('Customers Raw data'!F110)),"")</f>
        <v/>
      </c>
      <c r="J110">
        <f>YEAR(DATEVALUE('Customers Raw data'!B110))</f>
        <v>2024</v>
      </c>
      <c r="K110">
        <f>MONTH(DATEVALUE('Customers Raw data'!B110))</f>
        <v>6</v>
      </c>
      <c r="L110">
        <f ca="1">IF('Customers Raw data'!F110&lt;&gt;"",DATEDIF(DATEVALUE('Customers Raw data'!B110),DATEVALUE('Customers Raw data'!F110),"M"),DATEDIF(DATEVALUE('Customers Raw data'!B110),TODAY(),"M"))</f>
        <v>22</v>
      </c>
      <c r="M110">
        <f t="shared" ca="1" si="5"/>
        <v>4400</v>
      </c>
      <c r="N110">
        <f t="shared" si="6"/>
        <v>2</v>
      </c>
      <c r="O110">
        <f t="shared" ca="1" si="7"/>
        <v>0</v>
      </c>
      <c r="P110">
        <f t="shared" si="8"/>
        <v>0</v>
      </c>
      <c r="Q110" t="e">
        <f t="shared" si="9"/>
        <v>#VALUE!</v>
      </c>
    </row>
    <row r="111" spans="1:17" ht="15" customHeight="1" x14ac:dyDescent="0.25">
      <c r="A111">
        <f>'Customers Raw data'!A111</f>
        <v>1110</v>
      </c>
      <c r="B111" t="str">
        <f>'Customers Raw data'!B111</f>
        <v>2024-11-28</v>
      </c>
      <c r="C111" t="str">
        <f>'Customers Raw data'!C111</f>
        <v>Basic</v>
      </c>
      <c r="D111">
        <f>'Customers Raw data'!D111</f>
        <v>50</v>
      </c>
      <c r="E111">
        <f>'Customers Raw data'!E111</f>
        <v>30</v>
      </c>
      <c r="F111">
        <f>'Customers Raw data'!F111</f>
        <v>0</v>
      </c>
      <c r="G111">
        <f>IF('Customers Raw data'!F111&lt;&gt;"",1,0)</f>
        <v>0</v>
      </c>
      <c r="H111" t="str">
        <f>IF('Customers Raw data'!F111&lt;&gt;"",YEAR(DATEVALUE('Customers Raw data'!F111)),"")</f>
        <v/>
      </c>
      <c r="I111" t="str">
        <f>IF('Customers Raw data'!F111&lt;&gt;"",MONTH(DATEVALUE('Customers Raw data'!F111)),"")</f>
        <v/>
      </c>
      <c r="J111">
        <f>YEAR(DATEVALUE('Customers Raw data'!B111))</f>
        <v>2024</v>
      </c>
      <c r="K111">
        <f>MONTH(DATEVALUE('Customers Raw data'!B111))</f>
        <v>11</v>
      </c>
      <c r="L111">
        <f ca="1">IF('Customers Raw data'!F111&lt;&gt;"",DATEDIF(DATEVALUE('Customers Raw data'!B111),DATEVALUE('Customers Raw data'!F111),"M"),DATEDIF(DATEVALUE('Customers Raw data'!B111),TODAY(),"M"))</f>
        <v>16</v>
      </c>
      <c r="M111">
        <f t="shared" ca="1" si="5"/>
        <v>800</v>
      </c>
      <c r="N111">
        <f t="shared" si="6"/>
        <v>1</v>
      </c>
      <c r="O111">
        <f t="shared" ca="1" si="7"/>
        <v>0</v>
      </c>
      <c r="P111">
        <f t="shared" si="8"/>
        <v>0</v>
      </c>
      <c r="Q111" t="e">
        <f t="shared" si="9"/>
        <v>#VALUE!</v>
      </c>
    </row>
    <row r="112" spans="1:17" ht="15" customHeight="1" x14ac:dyDescent="0.25">
      <c r="A112">
        <f>'Customers Raw data'!A112</f>
        <v>1111</v>
      </c>
      <c r="B112" t="str">
        <f>'Customers Raw data'!B112</f>
        <v>2025-04-18</v>
      </c>
      <c r="C112" t="str">
        <f>'Customers Raw data'!C112</f>
        <v>Pro</v>
      </c>
      <c r="D112">
        <f>'Customers Raw data'!D112</f>
        <v>200</v>
      </c>
      <c r="E112">
        <f>'Customers Raw data'!E112</f>
        <v>100</v>
      </c>
      <c r="F112">
        <f>'Customers Raw data'!F112</f>
        <v>0</v>
      </c>
      <c r="G112">
        <f>IF('Customers Raw data'!F112&lt;&gt;"",1,0)</f>
        <v>0</v>
      </c>
      <c r="H112" t="str">
        <f>IF('Customers Raw data'!F112&lt;&gt;"",YEAR(DATEVALUE('Customers Raw data'!F112)),"")</f>
        <v/>
      </c>
      <c r="I112" t="str">
        <f>IF('Customers Raw data'!F112&lt;&gt;"",MONTH(DATEVALUE('Customers Raw data'!F112)),"")</f>
        <v/>
      </c>
      <c r="J112">
        <f>YEAR(DATEVALUE('Customers Raw data'!B112))</f>
        <v>2025</v>
      </c>
      <c r="K112">
        <f>MONTH(DATEVALUE('Customers Raw data'!B112))</f>
        <v>4</v>
      </c>
      <c r="L112">
        <f ca="1">IF('Customers Raw data'!F112&lt;&gt;"",DATEDIF(DATEVALUE('Customers Raw data'!B112),DATEVALUE('Customers Raw data'!F112),"M"),DATEDIF(DATEVALUE('Customers Raw data'!B112),TODAY(),"M"))</f>
        <v>11</v>
      </c>
      <c r="M112">
        <f t="shared" ca="1" si="5"/>
        <v>2200</v>
      </c>
      <c r="N112">
        <f t="shared" si="6"/>
        <v>2</v>
      </c>
      <c r="O112">
        <f t="shared" ca="1" si="7"/>
        <v>0</v>
      </c>
      <c r="P112">
        <f t="shared" si="8"/>
        <v>0</v>
      </c>
      <c r="Q112" t="e">
        <f t="shared" si="9"/>
        <v>#VALUE!</v>
      </c>
    </row>
    <row r="113" spans="1:17" ht="15" customHeight="1" x14ac:dyDescent="0.25">
      <c r="A113">
        <f>'Customers Raw data'!A113</f>
        <v>1112</v>
      </c>
      <c r="B113" t="str">
        <f>'Customers Raw data'!B113</f>
        <v>2024-03-12</v>
      </c>
      <c r="C113" t="str">
        <f>'Customers Raw data'!C113</f>
        <v>Enterprise</v>
      </c>
      <c r="D113">
        <f>'Customers Raw data'!D113</f>
        <v>500</v>
      </c>
      <c r="E113">
        <f>'Customers Raw data'!E113</f>
        <v>200</v>
      </c>
      <c r="F113">
        <f>'Customers Raw data'!F113</f>
        <v>0</v>
      </c>
      <c r="G113">
        <f>IF('Customers Raw data'!F113&lt;&gt;"",1,0)</f>
        <v>0</v>
      </c>
      <c r="H113" t="str">
        <f>IF('Customers Raw data'!F113&lt;&gt;"",YEAR(DATEVALUE('Customers Raw data'!F113)),"")</f>
        <v/>
      </c>
      <c r="I113" t="str">
        <f>IF('Customers Raw data'!F113&lt;&gt;"",MONTH(DATEVALUE('Customers Raw data'!F113)),"")</f>
        <v/>
      </c>
      <c r="J113">
        <f>YEAR(DATEVALUE('Customers Raw data'!B113))</f>
        <v>2024</v>
      </c>
      <c r="K113">
        <f>MONTH(DATEVALUE('Customers Raw data'!B113))</f>
        <v>3</v>
      </c>
      <c r="L113">
        <f ca="1">IF('Customers Raw data'!F113&lt;&gt;"",DATEDIF(DATEVALUE('Customers Raw data'!B113),DATEVALUE('Customers Raw data'!F113),"M"),DATEDIF(DATEVALUE('Customers Raw data'!B113),TODAY(),"M"))</f>
        <v>24</v>
      </c>
      <c r="M113">
        <f t="shared" ca="1" si="5"/>
        <v>12000</v>
      </c>
      <c r="N113">
        <f t="shared" si="6"/>
        <v>3</v>
      </c>
      <c r="O113">
        <f t="shared" ca="1" si="7"/>
        <v>0</v>
      </c>
      <c r="P113">
        <f t="shared" si="8"/>
        <v>0</v>
      </c>
      <c r="Q113" t="e">
        <f t="shared" si="9"/>
        <v>#VALUE!</v>
      </c>
    </row>
    <row r="114" spans="1:17" ht="15" customHeight="1" x14ac:dyDescent="0.25">
      <c r="A114">
        <f>'Customers Raw data'!A114</f>
        <v>1113</v>
      </c>
      <c r="B114" t="str">
        <f>'Customers Raw data'!B114</f>
        <v>2024-07-19</v>
      </c>
      <c r="C114" t="str">
        <f>'Customers Raw data'!C114</f>
        <v>Basic</v>
      </c>
      <c r="D114">
        <f>'Customers Raw data'!D114</f>
        <v>50</v>
      </c>
      <c r="E114">
        <f>'Customers Raw data'!E114</f>
        <v>30</v>
      </c>
      <c r="F114">
        <f>'Customers Raw data'!F114</f>
        <v>0</v>
      </c>
      <c r="G114">
        <f>IF('Customers Raw data'!F114&lt;&gt;"",1,0)</f>
        <v>0</v>
      </c>
      <c r="H114" t="str">
        <f>IF('Customers Raw data'!F114&lt;&gt;"",YEAR(DATEVALUE('Customers Raw data'!F114)),"")</f>
        <v/>
      </c>
      <c r="I114" t="str">
        <f>IF('Customers Raw data'!F114&lt;&gt;"",MONTH(DATEVALUE('Customers Raw data'!F114)),"")</f>
        <v/>
      </c>
      <c r="J114">
        <f>YEAR(DATEVALUE('Customers Raw data'!B114))</f>
        <v>2024</v>
      </c>
      <c r="K114">
        <f>MONTH(DATEVALUE('Customers Raw data'!B114))</f>
        <v>7</v>
      </c>
      <c r="L114">
        <f ca="1">IF('Customers Raw data'!F114&lt;&gt;"",DATEDIF(DATEVALUE('Customers Raw data'!B114),DATEVALUE('Customers Raw data'!F114),"M"),DATEDIF(DATEVALUE('Customers Raw data'!B114),TODAY(),"M"))</f>
        <v>20</v>
      </c>
      <c r="M114">
        <f t="shared" ca="1" si="5"/>
        <v>1000</v>
      </c>
      <c r="N114">
        <f t="shared" si="6"/>
        <v>1</v>
      </c>
      <c r="O114">
        <f t="shared" ca="1" si="7"/>
        <v>0</v>
      </c>
      <c r="P114">
        <f t="shared" si="8"/>
        <v>0</v>
      </c>
      <c r="Q114" t="e">
        <f t="shared" si="9"/>
        <v>#VALUE!</v>
      </c>
    </row>
    <row r="115" spans="1:17" ht="15" customHeight="1" x14ac:dyDescent="0.25">
      <c r="A115">
        <f>'Customers Raw data'!A115</f>
        <v>1114</v>
      </c>
      <c r="B115" t="str">
        <f>'Customers Raw data'!B115</f>
        <v>2024-01-29</v>
      </c>
      <c r="C115" t="str">
        <f>'Customers Raw data'!C115</f>
        <v>Basic</v>
      </c>
      <c r="D115">
        <f>'Customers Raw data'!D115</f>
        <v>50</v>
      </c>
      <c r="E115">
        <f>'Customers Raw data'!E115</f>
        <v>30</v>
      </c>
      <c r="F115">
        <f>'Customers Raw data'!F115</f>
        <v>0</v>
      </c>
      <c r="G115">
        <f>IF('Customers Raw data'!F115&lt;&gt;"",1,0)</f>
        <v>0</v>
      </c>
      <c r="H115" t="str">
        <f>IF('Customers Raw data'!F115&lt;&gt;"",YEAR(DATEVALUE('Customers Raw data'!F115)),"")</f>
        <v/>
      </c>
      <c r="I115" t="str">
        <f>IF('Customers Raw data'!F115&lt;&gt;"",MONTH(DATEVALUE('Customers Raw data'!F115)),"")</f>
        <v/>
      </c>
      <c r="J115">
        <f>YEAR(DATEVALUE('Customers Raw data'!B115))</f>
        <v>2024</v>
      </c>
      <c r="K115">
        <f>MONTH(DATEVALUE('Customers Raw data'!B115))</f>
        <v>1</v>
      </c>
      <c r="L115">
        <f ca="1">IF('Customers Raw data'!F115&lt;&gt;"",DATEDIF(DATEVALUE('Customers Raw data'!B115),DATEVALUE('Customers Raw data'!F115),"M"),DATEDIF(DATEVALUE('Customers Raw data'!B115),TODAY(),"M"))</f>
        <v>26</v>
      </c>
      <c r="M115">
        <f t="shared" ca="1" si="5"/>
        <v>1300</v>
      </c>
      <c r="N115">
        <f t="shared" si="6"/>
        <v>1</v>
      </c>
      <c r="O115">
        <f t="shared" ca="1" si="7"/>
        <v>0</v>
      </c>
      <c r="P115">
        <f t="shared" si="8"/>
        <v>0</v>
      </c>
      <c r="Q115" t="e">
        <f t="shared" si="9"/>
        <v>#VALUE!</v>
      </c>
    </row>
    <row r="116" spans="1:17" ht="15" customHeight="1" x14ac:dyDescent="0.25">
      <c r="A116">
        <f>'Customers Raw data'!A116</f>
        <v>1115</v>
      </c>
      <c r="B116" t="str">
        <f>'Customers Raw data'!B116</f>
        <v>2024-10-19</v>
      </c>
      <c r="C116" t="str">
        <f>'Customers Raw data'!C116</f>
        <v>Enterprise</v>
      </c>
      <c r="D116">
        <f>'Customers Raw data'!D116</f>
        <v>500</v>
      </c>
      <c r="E116">
        <f>'Customers Raw data'!E116</f>
        <v>200</v>
      </c>
      <c r="F116">
        <f>'Customers Raw data'!F116</f>
        <v>0</v>
      </c>
      <c r="G116">
        <f>IF('Customers Raw data'!F116&lt;&gt;"",1,0)</f>
        <v>0</v>
      </c>
      <c r="H116" t="str">
        <f>IF('Customers Raw data'!F116&lt;&gt;"",YEAR(DATEVALUE('Customers Raw data'!F116)),"")</f>
        <v/>
      </c>
      <c r="I116" t="str">
        <f>IF('Customers Raw data'!F116&lt;&gt;"",MONTH(DATEVALUE('Customers Raw data'!F116)),"")</f>
        <v/>
      </c>
      <c r="J116">
        <f>YEAR(DATEVALUE('Customers Raw data'!B116))</f>
        <v>2024</v>
      </c>
      <c r="K116">
        <f>MONTH(DATEVALUE('Customers Raw data'!B116))</f>
        <v>10</v>
      </c>
      <c r="L116">
        <f ca="1">IF('Customers Raw data'!F116&lt;&gt;"",DATEDIF(DATEVALUE('Customers Raw data'!B116),DATEVALUE('Customers Raw data'!F116),"M"),DATEDIF(DATEVALUE('Customers Raw data'!B116),TODAY(),"M"))</f>
        <v>17</v>
      </c>
      <c r="M116">
        <f t="shared" ca="1" si="5"/>
        <v>8500</v>
      </c>
      <c r="N116">
        <f t="shared" si="6"/>
        <v>3</v>
      </c>
      <c r="O116">
        <f t="shared" ca="1" si="7"/>
        <v>0</v>
      </c>
      <c r="P116">
        <f t="shared" si="8"/>
        <v>0</v>
      </c>
      <c r="Q116" t="e">
        <f t="shared" si="9"/>
        <v>#VALUE!</v>
      </c>
    </row>
    <row r="117" spans="1:17" ht="15" customHeight="1" x14ac:dyDescent="0.25">
      <c r="A117">
        <f>'Customers Raw data'!A117</f>
        <v>1116</v>
      </c>
      <c r="B117" t="str">
        <f>'Customers Raw data'!B117</f>
        <v>2025-05-19</v>
      </c>
      <c r="C117" t="str">
        <f>'Customers Raw data'!C117</f>
        <v>Basic</v>
      </c>
      <c r="D117">
        <f>'Customers Raw data'!D117</f>
        <v>50</v>
      </c>
      <c r="E117">
        <f>'Customers Raw data'!E117</f>
        <v>30</v>
      </c>
      <c r="F117">
        <f>'Customers Raw data'!F117</f>
        <v>0</v>
      </c>
      <c r="G117">
        <f>IF('Customers Raw data'!F117&lt;&gt;"",1,0)</f>
        <v>0</v>
      </c>
      <c r="H117" t="str">
        <f>IF('Customers Raw data'!F117&lt;&gt;"",YEAR(DATEVALUE('Customers Raw data'!F117)),"")</f>
        <v/>
      </c>
      <c r="I117" t="str">
        <f>IF('Customers Raw data'!F117&lt;&gt;"",MONTH(DATEVALUE('Customers Raw data'!F117)),"")</f>
        <v/>
      </c>
      <c r="J117">
        <f>YEAR(DATEVALUE('Customers Raw data'!B117))</f>
        <v>2025</v>
      </c>
      <c r="K117">
        <f>MONTH(DATEVALUE('Customers Raw data'!B117))</f>
        <v>5</v>
      </c>
      <c r="L117">
        <f ca="1">IF('Customers Raw data'!F117&lt;&gt;"",DATEDIF(DATEVALUE('Customers Raw data'!B117),DATEVALUE('Customers Raw data'!F117),"M"),DATEDIF(DATEVALUE('Customers Raw data'!B117),TODAY(),"M"))</f>
        <v>10</v>
      </c>
      <c r="M117">
        <f t="shared" ca="1" si="5"/>
        <v>500</v>
      </c>
      <c r="N117">
        <f t="shared" si="6"/>
        <v>1</v>
      </c>
      <c r="O117">
        <f t="shared" ca="1" si="7"/>
        <v>0</v>
      </c>
      <c r="P117">
        <f t="shared" si="8"/>
        <v>0</v>
      </c>
      <c r="Q117" t="e">
        <f t="shared" si="9"/>
        <v>#VALUE!</v>
      </c>
    </row>
    <row r="118" spans="1:17" ht="15" customHeight="1" x14ac:dyDescent="0.25">
      <c r="A118">
        <f>'Customers Raw data'!A118</f>
        <v>1117</v>
      </c>
      <c r="B118" t="str">
        <f>'Customers Raw data'!B118</f>
        <v>2024-01-10</v>
      </c>
      <c r="C118" t="str">
        <f>'Customers Raw data'!C118</f>
        <v>Pro</v>
      </c>
      <c r="D118">
        <f>'Customers Raw data'!D118</f>
        <v>200</v>
      </c>
      <c r="E118">
        <f>'Customers Raw data'!E118</f>
        <v>100</v>
      </c>
      <c r="F118">
        <f>'Customers Raw data'!F118</f>
        <v>0</v>
      </c>
      <c r="G118">
        <f>IF('Customers Raw data'!F118&lt;&gt;"",1,0)</f>
        <v>0</v>
      </c>
      <c r="H118" t="str">
        <f>IF('Customers Raw data'!F118&lt;&gt;"",YEAR(DATEVALUE('Customers Raw data'!F118)),"")</f>
        <v/>
      </c>
      <c r="I118" t="str">
        <f>IF('Customers Raw data'!F118&lt;&gt;"",MONTH(DATEVALUE('Customers Raw data'!F118)),"")</f>
        <v/>
      </c>
      <c r="J118">
        <f>YEAR(DATEVALUE('Customers Raw data'!B118))</f>
        <v>2024</v>
      </c>
      <c r="K118">
        <f>MONTH(DATEVALUE('Customers Raw data'!B118))</f>
        <v>1</v>
      </c>
      <c r="L118">
        <f ca="1">IF('Customers Raw data'!F118&lt;&gt;"",DATEDIF(DATEVALUE('Customers Raw data'!B118),DATEVALUE('Customers Raw data'!F118),"M"),DATEDIF(DATEVALUE('Customers Raw data'!B118),TODAY(),"M"))</f>
        <v>26</v>
      </c>
      <c r="M118">
        <f t="shared" ca="1" si="5"/>
        <v>5200</v>
      </c>
      <c r="N118">
        <f t="shared" si="6"/>
        <v>2</v>
      </c>
      <c r="O118">
        <f t="shared" ca="1" si="7"/>
        <v>0</v>
      </c>
      <c r="P118">
        <f t="shared" si="8"/>
        <v>0</v>
      </c>
      <c r="Q118" t="e">
        <f t="shared" si="9"/>
        <v>#VALUE!</v>
      </c>
    </row>
    <row r="119" spans="1:17" ht="15" customHeight="1" x14ac:dyDescent="0.25">
      <c r="A119">
        <f>'Customers Raw data'!A119</f>
        <v>1118</v>
      </c>
      <c r="B119" t="str">
        <f>'Customers Raw data'!B119</f>
        <v>2024-11-03</v>
      </c>
      <c r="C119" t="str">
        <f>'Customers Raw data'!C119</f>
        <v>Pro</v>
      </c>
      <c r="D119">
        <f>'Customers Raw data'!D119</f>
        <v>200</v>
      </c>
      <c r="E119">
        <f>'Customers Raw data'!E119</f>
        <v>100</v>
      </c>
      <c r="F119">
        <f>'Customers Raw data'!F119</f>
        <v>0</v>
      </c>
      <c r="G119">
        <f>IF('Customers Raw data'!F119&lt;&gt;"",1,0)</f>
        <v>0</v>
      </c>
      <c r="H119" t="str">
        <f>IF('Customers Raw data'!F119&lt;&gt;"",YEAR(DATEVALUE('Customers Raw data'!F119)),"")</f>
        <v/>
      </c>
      <c r="I119" t="str">
        <f>IF('Customers Raw data'!F119&lt;&gt;"",MONTH(DATEVALUE('Customers Raw data'!F119)),"")</f>
        <v/>
      </c>
      <c r="J119">
        <f>YEAR(DATEVALUE('Customers Raw data'!B119))</f>
        <v>2024</v>
      </c>
      <c r="K119">
        <f>MONTH(DATEVALUE('Customers Raw data'!B119))</f>
        <v>11</v>
      </c>
      <c r="L119">
        <f ca="1">IF('Customers Raw data'!F119&lt;&gt;"",DATEDIF(DATEVALUE('Customers Raw data'!B119),DATEVALUE('Customers Raw data'!F119),"M"),DATEDIF(DATEVALUE('Customers Raw data'!B119),TODAY(),"M"))</f>
        <v>17</v>
      </c>
      <c r="M119">
        <f t="shared" ca="1" si="5"/>
        <v>3400</v>
      </c>
      <c r="N119">
        <f t="shared" si="6"/>
        <v>2</v>
      </c>
      <c r="O119">
        <f t="shared" ca="1" si="7"/>
        <v>0</v>
      </c>
      <c r="P119">
        <f t="shared" si="8"/>
        <v>0</v>
      </c>
      <c r="Q119" t="e">
        <f t="shared" si="9"/>
        <v>#VALUE!</v>
      </c>
    </row>
    <row r="120" spans="1:17" ht="15" customHeight="1" x14ac:dyDescent="0.25">
      <c r="A120">
        <f>'Customers Raw data'!A120</f>
        <v>1119</v>
      </c>
      <c r="B120" t="str">
        <f>'Customers Raw data'!B120</f>
        <v>2024-07-26</v>
      </c>
      <c r="C120" t="str">
        <f>'Customers Raw data'!C120</f>
        <v>Enterprise</v>
      </c>
      <c r="D120">
        <f>'Customers Raw data'!D120</f>
        <v>500</v>
      </c>
      <c r="E120">
        <f>'Customers Raw data'!E120</f>
        <v>200</v>
      </c>
      <c r="F120" t="str">
        <f>'Customers Raw data'!F120</f>
        <v>2025-04-22</v>
      </c>
      <c r="G120">
        <f>IF('Customers Raw data'!F120&lt;&gt;"",1,0)</f>
        <v>1</v>
      </c>
      <c r="H120">
        <f>IF('Customers Raw data'!F120&lt;&gt;"",YEAR(DATEVALUE('Customers Raw data'!F120)),"")</f>
        <v>2025</v>
      </c>
      <c r="I120">
        <f>IF('Customers Raw data'!F120&lt;&gt;"",MONTH(DATEVALUE('Customers Raw data'!F120)),"")</f>
        <v>4</v>
      </c>
      <c r="J120">
        <f>YEAR(DATEVALUE('Customers Raw data'!B120))</f>
        <v>2024</v>
      </c>
      <c r="K120">
        <f>MONTH(DATEVALUE('Customers Raw data'!B120))</f>
        <v>7</v>
      </c>
      <c r="L120">
        <f ca="1">IF('Customers Raw data'!F120&lt;&gt;"",DATEDIF(DATEVALUE('Customers Raw data'!B120),DATEVALUE('Customers Raw data'!F120),"M"),DATEDIF(DATEVALUE('Customers Raw data'!B120),TODAY(),"M"))</f>
        <v>8</v>
      </c>
      <c r="M120">
        <f t="shared" ca="1" si="5"/>
        <v>4000</v>
      </c>
      <c r="N120">
        <f t="shared" si="6"/>
        <v>3</v>
      </c>
      <c r="O120">
        <f t="shared" ca="1" si="7"/>
        <v>0</v>
      </c>
      <c r="P120">
        <f t="shared" si="8"/>
        <v>500</v>
      </c>
      <c r="Q120" t="str">
        <f t="shared" si="9"/>
        <v>2025-04</v>
      </c>
    </row>
    <row r="121" spans="1:17" ht="15" customHeight="1" x14ac:dyDescent="0.25">
      <c r="A121">
        <f>'Customers Raw data'!A121</f>
        <v>1120</v>
      </c>
      <c r="B121" t="str">
        <f>'Customers Raw data'!B121</f>
        <v>2024-08-19</v>
      </c>
      <c r="C121" t="str">
        <f>'Customers Raw data'!C121</f>
        <v>Enterprise</v>
      </c>
      <c r="D121">
        <f>'Customers Raw data'!D121</f>
        <v>500</v>
      </c>
      <c r="E121">
        <f>'Customers Raw data'!E121</f>
        <v>200</v>
      </c>
      <c r="F121" t="str">
        <f>'Customers Raw data'!F121</f>
        <v>2025-03-15</v>
      </c>
      <c r="G121">
        <f>IF('Customers Raw data'!F121&lt;&gt;"",1,0)</f>
        <v>1</v>
      </c>
      <c r="H121">
        <f>IF('Customers Raw data'!F121&lt;&gt;"",YEAR(DATEVALUE('Customers Raw data'!F121)),"")</f>
        <v>2025</v>
      </c>
      <c r="I121">
        <f>IF('Customers Raw data'!F121&lt;&gt;"",MONTH(DATEVALUE('Customers Raw data'!F121)),"")</f>
        <v>3</v>
      </c>
      <c r="J121">
        <f>YEAR(DATEVALUE('Customers Raw data'!B121))</f>
        <v>2024</v>
      </c>
      <c r="K121">
        <f>MONTH(DATEVALUE('Customers Raw data'!B121))</f>
        <v>8</v>
      </c>
      <c r="L121">
        <f ca="1">IF('Customers Raw data'!F121&lt;&gt;"",DATEDIF(DATEVALUE('Customers Raw data'!B121),DATEVALUE('Customers Raw data'!F121),"M"),DATEDIF(DATEVALUE('Customers Raw data'!B121),TODAY(),"M"))</f>
        <v>6</v>
      </c>
      <c r="M121">
        <f t="shared" ca="1" si="5"/>
        <v>3000</v>
      </c>
      <c r="N121">
        <f t="shared" si="6"/>
        <v>3</v>
      </c>
      <c r="O121">
        <f t="shared" ca="1" si="7"/>
        <v>0</v>
      </c>
      <c r="P121">
        <f t="shared" si="8"/>
        <v>500</v>
      </c>
      <c r="Q121" t="str">
        <f t="shared" si="9"/>
        <v>2025-03</v>
      </c>
    </row>
    <row r="122" spans="1:17" ht="15" customHeight="1" x14ac:dyDescent="0.25">
      <c r="A122">
        <f>'Customers Raw data'!A122</f>
        <v>1121</v>
      </c>
      <c r="B122" t="str">
        <f>'Customers Raw data'!B122</f>
        <v>2025-01-10</v>
      </c>
      <c r="C122" t="str">
        <f>'Customers Raw data'!C122</f>
        <v>Enterprise</v>
      </c>
      <c r="D122">
        <f>'Customers Raw data'!D122</f>
        <v>500</v>
      </c>
      <c r="E122">
        <f>'Customers Raw data'!E122</f>
        <v>200</v>
      </c>
      <c r="F122">
        <f>'Customers Raw data'!F122</f>
        <v>0</v>
      </c>
      <c r="G122">
        <f>IF('Customers Raw data'!F122&lt;&gt;"",1,0)</f>
        <v>0</v>
      </c>
      <c r="H122" t="str">
        <f>IF('Customers Raw data'!F122&lt;&gt;"",YEAR(DATEVALUE('Customers Raw data'!F122)),"")</f>
        <v/>
      </c>
      <c r="I122" t="str">
        <f>IF('Customers Raw data'!F122&lt;&gt;"",MONTH(DATEVALUE('Customers Raw data'!F122)),"")</f>
        <v/>
      </c>
      <c r="J122">
        <f>YEAR(DATEVALUE('Customers Raw data'!B122))</f>
        <v>2025</v>
      </c>
      <c r="K122">
        <f>MONTH(DATEVALUE('Customers Raw data'!B122))</f>
        <v>1</v>
      </c>
      <c r="L122">
        <f ca="1">IF('Customers Raw data'!F122&lt;&gt;"",DATEDIF(DATEVALUE('Customers Raw data'!B122),DATEVALUE('Customers Raw data'!F122),"M"),DATEDIF(DATEVALUE('Customers Raw data'!B122),TODAY(),"M"))</f>
        <v>14</v>
      </c>
      <c r="M122">
        <f t="shared" ca="1" si="5"/>
        <v>7000</v>
      </c>
      <c r="N122">
        <f t="shared" si="6"/>
        <v>3</v>
      </c>
      <c r="O122">
        <f t="shared" ca="1" si="7"/>
        <v>0</v>
      </c>
      <c r="P122">
        <f t="shared" si="8"/>
        <v>0</v>
      </c>
      <c r="Q122" t="e">
        <f t="shared" si="9"/>
        <v>#VALUE!</v>
      </c>
    </row>
    <row r="123" spans="1:17" ht="15" customHeight="1" x14ac:dyDescent="0.25">
      <c r="A123">
        <f>'Customers Raw data'!A123</f>
        <v>1122</v>
      </c>
      <c r="B123" t="str">
        <f>'Customers Raw data'!B123</f>
        <v>2025-05-17</v>
      </c>
      <c r="C123" t="str">
        <f>'Customers Raw data'!C123</f>
        <v>Pro</v>
      </c>
      <c r="D123">
        <f>'Customers Raw data'!D123</f>
        <v>200</v>
      </c>
      <c r="E123">
        <f>'Customers Raw data'!E123</f>
        <v>100</v>
      </c>
      <c r="F123">
        <f>'Customers Raw data'!F123</f>
        <v>0</v>
      </c>
      <c r="G123">
        <f>IF('Customers Raw data'!F123&lt;&gt;"",1,0)</f>
        <v>0</v>
      </c>
      <c r="H123" t="str">
        <f>IF('Customers Raw data'!F123&lt;&gt;"",YEAR(DATEVALUE('Customers Raw data'!F123)),"")</f>
        <v/>
      </c>
      <c r="I123" t="str">
        <f>IF('Customers Raw data'!F123&lt;&gt;"",MONTH(DATEVALUE('Customers Raw data'!F123)),"")</f>
        <v/>
      </c>
      <c r="J123">
        <f>YEAR(DATEVALUE('Customers Raw data'!B123))</f>
        <v>2025</v>
      </c>
      <c r="K123">
        <f>MONTH(DATEVALUE('Customers Raw data'!B123))</f>
        <v>5</v>
      </c>
      <c r="L123">
        <f ca="1">IF('Customers Raw data'!F123&lt;&gt;"",DATEDIF(DATEVALUE('Customers Raw data'!B123),DATEVALUE('Customers Raw data'!F123),"M"),DATEDIF(DATEVALUE('Customers Raw data'!B123),TODAY(),"M"))</f>
        <v>10</v>
      </c>
      <c r="M123">
        <f t="shared" ca="1" si="5"/>
        <v>2000</v>
      </c>
      <c r="N123">
        <f t="shared" si="6"/>
        <v>2</v>
      </c>
      <c r="O123">
        <f t="shared" ca="1" si="7"/>
        <v>0</v>
      </c>
      <c r="P123">
        <f t="shared" si="8"/>
        <v>0</v>
      </c>
      <c r="Q123" t="e">
        <f t="shared" si="9"/>
        <v>#VALUE!</v>
      </c>
    </row>
    <row r="124" spans="1:17" ht="15" customHeight="1" x14ac:dyDescent="0.25">
      <c r="A124">
        <f>'Customers Raw data'!A124</f>
        <v>1123</v>
      </c>
      <c r="B124" t="str">
        <f>'Customers Raw data'!B124</f>
        <v>2025-06-23</v>
      </c>
      <c r="C124" t="str">
        <f>'Customers Raw data'!C124</f>
        <v>Basic</v>
      </c>
      <c r="D124">
        <f>'Customers Raw data'!D124</f>
        <v>50</v>
      </c>
      <c r="E124">
        <f>'Customers Raw data'!E124</f>
        <v>30</v>
      </c>
      <c r="F124">
        <f>'Customers Raw data'!F124</f>
        <v>0</v>
      </c>
      <c r="G124">
        <f>IF('Customers Raw data'!F124&lt;&gt;"",1,0)</f>
        <v>0</v>
      </c>
      <c r="H124" t="str">
        <f>IF('Customers Raw data'!F124&lt;&gt;"",YEAR(DATEVALUE('Customers Raw data'!F124)),"")</f>
        <v/>
      </c>
      <c r="I124" t="str">
        <f>IF('Customers Raw data'!F124&lt;&gt;"",MONTH(DATEVALUE('Customers Raw data'!F124)),"")</f>
        <v/>
      </c>
      <c r="J124">
        <f>YEAR(DATEVALUE('Customers Raw data'!B124))</f>
        <v>2025</v>
      </c>
      <c r="K124">
        <f>MONTH(DATEVALUE('Customers Raw data'!B124))</f>
        <v>6</v>
      </c>
      <c r="L124">
        <f ca="1">IF('Customers Raw data'!F124&lt;&gt;"",DATEDIF(DATEVALUE('Customers Raw data'!B124),DATEVALUE('Customers Raw data'!F124),"M"),DATEDIF(DATEVALUE('Customers Raw data'!B124),TODAY(),"M"))</f>
        <v>9</v>
      </c>
      <c r="M124">
        <f t="shared" ca="1" si="5"/>
        <v>450</v>
      </c>
      <c r="N124">
        <f t="shared" si="6"/>
        <v>1</v>
      </c>
      <c r="O124">
        <f t="shared" ca="1" si="7"/>
        <v>0</v>
      </c>
      <c r="P124">
        <f t="shared" si="8"/>
        <v>0</v>
      </c>
      <c r="Q124" t="e">
        <f t="shared" si="9"/>
        <v>#VALUE!</v>
      </c>
    </row>
    <row r="125" spans="1:17" ht="15" customHeight="1" x14ac:dyDescent="0.25">
      <c r="A125">
        <f>'Customers Raw data'!A125</f>
        <v>1124</v>
      </c>
      <c r="B125" t="str">
        <f>'Customers Raw data'!B125</f>
        <v>2024-09-06</v>
      </c>
      <c r="C125" t="str">
        <f>'Customers Raw data'!C125</f>
        <v>Basic</v>
      </c>
      <c r="D125">
        <f>'Customers Raw data'!D125</f>
        <v>50</v>
      </c>
      <c r="E125">
        <f>'Customers Raw data'!E125</f>
        <v>30</v>
      </c>
      <c r="F125">
        <f>'Customers Raw data'!F125</f>
        <v>0</v>
      </c>
      <c r="G125">
        <f>IF('Customers Raw data'!F125&lt;&gt;"",1,0)</f>
        <v>0</v>
      </c>
      <c r="H125" t="str">
        <f>IF('Customers Raw data'!F125&lt;&gt;"",YEAR(DATEVALUE('Customers Raw data'!F125)),"")</f>
        <v/>
      </c>
      <c r="I125" t="str">
        <f>IF('Customers Raw data'!F125&lt;&gt;"",MONTH(DATEVALUE('Customers Raw data'!F125)),"")</f>
        <v/>
      </c>
      <c r="J125">
        <f>YEAR(DATEVALUE('Customers Raw data'!B125))</f>
        <v>2024</v>
      </c>
      <c r="K125">
        <f>MONTH(DATEVALUE('Customers Raw data'!B125))</f>
        <v>9</v>
      </c>
      <c r="L125">
        <f ca="1">IF('Customers Raw data'!F125&lt;&gt;"",DATEDIF(DATEVALUE('Customers Raw data'!B125),DATEVALUE('Customers Raw data'!F125),"M"),DATEDIF(DATEVALUE('Customers Raw data'!B125),TODAY(),"M"))</f>
        <v>19</v>
      </c>
      <c r="M125">
        <f t="shared" ca="1" si="5"/>
        <v>950</v>
      </c>
      <c r="N125">
        <f t="shared" si="6"/>
        <v>1</v>
      </c>
      <c r="O125">
        <f t="shared" ca="1" si="7"/>
        <v>0</v>
      </c>
      <c r="P125">
        <f t="shared" si="8"/>
        <v>0</v>
      </c>
      <c r="Q125" t="e">
        <f t="shared" si="9"/>
        <v>#VALUE!</v>
      </c>
    </row>
    <row r="126" spans="1:17" ht="15" customHeight="1" x14ac:dyDescent="0.25">
      <c r="A126">
        <f>'Customers Raw data'!A126</f>
        <v>1125</v>
      </c>
      <c r="B126" t="str">
        <f>'Customers Raw data'!B126</f>
        <v>2024-08-25</v>
      </c>
      <c r="C126" t="str">
        <f>'Customers Raw data'!C126</f>
        <v>Enterprise</v>
      </c>
      <c r="D126">
        <f>'Customers Raw data'!D126</f>
        <v>500</v>
      </c>
      <c r="E126">
        <f>'Customers Raw data'!E126</f>
        <v>200</v>
      </c>
      <c r="F126" t="str">
        <f>'Customers Raw data'!F126</f>
        <v>2025-01-21</v>
      </c>
      <c r="G126">
        <f>IF('Customers Raw data'!F126&lt;&gt;"",1,0)</f>
        <v>1</v>
      </c>
      <c r="H126">
        <f>IF('Customers Raw data'!F126&lt;&gt;"",YEAR(DATEVALUE('Customers Raw data'!F126)),"")</f>
        <v>2025</v>
      </c>
      <c r="I126">
        <f>IF('Customers Raw data'!F126&lt;&gt;"",MONTH(DATEVALUE('Customers Raw data'!F126)),"")</f>
        <v>1</v>
      </c>
      <c r="J126">
        <f>YEAR(DATEVALUE('Customers Raw data'!B126))</f>
        <v>2024</v>
      </c>
      <c r="K126">
        <f>MONTH(DATEVALUE('Customers Raw data'!B126))</f>
        <v>8</v>
      </c>
      <c r="L126">
        <f ca="1">IF('Customers Raw data'!F126&lt;&gt;"",DATEDIF(DATEVALUE('Customers Raw data'!B126),DATEVALUE('Customers Raw data'!F126),"M"),DATEDIF(DATEVALUE('Customers Raw data'!B126),TODAY(),"M"))</f>
        <v>4</v>
      </c>
      <c r="M126">
        <f t="shared" ca="1" si="5"/>
        <v>2000</v>
      </c>
      <c r="N126">
        <f t="shared" si="6"/>
        <v>3</v>
      </c>
      <c r="O126">
        <f t="shared" ca="1" si="7"/>
        <v>1</v>
      </c>
      <c r="P126">
        <f t="shared" si="8"/>
        <v>500</v>
      </c>
      <c r="Q126" t="str">
        <f t="shared" si="9"/>
        <v>2025-01</v>
      </c>
    </row>
    <row r="127" spans="1:17" ht="15" customHeight="1" x14ac:dyDescent="0.25">
      <c r="A127">
        <f>'Customers Raw data'!A127</f>
        <v>1126</v>
      </c>
      <c r="B127" t="str">
        <f>'Customers Raw data'!B127</f>
        <v>2024-12-08</v>
      </c>
      <c r="C127" t="str">
        <f>'Customers Raw data'!C127</f>
        <v>Pro</v>
      </c>
      <c r="D127">
        <f>'Customers Raw data'!D127</f>
        <v>200</v>
      </c>
      <c r="E127">
        <f>'Customers Raw data'!E127</f>
        <v>100</v>
      </c>
      <c r="F127">
        <f>'Customers Raw data'!F127</f>
        <v>0</v>
      </c>
      <c r="G127">
        <f>IF('Customers Raw data'!F127&lt;&gt;"",1,0)</f>
        <v>0</v>
      </c>
      <c r="H127" t="str">
        <f>IF('Customers Raw data'!F127&lt;&gt;"",YEAR(DATEVALUE('Customers Raw data'!F127)),"")</f>
        <v/>
      </c>
      <c r="I127" t="str">
        <f>IF('Customers Raw data'!F127&lt;&gt;"",MONTH(DATEVALUE('Customers Raw data'!F127)),"")</f>
        <v/>
      </c>
      <c r="J127">
        <f>YEAR(DATEVALUE('Customers Raw data'!B127))</f>
        <v>2024</v>
      </c>
      <c r="K127">
        <f>MONTH(DATEVALUE('Customers Raw data'!B127))</f>
        <v>12</v>
      </c>
      <c r="L127">
        <f ca="1">IF('Customers Raw data'!F127&lt;&gt;"",DATEDIF(DATEVALUE('Customers Raw data'!B127),DATEVALUE('Customers Raw data'!F127),"M"),DATEDIF(DATEVALUE('Customers Raw data'!B127),TODAY(),"M"))</f>
        <v>15</v>
      </c>
      <c r="M127">
        <f t="shared" ca="1" si="5"/>
        <v>3000</v>
      </c>
      <c r="N127">
        <f t="shared" si="6"/>
        <v>2</v>
      </c>
      <c r="O127">
        <f t="shared" ca="1" si="7"/>
        <v>0</v>
      </c>
      <c r="P127">
        <f t="shared" si="8"/>
        <v>0</v>
      </c>
      <c r="Q127" t="e">
        <f t="shared" si="9"/>
        <v>#VALUE!</v>
      </c>
    </row>
    <row r="128" spans="1:17" ht="15" customHeight="1" x14ac:dyDescent="0.25">
      <c r="A128">
        <f>'Customers Raw data'!A128</f>
        <v>1127</v>
      </c>
      <c r="B128" t="str">
        <f>'Customers Raw data'!B128</f>
        <v>2025-03-11</v>
      </c>
      <c r="C128" t="str">
        <f>'Customers Raw data'!C128</f>
        <v>Basic</v>
      </c>
      <c r="D128">
        <f>'Customers Raw data'!D128</f>
        <v>50</v>
      </c>
      <c r="E128">
        <f>'Customers Raw data'!E128</f>
        <v>30</v>
      </c>
      <c r="F128">
        <f>'Customers Raw data'!F128</f>
        <v>0</v>
      </c>
      <c r="G128">
        <f>IF('Customers Raw data'!F128&lt;&gt;"",1,0)</f>
        <v>0</v>
      </c>
      <c r="H128" t="str">
        <f>IF('Customers Raw data'!F128&lt;&gt;"",YEAR(DATEVALUE('Customers Raw data'!F128)),"")</f>
        <v/>
      </c>
      <c r="I128" t="str">
        <f>IF('Customers Raw data'!F128&lt;&gt;"",MONTH(DATEVALUE('Customers Raw data'!F128)),"")</f>
        <v/>
      </c>
      <c r="J128">
        <f>YEAR(DATEVALUE('Customers Raw data'!B128))</f>
        <v>2025</v>
      </c>
      <c r="K128">
        <f>MONTH(DATEVALUE('Customers Raw data'!B128))</f>
        <v>3</v>
      </c>
      <c r="L128">
        <f ca="1">IF('Customers Raw data'!F128&lt;&gt;"",DATEDIF(DATEVALUE('Customers Raw data'!B128),DATEVALUE('Customers Raw data'!F128),"M"),DATEDIF(DATEVALUE('Customers Raw data'!B128),TODAY(),"M"))</f>
        <v>12</v>
      </c>
      <c r="M128">
        <f t="shared" ca="1" si="5"/>
        <v>600</v>
      </c>
      <c r="N128">
        <f t="shared" si="6"/>
        <v>1</v>
      </c>
      <c r="O128">
        <f t="shared" ca="1" si="7"/>
        <v>0</v>
      </c>
      <c r="P128">
        <f t="shared" si="8"/>
        <v>0</v>
      </c>
      <c r="Q128" t="e">
        <f t="shared" si="9"/>
        <v>#VALUE!</v>
      </c>
    </row>
    <row r="129" spans="1:17" ht="15" customHeight="1" x14ac:dyDescent="0.25">
      <c r="A129">
        <f>'Customers Raw data'!A129</f>
        <v>1128</v>
      </c>
      <c r="B129" t="str">
        <f>'Customers Raw data'!B129</f>
        <v>2024-01-22</v>
      </c>
      <c r="C129" t="str">
        <f>'Customers Raw data'!C129</f>
        <v>Pro</v>
      </c>
      <c r="D129">
        <f>'Customers Raw data'!D129</f>
        <v>200</v>
      </c>
      <c r="E129">
        <f>'Customers Raw data'!E129</f>
        <v>100</v>
      </c>
      <c r="F129">
        <f>'Customers Raw data'!F129</f>
        <v>0</v>
      </c>
      <c r="G129">
        <f>IF('Customers Raw data'!F129&lt;&gt;"",1,0)</f>
        <v>0</v>
      </c>
      <c r="H129" t="str">
        <f>IF('Customers Raw data'!F129&lt;&gt;"",YEAR(DATEVALUE('Customers Raw data'!F129)),"")</f>
        <v/>
      </c>
      <c r="I129" t="str">
        <f>IF('Customers Raw data'!F129&lt;&gt;"",MONTH(DATEVALUE('Customers Raw data'!F129)),"")</f>
        <v/>
      </c>
      <c r="J129">
        <f>YEAR(DATEVALUE('Customers Raw data'!B129))</f>
        <v>2024</v>
      </c>
      <c r="K129">
        <f>MONTH(DATEVALUE('Customers Raw data'!B129))</f>
        <v>1</v>
      </c>
      <c r="L129">
        <f ca="1">IF('Customers Raw data'!F129&lt;&gt;"",DATEDIF(DATEVALUE('Customers Raw data'!B129),DATEVALUE('Customers Raw data'!F129),"M"),DATEDIF(DATEVALUE('Customers Raw data'!B129),TODAY(),"M"))</f>
        <v>26</v>
      </c>
      <c r="M129">
        <f t="shared" ca="1" si="5"/>
        <v>5200</v>
      </c>
      <c r="N129">
        <f t="shared" si="6"/>
        <v>2</v>
      </c>
      <c r="O129">
        <f t="shared" ca="1" si="7"/>
        <v>0</v>
      </c>
      <c r="P129">
        <f t="shared" si="8"/>
        <v>0</v>
      </c>
      <c r="Q129" t="e">
        <f t="shared" si="9"/>
        <v>#VALUE!</v>
      </c>
    </row>
    <row r="130" spans="1:17" ht="15" customHeight="1" x14ac:dyDescent="0.25">
      <c r="A130">
        <f>'Customers Raw data'!A130</f>
        <v>1129</v>
      </c>
      <c r="B130" t="str">
        <f>'Customers Raw data'!B130</f>
        <v>2024-09-07</v>
      </c>
      <c r="C130" t="str">
        <f>'Customers Raw data'!C130</f>
        <v>Basic</v>
      </c>
      <c r="D130">
        <f>'Customers Raw data'!D130</f>
        <v>50</v>
      </c>
      <c r="E130">
        <f>'Customers Raw data'!E130</f>
        <v>30</v>
      </c>
      <c r="F130">
        <f>'Customers Raw data'!F130</f>
        <v>0</v>
      </c>
      <c r="G130">
        <f>IF('Customers Raw data'!F130&lt;&gt;"",1,0)</f>
        <v>0</v>
      </c>
      <c r="H130" t="str">
        <f>IF('Customers Raw data'!F130&lt;&gt;"",YEAR(DATEVALUE('Customers Raw data'!F130)),"")</f>
        <v/>
      </c>
      <c r="I130" t="str">
        <f>IF('Customers Raw data'!F130&lt;&gt;"",MONTH(DATEVALUE('Customers Raw data'!F130)),"")</f>
        <v/>
      </c>
      <c r="J130">
        <f>YEAR(DATEVALUE('Customers Raw data'!B130))</f>
        <v>2024</v>
      </c>
      <c r="K130">
        <f>MONTH(DATEVALUE('Customers Raw data'!B130))</f>
        <v>9</v>
      </c>
      <c r="L130">
        <f ca="1">IF('Customers Raw data'!F130&lt;&gt;"",DATEDIF(DATEVALUE('Customers Raw data'!B130),DATEVALUE('Customers Raw data'!F130),"M"),DATEDIF(DATEVALUE('Customers Raw data'!B130),TODAY(),"M"))</f>
        <v>19</v>
      </c>
      <c r="M130">
        <f t="shared" ref="M130:M193" ca="1" si="10">D130*L130</f>
        <v>950</v>
      </c>
      <c r="N130">
        <f t="shared" ref="N130:N193" si="11">IF(C130="Basic",1,IF(C130="Pro",2,IF(C130="Enterprise",3,0)))</f>
        <v>1</v>
      </c>
      <c r="O130">
        <f t="shared" ref="O130:O193" ca="1" si="12">IF(AND(G130=1,L130&lt;6),1,0)</f>
        <v>0</v>
      </c>
      <c r="P130">
        <f t="shared" ref="P130:P193" si="13">IF(G130=1,D130,0)</f>
        <v>0</v>
      </c>
      <c r="Q130" t="e">
        <f t="shared" ref="Q130:Q193" si="14">IF(F130&lt;&gt;"",TEXT(DATEVALUE(F130),"YYYY-MM"),"")</f>
        <v>#VALUE!</v>
      </c>
    </row>
    <row r="131" spans="1:17" ht="15" customHeight="1" x14ac:dyDescent="0.25">
      <c r="A131">
        <f>'Customers Raw data'!A131</f>
        <v>1130</v>
      </c>
      <c r="B131" t="str">
        <f>'Customers Raw data'!B131</f>
        <v>2025-04-08</v>
      </c>
      <c r="C131" t="str">
        <f>'Customers Raw data'!C131</f>
        <v>Pro</v>
      </c>
      <c r="D131">
        <f>'Customers Raw data'!D131</f>
        <v>200</v>
      </c>
      <c r="E131">
        <f>'Customers Raw data'!E131</f>
        <v>100</v>
      </c>
      <c r="F131">
        <f>'Customers Raw data'!F131</f>
        <v>0</v>
      </c>
      <c r="G131">
        <f>IF('Customers Raw data'!F131&lt;&gt;"",1,0)</f>
        <v>0</v>
      </c>
      <c r="H131" t="str">
        <f>IF('Customers Raw data'!F131&lt;&gt;"",YEAR(DATEVALUE('Customers Raw data'!F131)),"")</f>
        <v/>
      </c>
      <c r="I131" t="str">
        <f>IF('Customers Raw data'!F131&lt;&gt;"",MONTH(DATEVALUE('Customers Raw data'!F131)),"")</f>
        <v/>
      </c>
      <c r="J131">
        <f>YEAR(DATEVALUE('Customers Raw data'!B131))</f>
        <v>2025</v>
      </c>
      <c r="K131">
        <f>MONTH(DATEVALUE('Customers Raw data'!B131))</f>
        <v>4</v>
      </c>
      <c r="L131">
        <f ca="1">IF('Customers Raw data'!F131&lt;&gt;"",DATEDIF(DATEVALUE('Customers Raw data'!B131),DATEVALUE('Customers Raw data'!F131),"M"),DATEDIF(DATEVALUE('Customers Raw data'!B131),TODAY(),"M"))</f>
        <v>11</v>
      </c>
      <c r="M131">
        <f t="shared" ca="1" si="10"/>
        <v>2200</v>
      </c>
      <c r="N131">
        <f t="shared" si="11"/>
        <v>2</v>
      </c>
      <c r="O131">
        <f t="shared" ca="1" si="12"/>
        <v>0</v>
      </c>
      <c r="P131">
        <f t="shared" si="13"/>
        <v>0</v>
      </c>
      <c r="Q131" t="e">
        <f t="shared" si="14"/>
        <v>#VALUE!</v>
      </c>
    </row>
    <row r="132" spans="1:17" ht="15" customHeight="1" x14ac:dyDescent="0.25">
      <c r="A132">
        <f>'Customers Raw data'!A132</f>
        <v>1131</v>
      </c>
      <c r="B132" t="str">
        <f>'Customers Raw data'!B132</f>
        <v>2025-02-20</v>
      </c>
      <c r="C132" t="str">
        <f>'Customers Raw data'!C132</f>
        <v>Pro</v>
      </c>
      <c r="D132">
        <f>'Customers Raw data'!D132</f>
        <v>200</v>
      </c>
      <c r="E132">
        <f>'Customers Raw data'!E132</f>
        <v>100</v>
      </c>
      <c r="F132">
        <f>'Customers Raw data'!F132</f>
        <v>0</v>
      </c>
      <c r="G132">
        <f>IF('Customers Raw data'!F132&lt;&gt;"",1,0)</f>
        <v>0</v>
      </c>
      <c r="H132" t="str">
        <f>IF('Customers Raw data'!F132&lt;&gt;"",YEAR(DATEVALUE('Customers Raw data'!F132)),"")</f>
        <v/>
      </c>
      <c r="I132" t="str">
        <f>IF('Customers Raw data'!F132&lt;&gt;"",MONTH(DATEVALUE('Customers Raw data'!F132)),"")</f>
        <v/>
      </c>
      <c r="J132">
        <f>YEAR(DATEVALUE('Customers Raw data'!B132))</f>
        <v>2025</v>
      </c>
      <c r="K132">
        <f>MONTH(DATEVALUE('Customers Raw data'!B132))</f>
        <v>2</v>
      </c>
      <c r="L132">
        <f ca="1">IF('Customers Raw data'!F132&lt;&gt;"",DATEDIF(DATEVALUE('Customers Raw data'!B132),DATEVALUE('Customers Raw data'!F132),"M"),DATEDIF(DATEVALUE('Customers Raw data'!B132),TODAY(),"M"))</f>
        <v>13</v>
      </c>
      <c r="M132">
        <f t="shared" ca="1" si="10"/>
        <v>2600</v>
      </c>
      <c r="N132">
        <f t="shared" si="11"/>
        <v>2</v>
      </c>
      <c r="O132">
        <f t="shared" ca="1" si="12"/>
        <v>0</v>
      </c>
      <c r="P132">
        <f t="shared" si="13"/>
        <v>0</v>
      </c>
      <c r="Q132" t="e">
        <f t="shared" si="14"/>
        <v>#VALUE!</v>
      </c>
    </row>
    <row r="133" spans="1:17" ht="15" customHeight="1" x14ac:dyDescent="0.25">
      <c r="A133">
        <f>'Customers Raw data'!A133</f>
        <v>1132</v>
      </c>
      <c r="B133" t="str">
        <f>'Customers Raw data'!B133</f>
        <v>2024-11-07</v>
      </c>
      <c r="C133" t="str">
        <f>'Customers Raw data'!C133</f>
        <v>Basic</v>
      </c>
      <c r="D133">
        <f>'Customers Raw data'!D133</f>
        <v>50</v>
      </c>
      <c r="E133">
        <f>'Customers Raw data'!E133</f>
        <v>30</v>
      </c>
      <c r="F133" t="str">
        <f>'Customers Raw data'!F133</f>
        <v>2025-05-02</v>
      </c>
      <c r="G133">
        <f>IF('Customers Raw data'!F133&lt;&gt;"",1,0)</f>
        <v>1</v>
      </c>
      <c r="H133">
        <f>IF('Customers Raw data'!F133&lt;&gt;"",YEAR(DATEVALUE('Customers Raw data'!F133)),"")</f>
        <v>2025</v>
      </c>
      <c r="I133">
        <f>IF('Customers Raw data'!F133&lt;&gt;"",MONTH(DATEVALUE('Customers Raw data'!F133)),"")</f>
        <v>5</v>
      </c>
      <c r="J133">
        <f>YEAR(DATEVALUE('Customers Raw data'!B133))</f>
        <v>2024</v>
      </c>
      <c r="K133">
        <f>MONTH(DATEVALUE('Customers Raw data'!B133))</f>
        <v>11</v>
      </c>
      <c r="L133">
        <f ca="1">IF('Customers Raw data'!F133&lt;&gt;"",DATEDIF(DATEVALUE('Customers Raw data'!B133),DATEVALUE('Customers Raw data'!F133),"M"),DATEDIF(DATEVALUE('Customers Raw data'!B133),TODAY(),"M"))</f>
        <v>5</v>
      </c>
      <c r="M133">
        <f t="shared" ca="1" si="10"/>
        <v>250</v>
      </c>
      <c r="N133">
        <f t="shared" si="11"/>
        <v>1</v>
      </c>
      <c r="O133">
        <f t="shared" ca="1" si="12"/>
        <v>1</v>
      </c>
      <c r="P133">
        <f t="shared" si="13"/>
        <v>50</v>
      </c>
      <c r="Q133" t="str">
        <f t="shared" si="14"/>
        <v>2025-05</v>
      </c>
    </row>
    <row r="134" spans="1:17" ht="15" customHeight="1" x14ac:dyDescent="0.25">
      <c r="A134">
        <f>'Customers Raw data'!A134</f>
        <v>1133</v>
      </c>
      <c r="B134" t="str">
        <f>'Customers Raw data'!B134</f>
        <v>2024-03-30</v>
      </c>
      <c r="C134" t="str">
        <f>'Customers Raw data'!C134</f>
        <v>Pro</v>
      </c>
      <c r="D134">
        <f>'Customers Raw data'!D134</f>
        <v>200</v>
      </c>
      <c r="E134">
        <f>'Customers Raw data'!E134</f>
        <v>100</v>
      </c>
      <c r="F134">
        <f>'Customers Raw data'!F134</f>
        <v>0</v>
      </c>
      <c r="G134">
        <f>IF('Customers Raw data'!F134&lt;&gt;"",1,0)</f>
        <v>0</v>
      </c>
      <c r="H134" t="str">
        <f>IF('Customers Raw data'!F134&lt;&gt;"",YEAR(DATEVALUE('Customers Raw data'!F134)),"")</f>
        <v/>
      </c>
      <c r="I134" t="str">
        <f>IF('Customers Raw data'!F134&lt;&gt;"",MONTH(DATEVALUE('Customers Raw data'!F134)),"")</f>
        <v/>
      </c>
      <c r="J134">
        <f>YEAR(DATEVALUE('Customers Raw data'!B134))</f>
        <v>2024</v>
      </c>
      <c r="K134">
        <f>MONTH(DATEVALUE('Customers Raw data'!B134))</f>
        <v>3</v>
      </c>
      <c r="L134">
        <f ca="1">IF('Customers Raw data'!F134&lt;&gt;"",DATEDIF(DATEVALUE('Customers Raw data'!B134),DATEVALUE('Customers Raw data'!F134),"M"),DATEDIF(DATEVALUE('Customers Raw data'!B134),TODAY(),"M"))</f>
        <v>24</v>
      </c>
      <c r="M134">
        <f t="shared" ca="1" si="10"/>
        <v>4800</v>
      </c>
      <c r="N134">
        <f t="shared" si="11"/>
        <v>2</v>
      </c>
      <c r="O134">
        <f t="shared" ca="1" si="12"/>
        <v>0</v>
      </c>
      <c r="P134">
        <f t="shared" si="13"/>
        <v>0</v>
      </c>
      <c r="Q134" t="e">
        <f t="shared" si="14"/>
        <v>#VALUE!</v>
      </c>
    </row>
    <row r="135" spans="1:17" ht="15" customHeight="1" x14ac:dyDescent="0.25">
      <c r="A135">
        <f>'Customers Raw data'!A135</f>
        <v>1134</v>
      </c>
      <c r="B135" t="str">
        <f>'Customers Raw data'!B135</f>
        <v>2024-02-15</v>
      </c>
      <c r="C135" t="str">
        <f>'Customers Raw data'!C135</f>
        <v>Pro</v>
      </c>
      <c r="D135">
        <f>'Customers Raw data'!D135</f>
        <v>200</v>
      </c>
      <c r="E135">
        <f>'Customers Raw data'!E135</f>
        <v>100</v>
      </c>
      <c r="F135">
        <f>'Customers Raw data'!F135</f>
        <v>0</v>
      </c>
      <c r="G135">
        <f>IF('Customers Raw data'!F135&lt;&gt;"",1,0)</f>
        <v>0</v>
      </c>
      <c r="H135" t="str">
        <f>IF('Customers Raw data'!F135&lt;&gt;"",YEAR(DATEVALUE('Customers Raw data'!F135)),"")</f>
        <v/>
      </c>
      <c r="I135" t="str">
        <f>IF('Customers Raw data'!F135&lt;&gt;"",MONTH(DATEVALUE('Customers Raw data'!F135)),"")</f>
        <v/>
      </c>
      <c r="J135">
        <f>YEAR(DATEVALUE('Customers Raw data'!B135))</f>
        <v>2024</v>
      </c>
      <c r="K135">
        <f>MONTH(DATEVALUE('Customers Raw data'!B135))</f>
        <v>2</v>
      </c>
      <c r="L135">
        <f ca="1">IF('Customers Raw data'!F135&lt;&gt;"",DATEDIF(DATEVALUE('Customers Raw data'!B135),DATEVALUE('Customers Raw data'!F135),"M"),DATEDIF(DATEVALUE('Customers Raw data'!B135),TODAY(),"M"))</f>
        <v>25</v>
      </c>
      <c r="M135">
        <f t="shared" ca="1" si="10"/>
        <v>5000</v>
      </c>
      <c r="N135">
        <f t="shared" si="11"/>
        <v>2</v>
      </c>
      <c r="O135">
        <f t="shared" ca="1" si="12"/>
        <v>0</v>
      </c>
      <c r="P135">
        <f t="shared" si="13"/>
        <v>0</v>
      </c>
      <c r="Q135" t="e">
        <f t="shared" si="14"/>
        <v>#VALUE!</v>
      </c>
    </row>
    <row r="136" spans="1:17" ht="15" customHeight="1" x14ac:dyDescent="0.25">
      <c r="A136">
        <f>'Customers Raw data'!A136</f>
        <v>1135</v>
      </c>
      <c r="B136" t="str">
        <f>'Customers Raw data'!B136</f>
        <v>2025-06-12</v>
      </c>
      <c r="C136" t="str">
        <f>'Customers Raw data'!C136</f>
        <v>Basic</v>
      </c>
      <c r="D136">
        <f>'Customers Raw data'!D136</f>
        <v>50</v>
      </c>
      <c r="E136">
        <f>'Customers Raw data'!E136</f>
        <v>30</v>
      </c>
      <c r="F136">
        <f>'Customers Raw data'!F136</f>
        <v>0</v>
      </c>
      <c r="G136">
        <f>IF('Customers Raw data'!F136&lt;&gt;"",1,0)</f>
        <v>0</v>
      </c>
      <c r="H136" t="str">
        <f>IF('Customers Raw data'!F136&lt;&gt;"",YEAR(DATEVALUE('Customers Raw data'!F136)),"")</f>
        <v/>
      </c>
      <c r="I136" t="str">
        <f>IF('Customers Raw data'!F136&lt;&gt;"",MONTH(DATEVALUE('Customers Raw data'!F136)),"")</f>
        <v/>
      </c>
      <c r="J136">
        <f>YEAR(DATEVALUE('Customers Raw data'!B136))</f>
        <v>2025</v>
      </c>
      <c r="K136">
        <f>MONTH(DATEVALUE('Customers Raw data'!B136))</f>
        <v>6</v>
      </c>
      <c r="L136">
        <f ca="1">IF('Customers Raw data'!F136&lt;&gt;"",DATEDIF(DATEVALUE('Customers Raw data'!B136),DATEVALUE('Customers Raw data'!F136),"M"),DATEDIF(DATEVALUE('Customers Raw data'!B136),TODAY(),"M"))</f>
        <v>9</v>
      </c>
      <c r="M136">
        <f t="shared" ca="1" si="10"/>
        <v>450</v>
      </c>
      <c r="N136">
        <f t="shared" si="11"/>
        <v>1</v>
      </c>
      <c r="O136">
        <f t="shared" ca="1" si="12"/>
        <v>0</v>
      </c>
      <c r="P136">
        <f t="shared" si="13"/>
        <v>0</v>
      </c>
      <c r="Q136" t="e">
        <f t="shared" si="14"/>
        <v>#VALUE!</v>
      </c>
    </row>
    <row r="137" spans="1:17" ht="15" customHeight="1" x14ac:dyDescent="0.25">
      <c r="A137">
        <f>'Customers Raw data'!A137</f>
        <v>1136</v>
      </c>
      <c r="B137" t="str">
        <f>'Customers Raw data'!B137</f>
        <v>2025-03-04</v>
      </c>
      <c r="C137" t="str">
        <f>'Customers Raw data'!C137</f>
        <v>Enterprise</v>
      </c>
      <c r="D137">
        <f>'Customers Raw data'!D137</f>
        <v>500</v>
      </c>
      <c r="E137">
        <f>'Customers Raw data'!E137</f>
        <v>200</v>
      </c>
      <c r="F137">
        <f>'Customers Raw data'!F137</f>
        <v>0</v>
      </c>
      <c r="G137">
        <f>IF('Customers Raw data'!F137&lt;&gt;"",1,0)</f>
        <v>0</v>
      </c>
      <c r="H137" t="str">
        <f>IF('Customers Raw data'!F137&lt;&gt;"",YEAR(DATEVALUE('Customers Raw data'!F137)),"")</f>
        <v/>
      </c>
      <c r="I137" t="str">
        <f>IF('Customers Raw data'!F137&lt;&gt;"",MONTH(DATEVALUE('Customers Raw data'!F137)),"")</f>
        <v/>
      </c>
      <c r="J137">
        <f>YEAR(DATEVALUE('Customers Raw data'!B137))</f>
        <v>2025</v>
      </c>
      <c r="K137">
        <f>MONTH(DATEVALUE('Customers Raw data'!B137))</f>
        <v>3</v>
      </c>
      <c r="L137">
        <f ca="1">IF('Customers Raw data'!F137&lt;&gt;"",DATEDIF(DATEVALUE('Customers Raw data'!B137),DATEVALUE('Customers Raw data'!F137),"M"),DATEDIF(DATEVALUE('Customers Raw data'!B137),TODAY(),"M"))</f>
        <v>13</v>
      </c>
      <c r="M137">
        <f t="shared" ca="1" si="10"/>
        <v>6500</v>
      </c>
      <c r="N137">
        <f t="shared" si="11"/>
        <v>3</v>
      </c>
      <c r="O137">
        <f t="shared" ca="1" si="12"/>
        <v>0</v>
      </c>
      <c r="P137">
        <f t="shared" si="13"/>
        <v>0</v>
      </c>
      <c r="Q137" t="e">
        <f t="shared" si="14"/>
        <v>#VALUE!</v>
      </c>
    </row>
    <row r="138" spans="1:17" ht="15" customHeight="1" x14ac:dyDescent="0.25">
      <c r="A138">
        <f>'Customers Raw data'!A138</f>
        <v>1137</v>
      </c>
      <c r="B138" t="str">
        <f>'Customers Raw data'!B138</f>
        <v>2024-01-08</v>
      </c>
      <c r="C138" t="str">
        <f>'Customers Raw data'!C138</f>
        <v>Basic</v>
      </c>
      <c r="D138">
        <f>'Customers Raw data'!D138</f>
        <v>50</v>
      </c>
      <c r="E138">
        <f>'Customers Raw data'!E138</f>
        <v>30</v>
      </c>
      <c r="F138" t="str">
        <f>'Customers Raw data'!F138</f>
        <v>2024-02-07</v>
      </c>
      <c r="G138">
        <f>IF('Customers Raw data'!F138&lt;&gt;"",1,0)</f>
        <v>1</v>
      </c>
      <c r="H138">
        <f>IF('Customers Raw data'!F138&lt;&gt;"",YEAR(DATEVALUE('Customers Raw data'!F138)),"")</f>
        <v>2024</v>
      </c>
      <c r="I138">
        <f>IF('Customers Raw data'!F138&lt;&gt;"",MONTH(DATEVALUE('Customers Raw data'!F138)),"")</f>
        <v>2</v>
      </c>
      <c r="J138">
        <f>YEAR(DATEVALUE('Customers Raw data'!B138))</f>
        <v>2024</v>
      </c>
      <c r="K138">
        <f>MONTH(DATEVALUE('Customers Raw data'!B138))</f>
        <v>1</v>
      </c>
      <c r="L138">
        <f ca="1">IF('Customers Raw data'!F138&lt;&gt;"",DATEDIF(DATEVALUE('Customers Raw data'!B138),DATEVALUE('Customers Raw data'!F138),"M"),DATEDIF(DATEVALUE('Customers Raw data'!B138),TODAY(),"M"))</f>
        <v>0</v>
      </c>
      <c r="M138">
        <f t="shared" ca="1" si="10"/>
        <v>0</v>
      </c>
      <c r="N138">
        <f t="shared" si="11"/>
        <v>1</v>
      </c>
      <c r="O138">
        <f t="shared" ca="1" si="12"/>
        <v>1</v>
      </c>
      <c r="P138">
        <f t="shared" si="13"/>
        <v>50</v>
      </c>
      <c r="Q138" t="str">
        <f t="shared" si="14"/>
        <v>2024-02</v>
      </c>
    </row>
    <row r="139" spans="1:17" ht="15" customHeight="1" x14ac:dyDescent="0.25">
      <c r="A139">
        <f>'Customers Raw data'!A139</f>
        <v>1138</v>
      </c>
      <c r="B139" t="str">
        <f>'Customers Raw data'!B139</f>
        <v>2024-06-30</v>
      </c>
      <c r="C139" t="str">
        <f>'Customers Raw data'!C139</f>
        <v>Basic</v>
      </c>
      <c r="D139">
        <f>'Customers Raw data'!D139</f>
        <v>50</v>
      </c>
      <c r="E139">
        <f>'Customers Raw data'!E139</f>
        <v>30</v>
      </c>
      <c r="F139">
        <f>'Customers Raw data'!F139</f>
        <v>0</v>
      </c>
      <c r="G139">
        <f>IF('Customers Raw data'!F139&lt;&gt;"",1,0)</f>
        <v>0</v>
      </c>
      <c r="H139" t="str">
        <f>IF('Customers Raw data'!F139&lt;&gt;"",YEAR(DATEVALUE('Customers Raw data'!F139)),"")</f>
        <v/>
      </c>
      <c r="I139" t="str">
        <f>IF('Customers Raw data'!F139&lt;&gt;"",MONTH(DATEVALUE('Customers Raw data'!F139)),"")</f>
        <v/>
      </c>
      <c r="J139">
        <f>YEAR(DATEVALUE('Customers Raw data'!B139))</f>
        <v>2024</v>
      </c>
      <c r="K139">
        <f>MONTH(DATEVALUE('Customers Raw data'!B139))</f>
        <v>6</v>
      </c>
      <c r="L139">
        <f ca="1">IF('Customers Raw data'!F139&lt;&gt;"",DATEDIF(DATEVALUE('Customers Raw data'!B139),DATEVALUE('Customers Raw data'!F139),"M"),DATEDIF(DATEVALUE('Customers Raw data'!B139),TODAY(),"M"))</f>
        <v>21</v>
      </c>
      <c r="M139">
        <f t="shared" ca="1" si="10"/>
        <v>1050</v>
      </c>
      <c r="N139">
        <f t="shared" si="11"/>
        <v>1</v>
      </c>
      <c r="O139">
        <f t="shared" ca="1" si="12"/>
        <v>0</v>
      </c>
      <c r="P139">
        <f t="shared" si="13"/>
        <v>0</v>
      </c>
      <c r="Q139" t="e">
        <f t="shared" si="14"/>
        <v>#VALUE!</v>
      </c>
    </row>
    <row r="140" spans="1:17" ht="15" customHeight="1" x14ac:dyDescent="0.25">
      <c r="A140">
        <f>'Customers Raw data'!A140</f>
        <v>1139</v>
      </c>
      <c r="B140" t="str">
        <f>'Customers Raw data'!B140</f>
        <v>2024-10-16</v>
      </c>
      <c r="C140" t="str">
        <f>'Customers Raw data'!C140</f>
        <v>Enterprise</v>
      </c>
      <c r="D140">
        <f>'Customers Raw data'!D140</f>
        <v>500</v>
      </c>
      <c r="E140">
        <f>'Customers Raw data'!E140</f>
        <v>200</v>
      </c>
      <c r="F140">
        <f>'Customers Raw data'!F140</f>
        <v>0</v>
      </c>
      <c r="G140">
        <f>IF('Customers Raw data'!F140&lt;&gt;"",1,0)</f>
        <v>0</v>
      </c>
      <c r="H140" t="str">
        <f>IF('Customers Raw data'!F140&lt;&gt;"",YEAR(DATEVALUE('Customers Raw data'!F140)),"")</f>
        <v/>
      </c>
      <c r="I140" t="str">
        <f>IF('Customers Raw data'!F140&lt;&gt;"",MONTH(DATEVALUE('Customers Raw data'!F140)),"")</f>
        <v/>
      </c>
      <c r="J140">
        <f>YEAR(DATEVALUE('Customers Raw data'!B140))</f>
        <v>2024</v>
      </c>
      <c r="K140">
        <f>MONTH(DATEVALUE('Customers Raw data'!B140))</f>
        <v>10</v>
      </c>
      <c r="L140">
        <f ca="1">IF('Customers Raw data'!F140&lt;&gt;"",DATEDIF(DATEVALUE('Customers Raw data'!B140),DATEVALUE('Customers Raw data'!F140),"M"),DATEDIF(DATEVALUE('Customers Raw data'!B140),TODAY(),"M"))</f>
        <v>17</v>
      </c>
      <c r="M140">
        <f t="shared" ca="1" si="10"/>
        <v>8500</v>
      </c>
      <c r="N140">
        <f t="shared" si="11"/>
        <v>3</v>
      </c>
      <c r="O140">
        <f t="shared" ca="1" si="12"/>
        <v>0</v>
      </c>
      <c r="P140">
        <f t="shared" si="13"/>
        <v>0</v>
      </c>
      <c r="Q140" t="e">
        <f t="shared" si="14"/>
        <v>#VALUE!</v>
      </c>
    </row>
    <row r="141" spans="1:17" ht="15" customHeight="1" x14ac:dyDescent="0.25">
      <c r="A141">
        <f>'Customers Raw data'!A141</f>
        <v>1140</v>
      </c>
      <c r="B141" t="str">
        <f>'Customers Raw data'!B141</f>
        <v>2025-01-09</v>
      </c>
      <c r="C141" t="str">
        <f>'Customers Raw data'!C141</f>
        <v>Pro</v>
      </c>
      <c r="D141">
        <f>'Customers Raw data'!D141</f>
        <v>200</v>
      </c>
      <c r="E141">
        <f>'Customers Raw data'!E141</f>
        <v>100</v>
      </c>
      <c r="F141">
        <f>'Customers Raw data'!F141</f>
        <v>0</v>
      </c>
      <c r="G141">
        <f>IF('Customers Raw data'!F141&lt;&gt;"",1,0)</f>
        <v>0</v>
      </c>
      <c r="H141" t="str">
        <f>IF('Customers Raw data'!F141&lt;&gt;"",YEAR(DATEVALUE('Customers Raw data'!F141)),"")</f>
        <v/>
      </c>
      <c r="I141" t="str">
        <f>IF('Customers Raw data'!F141&lt;&gt;"",MONTH(DATEVALUE('Customers Raw data'!F141)),"")</f>
        <v/>
      </c>
      <c r="J141">
        <f>YEAR(DATEVALUE('Customers Raw data'!B141))</f>
        <v>2025</v>
      </c>
      <c r="K141">
        <f>MONTH(DATEVALUE('Customers Raw data'!B141))</f>
        <v>1</v>
      </c>
      <c r="L141">
        <f ca="1">IF('Customers Raw data'!F141&lt;&gt;"",DATEDIF(DATEVALUE('Customers Raw data'!B141),DATEVALUE('Customers Raw data'!F141),"M"),DATEDIF(DATEVALUE('Customers Raw data'!B141),TODAY(),"M"))</f>
        <v>14</v>
      </c>
      <c r="M141">
        <f t="shared" ca="1" si="10"/>
        <v>2800</v>
      </c>
      <c r="N141">
        <f t="shared" si="11"/>
        <v>2</v>
      </c>
      <c r="O141">
        <f t="shared" ca="1" si="12"/>
        <v>0</v>
      </c>
      <c r="P141">
        <f t="shared" si="13"/>
        <v>0</v>
      </c>
      <c r="Q141" t="e">
        <f t="shared" si="14"/>
        <v>#VALUE!</v>
      </c>
    </row>
    <row r="142" spans="1:17" ht="15" customHeight="1" x14ac:dyDescent="0.25">
      <c r="A142">
        <f>'Customers Raw data'!A142</f>
        <v>1141</v>
      </c>
      <c r="B142" t="str">
        <f>'Customers Raw data'!B142</f>
        <v>2024-02-06</v>
      </c>
      <c r="C142" t="str">
        <f>'Customers Raw data'!C142</f>
        <v>Basic</v>
      </c>
      <c r="D142">
        <f>'Customers Raw data'!D142</f>
        <v>50</v>
      </c>
      <c r="E142">
        <f>'Customers Raw data'!E142</f>
        <v>30</v>
      </c>
      <c r="F142">
        <f>'Customers Raw data'!F142</f>
        <v>0</v>
      </c>
      <c r="G142">
        <f>IF('Customers Raw data'!F142&lt;&gt;"",1,0)</f>
        <v>0</v>
      </c>
      <c r="H142" t="str">
        <f>IF('Customers Raw data'!F142&lt;&gt;"",YEAR(DATEVALUE('Customers Raw data'!F142)),"")</f>
        <v/>
      </c>
      <c r="I142" t="str">
        <f>IF('Customers Raw data'!F142&lt;&gt;"",MONTH(DATEVALUE('Customers Raw data'!F142)),"")</f>
        <v/>
      </c>
      <c r="J142">
        <f>YEAR(DATEVALUE('Customers Raw data'!B142))</f>
        <v>2024</v>
      </c>
      <c r="K142">
        <f>MONTH(DATEVALUE('Customers Raw data'!B142))</f>
        <v>2</v>
      </c>
      <c r="L142">
        <f ca="1">IF('Customers Raw data'!F142&lt;&gt;"",DATEDIF(DATEVALUE('Customers Raw data'!B142),DATEVALUE('Customers Raw data'!F142),"M"),DATEDIF(DATEVALUE('Customers Raw data'!B142),TODAY(),"M"))</f>
        <v>26</v>
      </c>
      <c r="M142">
        <f t="shared" ca="1" si="10"/>
        <v>1300</v>
      </c>
      <c r="N142">
        <f t="shared" si="11"/>
        <v>1</v>
      </c>
      <c r="O142">
        <f t="shared" ca="1" si="12"/>
        <v>0</v>
      </c>
      <c r="P142">
        <f t="shared" si="13"/>
        <v>0</v>
      </c>
      <c r="Q142" t="e">
        <f t="shared" si="14"/>
        <v>#VALUE!</v>
      </c>
    </row>
    <row r="143" spans="1:17" ht="15" customHeight="1" x14ac:dyDescent="0.25">
      <c r="A143">
        <f>'Customers Raw data'!A143</f>
        <v>1142</v>
      </c>
      <c r="B143" t="str">
        <f>'Customers Raw data'!B143</f>
        <v>2024-12-06</v>
      </c>
      <c r="C143" t="str">
        <f>'Customers Raw data'!C143</f>
        <v>Enterprise</v>
      </c>
      <c r="D143">
        <f>'Customers Raw data'!D143</f>
        <v>500</v>
      </c>
      <c r="E143">
        <f>'Customers Raw data'!E143</f>
        <v>200</v>
      </c>
      <c r="F143">
        <f>'Customers Raw data'!F143</f>
        <v>0</v>
      </c>
      <c r="G143">
        <f>IF('Customers Raw data'!F143&lt;&gt;"",1,0)</f>
        <v>0</v>
      </c>
      <c r="H143" t="str">
        <f>IF('Customers Raw data'!F143&lt;&gt;"",YEAR(DATEVALUE('Customers Raw data'!F143)),"")</f>
        <v/>
      </c>
      <c r="I143" t="str">
        <f>IF('Customers Raw data'!F143&lt;&gt;"",MONTH(DATEVALUE('Customers Raw data'!F143)),"")</f>
        <v/>
      </c>
      <c r="J143">
        <f>YEAR(DATEVALUE('Customers Raw data'!B143))</f>
        <v>2024</v>
      </c>
      <c r="K143">
        <f>MONTH(DATEVALUE('Customers Raw data'!B143))</f>
        <v>12</v>
      </c>
      <c r="L143">
        <f ca="1">IF('Customers Raw data'!F143&lt;&gt;"",DATEDIF(DATEVALUE('Customers Raw data'!B143),DATEVALUE('Customers Raw data'!F143),"M"),DATEDIF(DATEVALUE('Customers Raw data'!B143),TODAY(),"M"))</f>
        <v>16</v>
      </c>
      <c r="M143">
        <f t="shared" ca="1" si="10"/>
        <v>8000</v>
      </c>
      <c r="N143">
        <f t="shared" si="11"/>
        <v>3</v>
      </c>
      <c r="O143">
        <f t="shared" ca="1" si="12"/>
        <v>0</v>
      </c>
      <c r="P143">
        <f t="shared" si="13"/>
        <v>0</v>
      </c>
      <c r="Q143" t="e">
        <f t="shared" si="14"/>
        <v>#VALUE!</v>
      </c>
    </row>
    <row r="144" spans="1:17" ht="15" customHeight="1" x14ac:dyDescent="0.25">
      <c r="A144">
        <f>'Customers Raw data'!A144</f>
        <v>1143</v>
      </c>
      <c r="B144" t="str">
        <f>'Customers Raw data'!B144</f>
        <v>2024-04-13</v>
      </c>
      <c r="C144" t="str">
        <f>'Customers Raw data'!C144</f>
        <v>Pro</v>
      </c>
      <c r="D144">
        <f>'Customers Raw data'!D144</f>
        <v>200</v>
      </c>
      <c r="E144">
        <f>'Customers Raw data'!E144</f>
        <v>100</v>
      </c>
      <c r="F144" t="str">
        <f>'Customers Raw data'!F144</f>
        <v>2025-01-27</v>
      </c>
      <c r="G144">
        <f>IF('Customers Raw data'!F144&lt;&gt;"",1,0)</f>
        <v>1</v>
      </c>
      <c r="H144">
        <f>IF('Customers Raw data'!F144&lt;&gt;"",YEAR(DATEVALUE('Customers Raw data'!F144)),"")</f>
        <v>2025</v>
      </c>
      <c r="I144">
        <f>IF('Customers Raw data'!F144&lt;&gt;"",MONTH(DATEVALUE('Customers Raw data'!F144)),"")</f>
        <v>1</v>
      </c>
      <c r="J144">
        <f>YEAR(DATEVALUE('Customers Raw data'!B144))</f>
        <v>2024</v>
      </c>
      <c r="K144">
        <f>MONTH(DATEVALUE('Customers Raw data'!B144))</f>
        <v>4</v>
      </c>
      <c r="L144">
        <f ca="1">IF('Customers Raw data'!F144&lt;&gt;"",DATEDIF(DATEVALUE('Customers Raw data'!B144),DATEVALUE('Customers Raw data'!F144),"M"),DATEDIF(DATEVALUE('Customers Raw data'!B144),TODAY(),"M"))</f>
        <v>9</v>
      </c>
      <c r="M144">
        <f t="shared" ca="1" si="10"/>
        <v>1800</v>
      </c>
      <c r="N144">
        <f t="shared" si="11"/>
        <v>2</v>
      </c>
      <c r="O144">
        <f t="shared" ca="1" si="12"/>
        <v>0</v>
      </c>
      <c r="P144">
        <f t="shared" si="13"/>
        <v>200</v>
      </c>
      <c r="Q144" t="str">
        <f t="shared" si="14"/>
        <v>2025-01</v>
      </c>
    </row>
    <row r="145" spans="1:17" ht="15" customHeight="1" x14ac:dyDescent="0.25">
      <c r="A145">
        <f>'Customers Raw data'!A145</f>
        <v>1144</v>
      </c>
      <c r="B145" t="str">
        <f>'Customers Raw data'!B145</f>
        <v>2025-06-06</v>
      </c>
      <c r="C145" t="str">
        <f>'Customers Raw data'!C145</f>
        <v>Pro</v>
      </c>
      <c r="D145">
        <f>'Customers Raw data'!D145</f>
        <v>200</v>
      </c>
      <c r="E145">
        <f>'Customers Raw data'!E145</f>
        <v>100</v>
      </c>
      <c r="F145">
        <f>'Customers Raw data'!F145</f>
        <v>0</v>
      </c>
      <c r="G145">
        <f>IF('Customers Raw data'!F145&lt;&gt;"",1,0)</f>
        <v>0</v>
      </c>
      <c r="H145" t="str">
        <f>IF('Customers Raw data'!F145&lt;&gt;"",YEAR(DATEVALUE('Customers Raw data'!F145)),"")</f>
        <v/>
      </c>
      <c r="I145" t="str">
        <f>IF('Customers Raw data'!F145&lt;&gt;"",MONTH(DATEVALUE('Customers Raw data'!F145)),"")</f>
        <v/>
      </c>
      <c r="J145">
        <f>YEAR(DATEVALUE('Customers Raw data'!B145))</f>
        <v>2025</v>
      </c>
      <c r="K145">
        <f>MONTH(DATEVALUE('Customers Raw data'!B145))</f>
        <v>6</v>
      </c>
      <c r="L145">
        <f ca="1">IF('Customers Raw data'!F145&lt;&gt;"",DATEDIF(DATEVALUE('Customers Raw data'!B145),DATEVALUE('Customers Raw data'!F145),"M"),DATEDIF(DATEVALUE('Customers Raw data'!B145),TODAY(),"M"))</f>
        <v>10</v>
      </c>
      <c r="M145">
        <f t="shared" ca="1" si="10"/>
        <v>2000</v>
      </c>
      <c r="N145">
        <f t="shared" si="11"/>
        <v>2</v>
      </c>
      <c r="O145">
        <f t="shared" ca="1" si="12"/>
        <v>0</v>
      </c>
      <c r="P145">
        <f t="shared" si="13"/>
        <v>0</v>
      </c>
      <c r="Q145" t="e">
        <f t="shared" si="14"/>
        <v>#VALUE!</v>
      </c>
    </row>
    <row r="146" spans="1:17" ht="15" customHeight="1" x14ac:dyDescent="0.25">
      <c r="A146">
        <f>'Customers Raw data'!A146</f>
        <v>1145</v>
      </c>
      <c r="B146" t="str">
        <f>'Customers Raw data'!B146</f>
        <v>2024-11-08</v>
      </c>
      <c r="C146" t="str">
        <f>'Customers Raw data'!C146</f>
        <v>Basic</v>
      </c>
      <c r="D146">
        <f>'Customers Raw data'!D146</f>
        <v>50</v>
      </c>
      <c r="E146">
        <f>'Customers Raw data'!E146</f>
        <v>30</v>
      </c>
      <c r="F146">
        <f>'Customers Raw data'!F146</f>
        <v>0</v>
      </c>
      <c r="G146">
        <f>IF('Customers Raw data'!F146&lt;&gt;"",1,0)</f>
        <v>0</v>
      </c>
      <c r="H146" t="str">
        <f>IF('Customers Raw data'!F146&lt;&gt;"",YEAR(DATEVALUE('Customers Raw data'!F146)),"")</f>
        <v/>
      </c>
      <c r="I146" t="str">
        <f>IF('Customers Raw data'!F146&lt;&gt;"",MONTH(DATEVALUE('Customers Raw data'!F146)),"")</f>
        <v/>
      </c>
      <c r="J146">
        <f>YEAR(DATEVALUE('Customers Raw data'!B146))</f>
        <v>2024</v>
      </c>
      <c r="K146">
        <f>MONTH(DATEVALUE('Customers Raw data'!B146))</f>
        <v>11</v>
      </c>
      <c r="L146">
        <f ca="1">IF('Customers Raw data'!F146&lt;&gt;"",DATEDIF(DATEVALUE('Customers Raw data'!B146),DATEVALUE('Customers Raw data'!F146),"M"),DATEDIF(DATEVALUE('Customers Raw data'!B146),TODAY(),"M"))</f>
        <v>16</v>
      </c>
      <c r="M146">
        <f t="shared" ca="1" si="10"/>
        <v>800</v>
      </c>
      <c r="N146">
        <f t="shared" si="11"/>
        <v>1</v>
      </c>
      <c r="O146">
        <f t="shared" ca="1" si="12"/>
        <v>0</v>
      </c>
      <c r="P146">
        <f t="shared" si="13"/>
        <v>0</v>
      </c>
      <c r="Q146" t="e">
        <f t="shared" si="14"/>
        <v>#VALUE!</v>
      </c>
    </row>
    <row r="147" spans="1:17" ht="15" customHeight="1" x14ac:dyDescent="0.25">
      <c r="A147">
        <f>'Customers Raw data'!A147</f>
        <v>1146</v>
      </c>
      <c r="B147" t="str">
        <f>'Customers Raw data'!B147</f>
        <v>2024-06-19</v>
      </c>
      <c r="C147" t="str">
        <f>'Customers Raw data'!C147</f>
        <v>Pro</v>
      </c>
      <c r="D147">
        <f>'Customers Raw data'!D147</f>
        <v>200</v>
      </c>
      <c r="E147">
        <f>'Customers Raw data'!E147</f>
        <v>100</v>
      </c>
      <c r="F147">
        <f>'Customers Raw data'!F147</f>
        <v>0</v>
      </c>
      <c r="G147">
        <f>IF('Customers Raw data'!F147&lt;&gt;"",1,0)</f>
        <v>0</v>
      </c>
      <c r="H147" t="str">
        <f>IF('Customers Raw data'!F147&lt;&gt;"",YEAR(DATEVALUE('Customers Raw data'!F147)),"")</f>
        <v/>
      </c>
      <c r="I147" t="str">
        <f>IF('Customers Raw data'!F147&lt;&gt;"",MONTH(DATEVALUE('Customers Raw data'!F147)),"")</f>
        <v/>
      </c>
      <c r="J147">
        <f>YEAR(DATEVALUE('Customers Raw data'!B147))</f>
        <v>2024</v>
      </c>
      <c r="K147">
        <f>MONTH(DATEVALUE('Customers Raw data'!B147))</f>
        <v>6</v>
      </c>
      <c r="L147">
        <f ca="1">IF('Customers Raw data'!F147&lt;&gt;"",DATEDIF(DATEVALUE('Customers Raw data'!B147),DATEVALUE('Customers Raw data'!F147),"M"),DATEDIF(DATEVALUE('Customers Raw data'!B147),TODAY(),"M"))</f>
        <v>21</v>
      </c>
      <c r="M147">
        <f t="shared" ca="1" si="10"/>
        <v>4200</v>
      </c>
      <c r="N147">
        <f t="shared" si="11"/>
        <v>2</v>
      </c>
      <c r="O147">
        <f t="shared" ca="1" si="12"/>
        <v>0</v>
      </c>
      <c r="P147">
        <f t="shared" si="13"/>
        <v>0</v>
      </c>
      <c r="Q147" t="e">
        <f t="shared" si="14"/>
        <v>#VALUE!</v>
      </c>
    </row>
    <row r="148" spans="1:17" ht="15" customHeight="1" x14ac:dyDescent="0.25">
      <c r="A148">
        <f>'Customers Raw data'!A148</f>
        <v>1147</v>
      </c>
      <c r="B148" t="str">
        <f>'Customers Raw data'!B148</f>
        <v>2025-03-29</v>
      </c>
      <c r="C148" t="str">
        <f>'Customers Raw data'!C148</f>
        <v>Pro</v>
      </c>
      <c r="D148">
        <f>'Customers Raw data'!D148</f>
        <v>200</v>
      </c>
      <c r="E148">
        <f>'Customers Raw data'!E148</f>
        <v>100</v>
      </c>
      <c r="F148">
        <f>'Customers Raw data'!F148</f>
        <v>0</v>
      </c>
      <c r="G148">
        <f>IF('Customers Raw data'!F148&lt;&gt;"",1,0)</f>
        <v>0</v>
      </c>
      <c r="H148" t="str">
        <f>IF('Customers Raw data'!F148&lt;&gt;"",YEAR(DATEVALUE('Customers Raw data'!F148)),"")</f>
        <v/>
      </c>
      <c r="I148" t="str">
        <f>IF('Customers Raw data'!F148&lt;&gt;"",MONTH(DATEVALUE('Customers Raw data'!F148)),"")</f>
        <v/>
      </c>
      <c r="J148">
        <f>YEAR(DATEVALUE('Customers Raw data'!B148))</f>
        <v>2025</v>
      </c>
      <c r="K148">
        <f>MONTH(DATEVALUE('Customers Raw data'!B148))</f>
        <v>3</v>
      </c>
      <c r="L148">
        <f ca="1">IF('Customers Raw data'!F148&lt;&gt;"",DATEDIF(DATEVALUE('Customers Raw data'!B148),DATEVALUE('Customers Raw data'!F148),"M"),DATEDIF(DATEVALUE('Customers Raw data'!B148),TODAY(),"M"))</f>
        <v>12</v>
      </c>
      <c r="M148">
        <f t="shared" ca="1" si="10"/>
        <v>2400</v>
      </c>
      <c r="N148">
        <f t="shared" si="11"/>
        <v>2</v>
      </c>
      <c r="O148">
        <f t="shared" ca="1" si="12"/>
        <v>0</v>
      </c>
      <c r="P148">
        <f t="shared" si="13"/>
        <v>0</v>
      </c>
      <c r="Q148" t="e">
        <f t="shared" si="14"/>
        <v>#VALUE!</v>
      </c>
    </row>
    <row r="149" spans="1:17" ht="15" customHeight="1" x14ac:dyDescent="0.25">
      <c r="A149">
        <f>'Customers Raw data'!A149</f>
        <v>1148</v>
      </c>
      <c r="B149" t="str">
        <f>'Customers Raw data'!B149</f>
        <v>2025-05-11</v>
      </c>
      <c r="C149" t="str">
        <f>'Customers Raw data'!C149</f>
        <v>Enterprise</v>
      </c>
      <c r="D149">
        <f>'Customers Raw data'!D149</f>
        <v>500</v>
      </c>
      <c r="E149">
        <f>'Customers Raw data'!E149</f>
        <v>200</v>
      </c>
      <c r="F149">
        <f>'Customers Raw data'!F149</f>
        <v>0</v>
      </c>
      <c r="G149">
        <f>IF('Customers Raw data'!F149&lt;&gt;"",1,0)</f>
        <v>0</v>
      </c>
      <c r="H149" t="str">
        <f>IF('Customers Raw data'!F149&lt;&gt;"",YEAR(DATEVALUE('Customers Raw data'!F149)),"")</f>
        <v/>
      </c>
      <c r="I149" t="str">
        <f>IF('Customers Raw data'!F149&lt;&gt;"",MONTH(DATEVALUE('Customers Raw data'!F149)),"")</f>
        <v/>
      </c>
      <c r="J149">
        <f>YEAR(DATEVALUE('Customers Raw data'!B149))</f>
        <v>2025</v>
      </c>
      <c r="K149">
        <f>MONTH(DATEVALUE('Customers Raw data'!B149))</f>
        <v>5</v>
      </c>
      <c r="L149">
        <f ca="1">IF('Customers Raw data'!F149&lt;&gt;"",DATEDIF(DATEVALUE('Customers Raw data'!B149),DATEVALUE('Customers Raw data'!F149),"M"),DATEDIF(DATEVALUE('Customers Raw data'!B149),TODAY(),"M"))</f>
        <v>10</v>
      </c>
      <c r="M149">
        <f t="shared" ca="1" si="10"/>
        <v>5000</v>
      </c>
      <c r="N149">
        <f t="shared" si="11"/>
        <v>3</v>
      </c>
      <c r="O149">
        <f t="shared" ca="1" si="12"/>
        <v>0</v>
      </c>
      <c r="P149">
        <f t="shared" si="13"/>
        <v>0</v>
      </c>
      <c r="Q149" t="e">
        <f t="shared" si="14"/>
        <v>#VALUE!</v>
      </c>
    </row>
    <row r="150" spans="1:17" ht="15" customHeight="1" x14ac:dyDescent="0.25">
      <c r="A150">
        <f>'Customers Raw data'!A150</f>
        <v>1149</v>
      </c>
      <c r="B150" t="str">
        <f>'Customers Raw data'!B150</f>
        <v>2025-06-15</v>
      </c>
      <c r="C150" t="str">
        <f>'Customers Raw data'!C150</f>
        <v>Pro</v>
      </c>
      <c r="D150">
        <f>'Customers Raw data'!D150</f>
        <v>200</v>
      </c>
      <c r="E150">
        <f>'Customers Raw data'!E150</f>
        <v>100</v>
      </c>
      <c r="F150">
        <f>'Customers Raw data'!F150</f>
        <v>0</v>
      </c>
      <c r="G150">
        <f>IF('Customers Raw data'!F150&lt;&gt;"",1,0)</f>
        <v>0</v>
      </c>
      <c r="H150" t="str">
        <f>IF('Customers Raw data'!F150&lt;&gt;"",YEAR(DATEVALUE('Customers Raw data'!F150)),"")</f>
        <v/>
      </c>
      <c r="I150" t="str">
        <f>IF('Customers Raw data'!F150&lt;&gt;"",MONTH(DATEVALUE('Customers Raw data'!F150)),"")</f>
        <v/>
      </c>
      <c r="J150">
        <f>YEAR(DATEVALUE('Customers Raw data'!B150))</f>
        <v>2025</v>
      </c>
      <c r="K150">
        <f>MONTH(DATEVALUE('Customers Raw data'!B150))</f>
        <v>6</v>
      </c>
      <c r="L150">
        <f ca="1">IF('Customers Raw data'!F150&lt;&gt;"",DATEDIF(DATEVALUE('Customers Raw data'!B150),DATEVALUE('Customers Raw data'!F150),"M"),DATEDIF(DATEVALUE('Customers Raw data'!B150),TODAY(),"M"))</f>
        <v>9</v>
      </c>
      <c r="M150">
        <f t="shared" ca="1" si="10"/>
        <v>1800</v>
      </c>
      <c r="N150">
        <f t="shared" si="11"/>
        <v>2</v>
      </c>
      <c r="O150">
        <f t="shared" ca="1" si="12"/>
        <v>0</v>
      </c>
      <c r="P150">
        <f t="shared" si="13"/>
        <v>0</v>
      </c>
      <c r="Q150" t="e">
        <f t="shared" si="14"/>
        <v>#VALUE!</v>
      </c>
    </row>
    <row r="151" spans="1:17" ht="15" customHeight="1" x14ac:dyDescent="0.25">
      <c r="A151">
        <f>'Customers Raw data'!A151</f>
        <v>1150</v>
      </c>
      <c r="B151" t="str">
        <f>'Customers Raw data'!B151</f>
        <v>2025-03-14</v>
      </c>
      <c r="C151" t="str">
        <f>'Customers Raw data'!C151</f>
        <v>Basic</v>
      </c>
      <c r="D151">
        <f>'Customers Raw data'!D151</f>
        <v>50</v>
      </c>
      <c r="E151">
        <f>'Customers Raw data'!E151</f>
        <v>30</v>
      </c>
      <c r="F151">
        <f>'Customers Raw data'!F151</f>
        <v>0</v>
      </c>
      <c r="G151">
        <f>IF('Customers Raw data'!F151&lt;&gt;"",1,0)</f>
        <v>0</v>
      </c>
      <c r="H151" t="str">
        <f>IF('Customers Raw data'!F151&lt;&gt;"",YEAR(DATEVALUE('Customers Raw data'!F151)),"")</f>
        <v/>
      </c>
      <c r="I151" t="str">
        <f>IF('Customers Raw data'!F151&lt;&gt;"",MONTH(DATEVALUE('Customers Raw data'!F151)),"")</f>
        <v/>
      </c>
      <c r="J151">
        <f>YEAR(DATEVALUE('Customers Raw data'!B151))</f>
        <v>2025</v>
      </c>
      <c r="K151">
        <f>MONTH(DATEVALUE('Customers Raw data'!B151))</f>
        <v>3</v>
      </c>
      <c r="L151">
        <f ca="1">IF('Customers Raw data'!F151&lt;&gt;"",DATEDIF(DATEVALUE('Customers Raw data'!B151),DATEVALUE('Customers Raw data'!F151),"M"),DATEDIF(DATEVALUE('Customers Raw data'!B151),TODAY(),"M"))</f>
        <v>12</v>
      </c>
      <c r="M151">
        <f t="shared" ca="1" si="10"/>
        <v>600</v>
      </c>
      <c r="N151">
        <f t="shared" si="11"/>
        <v>1</v>
      </c>
      <c r="O151">
        <f t="shared" ca="1" si="12"/>
        <v>0</v>
      </c>
      <c r="P151">
        <f t="shared" si="13"/>
        <v>0</v>
      </c>
      <c r="Q151" t="e">
        <f t="shared" si="14"/>
        <v>#VALUE!</v>
      </c>
    </row>
    <row r="152" spans="1:17" ht="15" customHeight="1" x14ac:dyDescent="0.25">
      <c r="A152">
        <f>'Customers Raw data'!A152</f>
        <v>1151</v>
      </c>
      <c r="B152" t="str">
        <f>'Customers Raw data'!B152</f>
        <v>2024-07-07</v>
      </c>
      <c r="C152" t="str">
        <f>'Customers Raw data'!C152</f>
        <v>Enterprise</v>
      </c>
      <c r="D152">
        <f>'Customers Raw data'!D152</f>
        <v>500</v>
      </c>
      <c r="E152">
        <f>'Customers Raw data'!E152</f>
        <v>200</v>
      </c>
      <c r="F152" t="str">
        <f>'Customers Raw data'!F152</f>
        <v>2025-04-24</v>
      </c>
      <c r="G152">
        <f>IF('Customers Raw data'!F152&lt;&gt;"",1,0)</f>
        <v>1</v>
      </c>
      <c r="H152">
        <f>IF('Customers Raw data'!F152&lt;&gt;"",YEAR(DATEVALUE('Customers Raw data'!F152)),"")</f>
        <v>2025</v>
      </c>
      <c r="I152">
        <f>IF('Customers Raw data'!F152&lt;&gt;"",MONTH(DATEVALUE('Customers Raw data'!F152)),"")</f>
        <v>4</v>
      </c>
      <c r="J152">
        <f>YEAR(DATEVALUE('Customers Raw data'!B152))</f>
        <v>2024</v>
      </c>
      <c r="K152">
        <f>MONTH(DATEVALUE('Customers Raw data'!B152))</f>
        <v>7</v>
      </c>
      <c r="L152">
        <f ca="1">IF('Customers Raw data'!F152&lt;&gt;"",DATEDIF(DATEVALUE('Customers Raw data'!B152),DATEVALUE('Customers Raw data'!F152),"M"),DATEDIF(DATEVALUE('Customers Raw data'!B152),TODAY(),"M"))</f>
        <v>9</v>
      </c>
      <c r="M152">
        <f t="shared" ca="1" si="10"/>
        <v>4500</v>
      </c>
      <c r="N152">
        <f t="shared" si="11"/>
        <v>3</v>
      </c>
      <c r="O152">
        <f t="shared" ca="1" si="12"/>
        <v>0</v>
      </c>
      <c r="P152">
        <f t="shared" si="13"/>
        <v>500</v>
      </c>
      <c r="Q152" t="str">
        <f t="shared" si="14"/>
        <v>2025-04</v>
      </c>
    </row>
    <row r="153" spans="1:17" ht="15" customHeight="1" x14ac:dyDescent="0.25">
      <c r="A153">
        <f>'Customers Raw data'!A153</f>
        <v>1152</v>
      </c>
      <c r="B153" t="str">
        <f>'Customers Raw data'!B153</f>
        <v>2024-11-24</v>
      </c>
      <c r="C153" t="str">
        <f>'Customers Raw data'!C153</f>
        <v>Enterprise</v>
      </c>
      <c r="D153">
        <f>'Customers Raw data'!D153</f>
        <v>500</v>
      </c>
      <c r="E153">
        <f>'Customers Raw data'!E153</f>
        <v>200</v>
      </c>
      <c r="F153">
        <f>'Customers Raw data'!F153</f>
        <v>0</v>
      </c>
      <c r="G153">
        <f>IF('Customers Raw data'!F153&lt;&gt;"",1,0)</f>
        <v>0</v>
      </c>
      <c r="H153" t="str">
        <f>IF('Customers Raw data'!F153&lt;&gt;"",YEAR(DATEVALUE('Customers Raw data'!F153)),"")</f>
        <v/>
      </c>
      <c r="I153" t="str">
        <f>IF('Customers Raw data'!F153&lt;&gt;"",MONTH(DATEVALUE('Customers Raw data'!F153)),"")</f>
        <v/>
      </c>
      <c r="J153">
        <f>YEAR(DATEVALUE('Customers Raw data'!B153))</f>
        <v>2024</v>
      </c>
      <c r="K153">
        <f>MONTH(DATEVALUE('Customers Raw data'!B153))</f>
        <v>11</v>
      </c>
      <c r="L153">
        <f ca="1">IF('Customers Raw data'!F153&lt;&gt;"",DATEDIF(DATEVALUE('Customers Raw data'!B153),DATEVALUE('Customers Raw data'!F153),"M"),DATEDIF(DATEVALUE('Customers Raw data'!B153),TODAY(),"M"))</f>
        <v>16</v>
      </c>
      <c r="M153">
        <f t="shared" ca="1" si="10"/>
        <v>8000</v>
      </c>
      <c r="N153">
        <f t="shared" si="11"/>
        <v>3</v>
      </c>
      <c r="O153">
        <f t="shared" ca="1" si="12"/>
        <v>0</v>
      </c>
      <c r="P153">
        <f t="shared" si="13"/>
        <v>0</v>
      </c>
      <c r="Q153" t="e">
        <f t="shared" si="14"/>
        <v>#VALUE!</v>
      </c>
    </row>
    <row r="154" spans="1:17" ht="15" customHeight="1" x14ac:dyDescent="0.25">
      <c r="A154">
        <f>'Customers Raw data'!A154</f>
        <v>1153</v>
      </c>
      <c r="B154" t="str">
        <f>'Customers Raw data'!B154</f>
        <v>2024-09-17</v>
      </c>
      <c r="C154" t="str">
        <f>'Customers Raw data'!C154</f>
        <v>Basic</v>
      </c>
      <c r="D154">
        <f>'Customers Raw data'!D154</f>
        <v>50</v>
      </c>
      <c r="E154">
        <f>'Customers Raw data'!E154</f>
        <v>30</v>
      </c>
      <c r="F154">
        <f>'Customers Raw data'!F154</f>
        <v>0</v>
      </c>
      <c r="G154">
        <f>IF('Customers Raw data'!F154&lt;&gt;"",1,0)</f>
        <v>0</v>
      </c>
      <c r="H154" t="str">
        <f>IF('Customers Raw data'!F154&lt;&gt;"",YEAR(DATEVALUE('Customers Raw data'!F154)),"")</f>
        <v/>
      </c>
      <c r="I154" t="str">
        <f>IF('Customers Raw data'!F154&lt;&gt;"",MONTH(DATEVALUE('Customers Raw data'!F154)),"")</f>
        <v/>
      </c>
      <c r="J154">
        <f>YEAR(DATEVALUE('Customers Raw data'!B154))</f>
        <v>2024</v>
      </c>
      <c r="K154">
        <f>MONTH(DATEVALUE('Customers Raw data'!B154))</f>
        <v>9</v>
      </c>
      <c r="L154">
        <f ca="1">IF('Customers Raw data'!F154&lt;&gt;"",DATEDIF(DATEVALUE('Customers Raw data'!B154),DATEVALUE('Customers Raw data'!F154),"M"),DATEDIF(DATEVALUE('Customers Raw data'!B154),TODAY(),"M"))</f>
        <v>18</v>
      </c>
      <c r="M154">
        <f t="shared" ca="1" si="10"/>
        <v>900</v>
      </c>
      <c r="N154">
        <f t="shared" si="11"/>
        <v>1</v>
      </c>
      <c r="O154">
        <f t="shared" ca="1" si="12"/>
        <v>0</v>
      </c>
      <c r="P154">
        <f t="shared" si="13"/>
        <v>0</v>
      </c>
      <c r="Q154" t="e">
        <f t="shared" si="14"/>
        <v>#VALUE!</v>
      </c>
    </row>
    <row r="155" spans="1:17" ht="15" customHeight="1" x14ac:dyDescent="0.25">
      <c r="A155">
        <f>'Customers Raw data'!A155</f>
        <v>1154</v>
      </c>
      <c r="B155" t="str">
        <f>'Customers Raw data'!B155</f>
        <v>2025-06-26</v>
      </c>
      <c r="C155" t="str">
        <f>'Customers Raw data'!C155</f>
        <v>Basic</v>
      </c>
      <c r="D155">
        <f>'Customers Raw data'!D155</f>
        <v>50</v>
      </c>
      <c r="E155">
        <f>'Customers Raw data'!E155</f>
        <v>30</v>
      </c>
      <c r="F155" t="str">
        <f>'Customers Raw data'!F155</f>
        <v>2025-06-30</v>
      </c>
      <c r="G155">
        <f>IF('Customers Raw data'!F155&lt;&gt;"",1,0)</f>
        <v>1</v>
      </c>
      <c r="H155">
        <f>IF('Customers Raw data'!F155&lt;&gt;"",YEAR(DATEVALUE('Customers Raw data'!F155)),"")</f>
        <v>2025</v>
      </c>
      <c r="I155">
        <f>IF('Customers Raw data'!F155&lt;&gt;"",MONTH(DATEVALUE('Customers Raw data'!F155)),"")</f>
        <v>6</v>
      </c>
      <c r="J155">
        <f>YEAR(DATEVALUE('Customers Raw data'!B155))</f>
        <v>2025</v>
      </c>
      <c r="K155">
        <f>MONTH(DATEVALUE('Customers Raw data'!B155))</f>
        <v>6</v>
      </c>
      <c r="L155">
        <f ca="1">IF('Customers Raw data'!F155&lt;&gt;"",DATEDIF(DATEVALUE('Customers Raw data'!B155),DATEVALUE('Customers Raw data'!F155),"M"),DATEDIF(DATEVALUE('Customers Raw data'!B155),TODAY(),"M"))</f>
        <v>0</v>
      </c>
      <c r="M155">
        <f t="shared" ca="1" si="10"/>
        <v>0</v>
      </c>
      <c r="N155">
        <f t="shared" si="11"/>
        <v>1</v>
      </c>
      <c r="O155">
        <f t="shared" ca="1" si="12"/>
        <v>1</v>
      </c>
      <c r="P155">
        <f t="shared" si="13"/>
        <v>50</v>
      </c>
      <c r="Q155" t="str">
        <f t="shared" si="14"/>
        <v>2025-06</v>
      </c>
    </row>
    <row r="156" spans="1:17" ht="15" customHeight="1" x14ac:dyDescent="0.25">
      <c r="A156">
        <f>'Customers Raw data'!A156</f>
        <v>1155</v>
      </c>
      <c r="B156" t="str">
        <f>'Customers Raw data'!B156</f>
        <v>2024-04-12</v>
      </c>
      <c r="C156" t="str">
        <f>'Customers Raw data'!C156</f>
        <v>Basic</v>
      </c>
      <c r="D156">
        <f>'Customers Raw data'!D156</f>
        <v>50</v>
      </c>
      <c r="E156">
        <f>'Customers Raw data'!E156</f>
        <v>30</v>
      </c>
      <c r="F156">
        <f>'Customers Raw data'!F156</f>
        <v>0</v>
      </c>
      <c r="G156">
        <f>IF('Customers Raw data'!F156&lt;&gt;"",1,0)</f>
        <v>0</v>
      </c>
      <c r="H156" t="str">
        <f>IF('Customers Raw data'!F156&lt;&gt;"",YEAR(DATEVALUE('Customers Raw data'!F156)),"")</f>
        <v/>
      </c>
      <c r="I156" t="str">
        <f>IF('Customers Raw data'!F156&lt;&gt;"",MONTH(DATEVALUE('Customers Raw data'!F156)),"")</f>
        <v/>
      </c>
      <c r="J156">
        <f>YEAR(DATEVALUE('Customers Raw data'!B156))</f>
        <v>2024</v>
      </c>
      <c r="K156">
        <f>MONTH(DATEVALUE('Customers Raw data'!B156))</f>
        <v>4</v>
      </c>
      <c r="L156">
        <f ca="1">IF('Customers Raw data'!F156&lt;&gt;"",DATEDIF(DATEVALUE('Customers Raw data'!B156),DATEVALUE('Customers Raw data'!F156),"M"),DATEDIF(DATEVALUE('Customers Raw data'!B156),TODAY(),"M"))</f>
        <v>23</v>
      </c>
      <c r="M156">
        <f t="shared" ca="1" si="10"/>
        <v>1150</v>
      </c>
      <c r="N156">
        <f t="shared" si="11"/>
        <v>1</v>
      </c>
      <c r="O156">
        <f t="shared" ca="1" si="12"/>
        <v>0</v>
      </c>
      <c r="P156">
        <f t="shared" si="13"/>
        <v>0</v>
      </c>
      <c r="Q156" t="e">
        <f t="shared" si="14"/>
        <v>#VALUE!</v>
      </c>
    </row>
    <row r="157" spans="1:17" ht="15" customHeight="1" x14ac:dyDescent="0.25">
      <c r="A157">
        <f>'Customers Raw data'!A157</f>
        <v>1156</v>
      </c>
      <c r="B157" t="str">
        <f>'Customers Raw data'!B157</f>
        <v>2024-12-18</v>
      </c>
      <c r="C157" t="str">
        <f>'Customers Raw data'!C157</f>
        <v>Enterprise</v>
      </c>
      <c r="D157">
        <f>'Customers Raw data'!D157</f>
        <v>500</v>
      </c>
      <c r="E157">
        <f>'Customers Raw data'!E157</f>
        <v>200</v>
      </c>
      <c r="F157">
        <f>'Customers Raw data'!F157</f>
        <v>0</v>
      </c>
      <c r="G157">
        <f>IF('Customers Raw data'!F157&lt;&gt;"",1,0)</f>
        <v>0</v>
      </c>
      <c r="H157" t="str">
        <f>IF('Customers Raw data'!F157&lt;&gt;"",YEAR(DATEVALUE('Customers Raw data'!F157)),"")</f>
        <v/>
      </c>
      <c r="I157" t="str">
        <f>IF('Customers Raw data'!F157&lt;&gt;"",MONTH(DATEVALUE('Customers Raw data'!F157)),"")</f>
        <v/>
      </c>
      <c r="J157">
        <f>YEAR(DATEVALUE('Customers Raw data'!B157))</f>
        <v>2024</v>
      </c>
      <c r="K157">
        <f>MONTH(DATEVALUE('Customers Raw data'!B157))</f>
        <v>12</v>
      </c>
      <c r="L157">
        <f ca="1">IF('Customers Raw data'!F157&lt;&gt;"",DATEDIF(DATEVALUE('Customers Raw data'!B157),DATEVALUE('Customers Raw data'!F157),"M"),DATEDIF(DATEVALUE('Customers Raw data'!B157),TODAY(),"M"))</f>
        <v>15</v>
      </c>
      <c r="M157">
        <f t="shared" ca="1" si="10"/>
        <v>7500</v>
      </c>
      <c r="N157">
        <f t="shared" si="11"/>
        <v>3</v>
      </c>
      <c r="O157">
        <f t="shared" ca="1" si="12"/>
        <v>0</v>
      </c>
      <c r="P157">
        <f t="shared" si="13"/>
        <v>0</v>
      </c>
      <c r="Q157" t="e">
        <f t="shared" si="14"/>
        <v>#VALUE!</v>
      </c>
    </row>
    <row r="158" spans="1:17" ht="15" customHeight="1" x14ac:dyDescent="0.25">
      <c r="A158">
        <f>'Customers Raw data'!A158</f>
        <v>1157</v>
      </c>
      <c r="B158" t="str">
        <f>'Customers Raw data'!B158</f>
        <v>2025-04-27</v>
      </c>
      <c r="C158" t="str">
        <f>'Customers Raw data'!C158</f>
        <v>Enterprise</v>
      </c>
      <c r="D158">
        <f>'Customers Raw data'!D158</f>
        <v>500</v>
      </c>
      <c r="E158">
        <f>'Customers Raw data'!E158</f>
        <v>200</v>
      </c>
      <c r="F158">
        <f>'Customers Raw data'!F158</f>
        <v>0</v>
      </c>
      <c r="G158">
        <f>IF('Customers Raw data'!F158&lt;&gt;"",1,0)</f>
        <v>0</v>
      </c>
      <c r="H158" t="str">
        <f>IF('Customers Raw data'!F158&lt;&gt;"",YEAR(DATEVALUE('Customers Raw data'!F158)),"")</f>
        <v/>
      </c>
      <c r="I158" t="str">
        <f>IF('Customers Raw data'!F158&lt;&gt;"",MONTH(DATEVALUE('Customers Raw data'!F158)),"")</f>
        <v/>
      </c>
      <c r="J158">
        <f>YEAR(DATEVALUE('Customers Raw data'!B158))</f>
        <v>2025</v>
      </c>
      <c r="K158">
        <f>MONTH(DATEVALUE('Customers Raw data'!B158))</f>
        <v>4</v>
      </c>
      <c r="L158">
        <f ca="1">IF('Customers Raw data'!F158&lt;&gt;"",DATEDIF(DATEVALUE('Customers Raw data'!B158),DATEVALUE('Customers Raw data'!F158),"M"),DATEDIF(DATEVALUE('Customers Raw data'!B158),TODAY(),"M"))</f>
        <v>11</v>
      </c>
      <c r="M158">
        <f t="shared" ca="1" si="10"/>
        <v>5500</v>
      </c>
      <c r="N158">
        <f t="shared" si="11"/>
        <v>3</v>
      </c>
      <c r="O158">
        <f t="shared" ca="1" si="12"/>
        <v>0</v>
      </c>
      <c r="P158">
        <f t="shared" si="13"/>
        <v>0</v>
      </c>
      <c r="Q158" t="e">
        <f t="shared" si="14"/>
        <v>#VALUE!</v>
      </c>
    </row>
    <row r="159" spans="1:17" ht="15" customHeight="1" x14ac:dyDescent="0.25">
      <c r="A159">
        <f>'Customers Raw data'!A159</f>
        <v>1158</v>
      </c>
      <c r="B159" t="str">
        <f>'Customers Raw data'!B159</f>
        <v>2024-06-19</v>
      </c>
      <c r="C159" t="str">
        <f>'Customers Raw data'!C159</f>
        <v>Enterprise</v>
      </c>
      <c r="D159">
        <f>'Customers Raw data'!D159</f>
        <v>500</v>
      </c>
      <c r="E159">
        <f>'Customers Raw data'!E159</f>
        <v>200</v>
      </c>
      <c r="F159">
        <f>'Customers Raw data'!F159</f>
        <v>0</v>
      </c>
      <c r="G159">
        <f>IF('Customers Raw data'!F159&lt;&gt;"",1,0)</f>
        <v>0</v>
      </c>
      <c r="H159" t="str">
        <f>IF('Customers Raw data'!F159&lt;&gt;"",YEAR(DATEVALUE('Customers Raw data'!F159)),"")</f>
        <v/>
      </c>
      <c r="I159" t="str">
        <f>IF('Customers Raw data'!F159&lt;&gt;"",MONTH(DATEVALUE('Customers Raw data'!F159)),"")</f>
        <v/>
      </c>
      <c r="J159">
        <f>YEAR(DATEVALUE('Customers Raw data'!B159))</f>
        <v>2024</v>
      </c>
      <c r="K159">
        <f>MONTH(DATEVALUE('Customers Raw data'!B159))</f>
        <v>6</v>
      </c>
      <c r="L159">
        <f ca="1">IF('Customers Raw data'!F159&lt;&gt;"",DATEDIF(DATEVALUE('Customers Raw data'!B159),DATEVALUE('Customers Raw data'!F159),"M"),DATEDIF(DATEVALUE('Customers Raw data'!B159),TODAY(),"M"))</f>
        <v>21</v>
      </c>
      <c r="M159">
        <f t="shared" ca="1" si="10"/>
        <v>10500</v>
      </c>
      <c r="N159">
        <f t="shared" si="11"/>
        <v>3</v>
      </c>
      <c r="O159">
        <f t="shared" ca="1" si="12"/>
        <v>0</v>
      </c>
      <c r="P159">
        <f t="shared" si="13"/>
        <v>0</v>
      </c>
      <c r="Q159" t="e">
        <f t="shared" si="14"/>
        <v>#VALUE!</v>
      </c>
    </row>
    <row r="160" spans="1:17" ht="15" customHeight="1" x14ac:dyDescent="0.25">
      <c r="A160">
        <f>'Customers Raw data'!A160</f>
        <v>1159</v>
      </c>
      <c r="B160" t="str">
        <f>'Customers Raw data'!B160</f>
        <v>2024-05-30</v>
      </c>
      <c r="C160" t="str">
        <f>'Customers Raw data'!C160</f>
        <v>Enterprise</v>
      </c>
      <c r="D160">
        <f>'Customers Raw data'!D160</f>
        <v>500</v>
      </c>
      <c r="E160">
        <f>'Customers Raw data'!E160</f>
        <v>200</v>
      </c>
      <c r="F160">
        <f>'Customers Raw data'!F160</f>
        <v>0</v>
      </c>
      <c r="G160">
        <f>IF('Customers Raw data'!F160&lt;&gt;"",1,0)</f>
        <v>0</v>
      </c>
      <c r="H160" t="str">
        <f>IF('Customers Raw data'!F160&lt;&gt;"",YEAR(DATEVALUE('Customers Raw data'!F160)),"")</f>
        <v/>
      </c>
      <c r="I160" t="str">
        <f>IF('Customers Raw data'!F160&lt;&gt;"",MONTH(DATEVALUE('Customers Raw data'!F160)),"")</f>
        <v/>
      </c>
      <c r="J160">
        <f>YEAR(DATEVALUE('Customers Raw data'!B160))</f>
        <v>2024</v>
      </c>
      <c r="K160">
        <f>MONTH(DATEVALUE('Customers Raw data'!B160))</f>
        <v>5</v>
      </c>
      <c r="L160">
        <f ca="1">IF('Customers Raw data'!F160&lt;&gt;"",DATEDIF(DATEVALUE('Customers Raw data'!B160),DATEVALUE('Customers Raw data'!F160),"M"),DATEDIF(DATEVALUE('Customers Raw data'!B160),TODAY(),"M"))</f>
        <v>22</v>
      </c>
      <c r="M160">
        <f t="shared" ca="1" si="10"/>
        <v>11000</v>
      </c>
      <c r="N160">
        <f t="shared" si="11"/>
        <v>3</v>
      </c>
      <c r="O160">
        <f t="shared" ca="1" si="12"/>
        <v>0</v>
      </c>
      <c r="P160">
        <f t="shared" si="13"/>
        <v>0</v>
      </c>
      <c r="Q160" t="e">
        <f t="shared" si="14"/>
        <v>#VALUE!</v>
      </c>
    </row>
    <row r="161" spans="1:17" ht="15" customHeight="1" x14ac:dyDescent="0.25">
      <c r="A161">
        <f>'Customers Raw data'!A161</f>
        <v>1160</v>
      </c>
      <c r="B161" t="str">
        <f>'Customers Raw data'!B161</f>
        <v>2025-04-27</v>
      </c>
      <c r="C161" t="str">
        <f>'Customers Raw data'!C161</f>
        <v>Basic</v>
      </c>
      <c r="D161">
        <f>'Customers Raw data'!D161</f>
        <v>50</v>
      </c>
      <c r="E161">
        <f>'Customers Raw data'!E161</f>
        <v>30</v>
      </c>
      <c r="F161">
        <f>'Customers Raw data'!F161</f>
        <v>0</v>
      </c>
      <c r="G161">
        <f>IF('Customers Raw data'!F161&lt;&gt;"",1,0)</f>
        <v>0</v>
      </c>
      <c r="H161" t="str">
        <f>IF('Customers Raw data'!F161&lt;&gt;"",YEAR(DATEVALUE('Customers Raw data'!F161)),"")</f>
        <v/>
      </c>
      <c r="I161" t="str">
        <f>IF('Customers Raw data'!F161&lt;&gt;"",MONTH(DATEVALUE('Customers Raw data'!F161)),"")</f>
        <v/>
      </c>
      <c r="J161">
        <f>YEAR(DATEVALUE('Customers Raw data'!B161))</f>
        <v>2025</v>
      </c>
      <c r="K161">
        <f>MONTH(DATEVALUE('Customers Raw data'!B161))</f>
        <v>4</v>
      </c>
      <c r="L161">
        <f ca="1">IF('Customers Raw data'!F161&lt;&gt;"",DATEDIF(DATEVALUE('Customers Raw data'!B161),DATEVALUE('Customers Raw data'!F161),"M"),DATEDIF(DATEVALUE('Customers Raw data'!B161),TODAY(),"M"))</f>
        <v>11</v>
      </c>
      <c r="M161">
        <f t="shared" ca="1" si="10"/>
        <v>550</v>
      </c>
      <c r="N161">
        <f t="shared" si="11"/>
        <v>1</v>
      </c>
      <c r="O161">
        <f t="shared" ca="1" si="12"/>
        <v>0</v>
      </c>
      <c r="P161">
        <f t="shared" si="13"/>
        <v>0</v>
      </c>
      <c r="Q161" t="e">
        <f t="shared" si="14"/>
        <v>#VALUE!</v>
      </c>
    </row>
    <row r="162" spans="1:17" ht="15" customHeight="1" x14ac:dyDescent="0.25">
      <c r="A162">
        <f>'Customers Raw data'!A162</f>
        <v>1161</v>
      </c>
      <c r="B162" t="str">
        <f>'Customers Raw data'!B162</f>
        <v>2024-11-28</v>
      </c>
      <c r="C162" t="str">
        <f>'Customers Raw data'!C162</f>
        <v>Pro</v>
      </c>
      <c r="D162">
        <f>'Customers Raw data'!D162</f>
        <v>200</v>
      </c>
      <c r="E162">
        <f>'Customers Raw data'!E162</f>
        <v>100</v>
      </c>
      <c r="F162">
        <f>'Customers Raw data'!F162</f>
        <v>0</v>
      </c>
      <c r="G162">
        <f>IF('Customers Raw data'!F162&lt;&gt;"",1,0)</f>
        <v>0</v>
      </c>
      <c r="H162" t="str">
        <f>IF('Customers Raw data'!F162&lt;&gt;"",YEAR(DATEVALUE('Customers Raw data'!F162)),"")</f>
        <v/>
      </c>
      <c r="I162" t="str">
        <f>IF('Customers Raw data'!F162&lt;&gt;"",MONTH(DATEVALUE('Customers Raw data'!F162)),"")</f>
        <v/>
      </c>
      <c r="J162">
        <f>YEAR(DATEVALUE('Customers Raw data'!B162))</f>
        <v>2024</v>
      </c>
      <c r="K162">
        <f>MONTH(DATEVALUE('Customers Raw data'!B162))</f>
        <v>11</v>
      </c>
      <c r="L162">
        <f ca="1">IF('Customers Raw data'!F162&lt;&gt;"",DATEDIF(DATEVALUE('Customers Raw data'!B162),DATEVALUE('Customers Raw data'!F162),"M"),DATEDIF(DATEVALUE('Customers Raw data'!B162),TODAY(),"M"))</f>
        <v>16</v>
      </c>
      <c r="M162">
        <f t="shared" ca="1" si="10"/>
        <v>3200</v>
      </c>
      <c r="N162">
        <f t="shared" si="11"/>
        <v>2</v>
      </c>
      <c r="O162">
        <f t="shared" ca="1" si="12"/>
        <v>0</v>
      </c>
      <c r="P162">
        <f t="shared" si="13"/>
        <v>0</v>
      </c>
      <c r="Q162" t="e">
        <f t="shared" si="14"/>
        <v>#VALUE!</v>
      </c>
    </row>
    <row r="163" spans="1:17" ht="15" customHeight="1" x14ac:dyDescent="0.25">
      <c r="A163">
        <f>'Customers Raw data'!A163</f>
        <v>1162</v>
      </c>
      <c r="B163" t="str">
        <f>'Customers Raw data'!B163</f>
        <v>2025-05-16</v>
      </c>
      <c r="C163" t="str">
        <f>'Customers Raw data'!C163</f>
        <v>Basic</v>
      </c>
      <c r="D163">
        <f>'Customers Raw data'!D163</f>
        <v>50</v>
      </c>
      <c r="E163">
        <f>'Customers Raw data'!E163</f>
        <v>30</v>
      </c>
      <c r="F163">
        <f>'Customers Raw data'!F163</f>
        <v>0</v>
      </c>
      <c r="G163">
        <f>IF('Customers Raw data'!F163&lt;&gt;"",1,0)</f>
        <v>0</v>
      </c>
      <c r="H163" t="str">
        <f>IF('Customers Raw data'!F163&lt;&gt;"",YEAR(DATEVALUE('Customers Raw data'!F163)),"")</f>
        <v/>
      </c>
      <c r="I163" t="str">
        <f>IF('Customers Raw data'!F163&lt;&gt;"",MONTH(DATEVALUE('Customers Raw data'!F163)),"")</f>
        <v/>
      </c>
      <c r="J163">
        <f>YEAR(DATEVALUE('Customers Raw data'!B163))</f>
        <v>2025</v>
      </c>
      <c r="K163">
        <f>MONTH(DATEVALUE('Customers Raw data'!B163))</f>
        <v>5</v>
      </c>
      <c r="L163">
        <f ca="1">IF('Customers Raw data'!F163&lt;&gt;"",DATEDIF(DATEVALUE('Customers Raw data'!B163),DATEVALUE('Customers Raw data'!F163),"M"),DATEDIF(DATEVALUE('Customers Raw data'!B163),TODAY(),"M"))</f>
        <v>10</v>
      </c>
      <c r="M163">
        <f t="shared" ca="1" si="10"/>
        <v>500</v>
      </c>
      <c r="N163">
        <f t="shared" si="11"/>
        <v>1</v>
      </c>
      <c r="O163">
        <f t="shared" ca="1" si="12"/>
        <v>0</v>
      </c>
      <c r="P163">
        <f t="shared" si="13"/>
        <v>0</v>
      </c>
      <c r="Q163" t="e">
        <f t="shared" si="14"/>
        <v>#VALUE!</v>
      </c>
    </row>
    <row r="164" spans="1:17" ht="15" customHeight="1" x14ac:dyDescent="0.25">
      <c r="A164">
        <f>'Customers Raw data'!A164</f>
        <v>1163</v>
      </c>
      <c r="B164" t="str">
        <f>'Customers Raw data'!B164</f>
        <v>2024-02-06</v>
      </c>
      <c r="C164" t="str">
        <f>'Customers Raw data'!C164</f>
        <v>Enterprise</v>
      </c>
      <c r="D164">
        <f>'Customers Raw data'!D164</f>
        <v>500</v>
      </c>
      <c r="E164">
        <f>'Customers Raw data'!E164</f>
        <v>200</v>
      </c>
      <c r="F164">
        <f>'Customers Raw data'!F164</f>
        <v>0</v>
      </c>
      <c r="G164">
        <f>IF('Customers Raw data'!F164&lt;&gt;"",1,0)</f>
        <v>0</v>
      </c>
      <c r="H164" t="str">
        <f>IF('Customers Raw data'!F164&lt;&gt;"",YEAR(DATEVALUE('Customers Raw data'!F164)),"")</f>
        <v/>
      </c>
      <c r="I164" t="str">
        <f>IF('Customers Raw data'!F164&lt;&gt;"",MONTH(DATEVALUE('Customers Raw data'!F164)),"")</f>
        <v/>
      </c>
      <c r="J164">
        <f>YEAR(DATEVALUE('Customers Raw data'!B164))</f>
        <v>2024</v>
      </c>
      <c r="K164">
        <f>MONTH(DATEVALUE('Customers Raw data'!B164))</f>
        <v>2</v>
      </c>
      <c r="L164">
        <f ca="1">IF('Customers Raw data'!F164&lt;&gt;"",DATEDIF(DATEVALUE('Customers Raw data'!B164),DATEVALUE('Customers Raw data'!F164),"M"),DATEDIF(DATEVALUE('Customers Raw data'!B164),TODAY(),"M"))</f>
        <v>26</v>
      </c>
      <c r="M164">
        <f t="shared" ca="1" si="10"/>
        <v>13000</v>
      </c>
      <c r="N164">
        <f t="shared" si="11"/>
        <v>3</v>
      </c>
      <c r="O164">
        <f t="shared" ca="1" si="12"/>
        <v>0</v>
      </c>
      <c r="P164">
        <f t="shared" si="13"/>
        <v>0</v>
      </c>
      <c r="Q164" t="e">
        <f t="shared" si="14"/>
        <v>#VALUE!</v>
      </c>
    </row>
    <row r="165" spans="1:17" ht="15" customHeight="1" x14ac:dyDescent="0.25">
      <c r="A165">
        <f>'Customers Raw data'!A165</f>
        <v>1164</v>
      </c>
      <c r="B165" t="str">
        <f>'Customers Raw data'!B165</f>
        <v>2024-09-23</v>
      </c>
      <c r="C165" t="str">
        <f>'Customers Raw data'!C165</f>
        <v>Pro</v>
      </c>
      <c r="D165">
        <f>'Customers Raw data'!D165</f>
        <v>200</v>
      </c>
      <c r="E165">
        <f>'Customers Raw data'!E165</f>
        <v>100</v>
      </c>
      <c r="F165">
        <f>'Customers Raw data'!F165</f>
        <v>0</v>
      </c>
      <c r="G165">
        <f>IF('Customers Raw data'!F165&lt;&gt;"",1,0)</f>
        <v>0</v>
      </c>
      <c r="H165" t="str">
        <f>IF('Customers Raw data'!F165&lt;&gt;"",YEAR(DATEVALUE('Customers Raw data'!F165)),"")</f>
        <v/>
      </c>
      <c r="I165" t="str">
        <f>IF('Customers Raw data'!F165&lt;&gt;"",MONTH(DATEVALUE('Customers Raw data'!F165)),"")</f>
        <v/>
      </c>
      <c r="J165">
        <f>YEAR(DATEVALUE('Customers Raw data'!B165))</f>
        <v>2024</v>
      </c>
      <c r="K165">
        <f>MONTH(DATEVALUE('Customers Raw data'!B165))</f>
        <v>9</v>
      </c>
      <c r="L165">
        <f ca="1">IF('Customers Raw data'!F165&lt;&gt;"",DATEDIF(DATEVALUE('Customers Raw data'!B165),DATEVALUE('Customers Raw data'!F165),"M"),DATEDIF(DATEVALUE('Customers Raw data'!B165),TODAY(),"M"))</f>
        <v>18</v>
      </c>
      <c r="M165">
        <f t="shared" ca="1" si="10"/>
        <v>3600</v>
      </c>
      <c r="N165">
        <f t="shared" si="11"/>
        <v>2</v>
      </c>
      <c r="O165">
        <f t="shared" ca="1" si="12"/>
        <v>0</v>
      </c>
      <c r="P165">
        <f t="shared" si="13"/>
        <v>0</v>
      </c>
      <c r="Q165" t="e">
        <f t="shared" si="14"/>
        <v>#VALUE!</v>
      </c>
    </row>
    <row r="166" spans="1:17" ht="15" customHeight="1" x14ac:dyDescent="0.25">
      <c r="A166">
        <f>'Customers Raw data'!A166</f>
        <v>1165</v>
      </c>
      <c r="B166" t="str">
        <f>'Customers Raw data'!B166</f>
        <v>2024-11-08</v>
      </c>
      <c r="C166" t="str">
        <f>'Customers Raw data'!C166</f>
        <v>Basic</v>
      </c>
      <c r="D166">
        <f>'Customers Raw data'!D166</f>
        <v>50</v>
      </c>
      <c r="E166">
        <f>'Customers Raw data'!E166</f>
        <v>30</v>
      </c>
      <c r="F166">
        <f>'Customers Raw data'!F166</f>
        <v>0</v>
      </c>
      <c r="G166">
        <f>IF('Customers Raw data'!F166&lt;&gt;"",1,0)</f>
        <v>0</v>
      </c>
      <c r="H166" t="str">
        <f>IF('Customers Raw data'!F166&lt;&gt;"",YEAR(DATEVALUE('Customers Raw data'!F166)),"")</f>
        <v/>
      </c>
      <c r="I166" t="str">
        <f>IF('Customers Raw data'!F166&lt;&gt;"",MONTH(DATEVALUE('Customers Raw data'!F166)),"")</f>
        <v/>
      </c>
      <c r="J166">
        <f>YEAR(DATEVALUE('Customers Raw data'!B166))</f>
        <v>2024</v>
      </c>
      <c r="K166">
        <f>MONTH(DATEVALUE('Customers Raw data'!B166))</f>
        <v>11</v>
      </c>
      <c r="L166">
        <f ca="1">IF('Customers Raw data'!F166&lt;&gt;"",DATEDIF(DATEVALUE('Customers Raw data'!B166),DATEVALUE('Customers Raw data'!F166),"M"),DATEDIF(DATEVALUE('Customers Raw data'!B166),TODAY(),"M"))</f>
        <v>16</v>
      </c>
      <c r="M166">
        <f t="shared" ca="1" si="10"/>
        <v>800</v>
      </c>
      <c r="N166">
        <f t="shared" si="11"/>
        <v>1</v>
      </c>
      <c r="O166">
        <f t="shared" ca="1" si="12"/>
        <v>0</v>
      </c>
      <c r="P166">
        <f t="shared" si="13"/>
        <v>0</v>
      </c>
      <c r="Q166" t="e">
        <f t="shared" si="14"/>
        <v>#VALUE!</v>
      </c>
    </row>
    <row r="167" spans="1:17" ht="15" customHeight="1" x14ac:dyDescent="0.25">
      <c r="A167">
        <f>'Customers Raw data'!A167</f>
        <v>1166</v>
      </c>
      <c r="B167" t="str">
        <f>'Customers Raw data'!B167</f>
        <v>2025-04-14</v>
      </c>
      <c r="C167" t="str">
        <f>'Customers Raw data'!C167</f>
        <v>Basic</v>
      </c>
      <c r="D167">
        <f>'Customers Raw data'!D167</f>
        <v>50</v>
      </c>
      <c r="E167">
        <f>'Customers Raw data'!E167</f>
        <v>30</v>
      </c>
      <c r="F167">
        <f>'Customers Raw data'!F167</f>
        <v>0</v>
      </c>
      <c r="G167">
        <f>IF('Customers Raw data'!F167&lt;&gt;"",1,0)</f>
        <v>0</v>
      </c>
      <c r="H167" t="str">
        <f>IF('Customers Raw data'!F167&lt;&gt;"",YEAR(DATEVALUE('Customers Raw data'!F167)),"")</f>
        <v/>
      </c>
      <c r="I167" t="str">
        <f>IF('Customers Raw data'!F167&lt;&gt;"",MONTH(DATEVALUE('Customers Raw data'!F167)),"")</f>
        <v/>
      </c>
      <c r="J167">
        <f>YEAR(DATEVALUE('Customers Raw data'!B167))</f>
        <v>2025</v>
      </c>
      <c r="K167">
        <f>MONTH(DATEVALUE('Customers Raw data'!B167))</f>
        <v>4</v>
      </c>
      <c r="L167">
        <f ca="1">IF('Customers Raw data'!F167&lt;&gt;"",DATEDIF(DATEVALUE('Customers Raw data'!B167),DATEVALUE('Customers Raw data'!F167),"M"),DATEDIF(DATEVALUE('Customers Raw data'!B167),TODAY(),"M"))</f>
        <v>11</v>
      </c>
      <c r="M167">
        <f t="shared" ca="1" si="10"/>
        <v>550</v>
      </c>
      <c r="N167">
        <f t="shared" si="11"/>
        <v>1</v>
      </c>
      <c r="O167">
        <f t="shared" ca="1" si="12"/>
        <v>0</v>
      </c>
      <c r="P167">
        <f t="shared" si="13"/>
        <v>0</v>
      </c>
      <c r="Q167" t="e">
        <f t="shared" si="14"/>
        <v>#VALUE!</v>
      </c>
    </row>
    <row r="168" spans="1:17" ht="15" customHeight="1" x14ac:dyDescent="0.25">
      <c r="A168">
        <f>'Customers Raw data'!A168</f>
        <v>1167</v>
      </c>
      <c r="B168" t="str">
        <f>'Customers Raw data'!B168</f>
        <v>2024-01-11</v>
      </c>
      <c r="C168" t="str">
        <f>'Customers Raw data'!C168</f>
        <v>Enterprise</v>
      </c>
      <c r="D168">
        <f>'Customers Raw data'!D168</f>
        <v>500</v>
      </c>
      <c r="E168">
        <f>'Customers Raw data'!E168</f>
        <v>200</v>
      </c>
      <c r="F168" t="str">
        <f>'Customers Raw data'!F168</f>
        <v>2025-01-21</v>
      </c>
      <c r="G168">
        <f>IF('Customers Raw data'!F168&lt;&gt;"",1,0)</f>
        <v>1</v>
      </c>
      <c r="H168">
        <f>IF('Customers Raw data'!F168&lt;&gt;"",YEAR(DATEVALUE('Customers Raw data'!F168)),"")</f>
        <v>2025</v>
      </c>
      <c r="I168">
        <f>IF('Customers Raw data'!F168&lt;&gt;"",MONTH(DATEVALUE('Customers Raw data'!F168)),"")</f>
        <v>1</v>
      </c>
      <c r="J168">
        <f>YEAR(DATEVALUE('Customers Raw data'!B168))</f>
        <v>2024</v>
      </c>
      <c r="K168">
        <f>MONTH(DATEVALUE('Customers Raw data'!B168))</f>
        <v>1</v>
      </c>
      <c r="L168">
        <f ca="1">IF('Customers Raw data'!F168&lt;&gt;"",DATEDIF(DATEVALUE('Customers Raw data'!B168),DATEVALUE('Customers Raw data'!F168),"M"),DATEDIF(DATEVALUE('Customers Raw data'!B168),TODAY(),"M"))</f>
        <v>12</v>
      </c>
      <c r="M168">
        <f t="shared" ca="1" si="10"/>
        <v>6000</v>
      </c>
      <c r="N168">
        <f t="shared" si="11"/>
        <v>3</v>
      </c>
      <c r="O168">
        <f t="shared" ca="1" si="12"/>
        <v>0</v>
      </c>
      <c r="P168">
        <f t="shared" si="13"/>
        <v>500</v>
      </c>
      <c r="Q168" t="str">
        <f t="shared" si="14"/>
        <v>2025-01</v>
      </c>
    </row>
    <row r="169" spans="1:17" ht="15" customHeight="1" x14ac:dyDescent="0.25">
      <c r="A169">
        <f>'Customers Raw data'!A169</f>
        <v>1168</v>
      </c>
      <c r="B169" t="str">
        <f>'Customers Raw data'!B169</f>
        <v>2025-03-22</v>
      </c>
      <c r="C169" t="str">
        <f>'Customers Raw data'!C169</f>
        <v>Pro</v>
      </c>
      <c r="D169">
        <f>'Customers Raw data'!D169</f>
        <v>200</v>
      </c>
      <c r="E169">
        <f>'Customers Raw data'!E169</f>
        <v>100</v>
      </c>
      <c r="F169">
        <f>'Customers Raw data'!F169</f>
        <v>0</v>
      </c>
      <c r="G169">
        <f>IF('Customers Raw data'!F169&lt;&gt;"",1,0)</f>
        <v>0</v>
      </c>
      <c r="H169" t="str">
        <f>IF('Customers Raw data'!F169&lt;&gt;"",YEAR(DATEVALUE('Customers Raw data'!F169)),"")</f>
        <v/>
      </c>
      <c r="I169" t="str">
        <f>IF('Customers Raw data'!F169&lt;&gt;"",MONTH(DATEVALUE('Customers Raw data'!F169)),"")</f>
        <v/>
      </c>
      <c r="J169">
        <f>YEAR(DATEVALUE('Customers Raw data'!B169))</f>
        <v>2025</v>
      </c>
      <c r="K169">
        <f>MONTH(DATEVALUE('Customers Raw data'!B169))</f>
        <v>3</v>
      </c>
      <c r="L169">
        <f ca="1">IF('Customers Raw data'!F169&lt;&gt;"",DATEDIF(DATEVALUE('Customers Raw data'!B169),DATEVALUE('Customers Raw data'!F169),"M"),DATEDIF(DATEVALUE('Customers Raw data'!B169),TODAY(),"M"))</f>
        <v>12</v>
      </c>
      <c r="M169">
        <f t="shared" ca="1" si="10"/>
        <v>2400</v>
      </c>
      <c r="N169">
        <f t="shared" si="11"/>
        <v>2</v>
      </c>
      <c r="O169">
        <f t="shared" ca="1" si="12"/>
        <v>0</v>
      </c>
      <c r="P169">
        <f t="shared" si="13"/>
        <v>0</v>
      </c>
      <c r="Q169" t="e">
        <f t="shared" si="14"/>
        <v>#VALUE!</v>
      </c>
    </row>
    <row r="170" spans="1:17" ht="15" customHeight="1" x14ac:dyDescent="0.25">
      <c r="A170">
        <f>'Customers Raw data'!A170</f>
        <v>1169</v>
      </c>
      <c r="B170" t="str">
        <f>'Customers Raw data'!B170</f>
        <v>2024-01-01</v>
      </c>
      <c r="C170" t="str">
        <f>'Customers Raw data'!C170</f>
        <v>Enterprise</v>
      </c>
      <c r="D170">
        <f>'Customers Raw data'!D170</f>
        <v>500</v>
      </c>
      <c r="E170">
        <f>'Customers Raw data'!E170</f>
        <v>200</v>
      </c>
      <c r="F170">
        <f>'Customers Raw data'!F170</f>
        <v>0</v>
      </c>
      <c r="G170">
        <f>IF('Customers Raw data'!F170&lt;&gt;"",1,0)</f>
        <v>0</v>
      </c>
      <c r="H170" t="str">
        <f>IF('Customers Raw data'!F170&lt;&gt;"",YEAR(DATEVALUE('Customers Raw data'!F170)),"")</f>
        <v/>
      </c>
      <c r="I170" t="str">
        <f>IF('Customers Raw data'!F170&lt;&gt;"",MONTH(DATEVALUE('Customers Raw data'!F170)),"")</f>
        <v/>
      </c>
      <c r="J170">
        <f>YEAR(DATEVALUE('Customers Raw data'!B170))</f>
        <v>2024</v>
      </c>
      <c r="K170">
        <f>MONTH(DATEVALUE('Customers Raw data'!B170))</f>
        <v>1</v>
      </c>
      <c r="L170">
        <f ca="1">IF('Customers Raw data'!F170&lt;&gt;"",DATEDIF(DATEVALUE('Customers Raw data'!B170),DATEVALUE('Customers Raw data'!F170),"M"),DATEDIF(DATEVALUE('Customers Raw data'!B170),TODAY(),"M"))</f>
        <v>27</v>
      </c>
      <c r="M170">
        <f t="shared" ca="1" si="10"/>
        <v>13500</v>
      </c>
      <c r="N170">
        <f t="shared" si="11"/>
        <v>3</v>
      </c>
      <c r="O170">
        <f t="shared" ca="1" si="12"/>
        <v>0</v>
      </c>
      <c r="P170">
        <f t="shared" si="13"/>
        <v>0</v>
      </c>
      <c r="Q170" t="e">
        <f t="shared" si="14"/>
        <v>#VALUE!</v>
      </c>
    </row>
    <row r="171" spans="1:17" ht="15" customHeight="1" x14ac:dyDescent="0.25">
      <c r="A171">
        <f>'Customers Raw data'!A171</f>
        <v>1170</v>
      </c>
      <c r="B171" t="str">
        <f>'Customers Raw data'!B171</f>
        <v>2024-02-18</v>
      </c>
      <c r="C171" t="str">
        <f>'Customers Raw data'!C171</f>
        <v>Pro</v>
      </c>
      <c r="D171">
        <f>'Customers Raw data'!D171</f>
        <v>200</v>
      </c>
      <c r="E171">
        <f>'Customers Raw data'!E171</f>
        <v>100</v>
      </c>
      <c r="F171">
        <f>'Customers Raw data'!F171</f>
        <v>0</v>
      </c>
      <c r="G171">
        <f>IF('Customers Raw data'!F171&lt;&gt;"",1,0)</f>
        <v>0</v>
      </c>
      <c r="H171" t="str">
        <f>IF('Customers Raw data'!F171&lt;&gt;"",YEAR(DATEVALUE('Customers Raw data'!F171)),"")</f>
        <v/>
      </c>
      <c r="I171" t="str">
        <f>IF('Customers Raw data'!F171&lt;&gt;"",MONTH(DATEVALUE('Customers Raw data'!F171)),"")</f>
        <v/>
      </c>
      <c r="J171">
        <f>YEAR(DATEVALUE('Customers Raw data'!B171))</f>
        <v>2024</v>
      </c>
      <c r="K171">
        <f>MONTH(DATEVALUE('Customers Raw data'!B171))</f>
        <v>2</v>
      </c>
      <c r="L171">
        <f ca="1">IF('Customers Raw data'!F171&lt;&gt;"",DATEDIF(DATEVALUE('Customers Raw data'!B171),DATEVALUE('Customers Raw data'!F171),"M"),DATEDIF(DATEVALUE('Customers Raw data'!B171),TODAY(),"M"))</f>
        <v>25</v>
      </c>
      <c r="M171">
        <f t="shared" ca="1" si="10"/>
        <v>5000</v>
      </c>
      <c r="N171">
        <f t="shared" si="11"/>
        <v>2</v>
      </c>
      <c r="O171">
        <f t="shared" ca="1" si="12"/>
        <v>0</v>
      </c>
      <c r="P171">
        <f t="shared" si="13"/>
        <v>0</v>
      </c>
      <c r="Q171" t="e">
        <f t="shared" si="14"/>
        <v>#VALUE!</v>
      </c>
    </row>
    <row r="172" spans="1:17" ht="15" customHeight="1" x14ac:dyDescent="0.25">
      <c r="A172">
        <f>'Customers Raw data'!A172</f>
        <v>1171</v>
      </c>
      <c r="B172" t="str">
        <f>'Customers Raw data'!B172</f>
        <v>2024-08-01</v>
      </c>
      <c r="C172" t="str">
        <f>'Customers Raw data'!C172</f>
        <v>Enterprise</v>
      </c>
      <c r="D172">
        <f>'Customers Raw data'!D172</f>
        <v>500</v>
      </c>
      <c r="E172">
        <f>'Customers Raw data'!E172</f>
        <v>200</v>
      </c>
      <c r="F172">
        <f>'Customers Raw data'!F172</f>
        <v>0</v>
      </c>
      <c r="G172">
        <f>IF('Customers Raw data'!F172&lt;&gt;"",1,0)</f>
        <v>0</v>
      </c>
      <c r="H172" t="str">
        <f>IF('Customers Raw data'!F172&lt;&gt;"",YEAR(DATEVALUE('Customers Raw data'!F172)),"")</f>
        <v/>
      </c>
      <c r="I172" t="str">
        <f>IF('Customers Raw data'!F172&lt;&gt;"",MONTH(DATEVALUE('Customers Raw data'!F172)),"")</f>
        <v/>
      </c>
      <c r="J172">
        <f>YEAR(DATEVALUE('Customers Raw data'!B172))</f>
        <v>2024</v>
      </c>
      <c r="K172">
        <f>MONTH(DATEVALUE('Customers Raw data'!B172))</f>
        <v>8</v>
      </c>
      <c r="L172">
        <f ca="1">IF('Customers Raw data'!F172&lt;&gt;"",DATEDIF(DATEVALUE('Customers Raw data'!B172),DATEVALUE('Customers Raw data'!F172),"M"),DATEDIF(DATEVALUE('Customers Raw data'!B172),TODAY(),"M"))</f>
        <v>20</v>
      </c>
      <c r="M172">
        <f t="shared" ca="1" si="10"/>
        <v>10000</v>
      </c>
      <c r="N172">
        <f t="shared" si="11"/>
        <v>3</v>
      </c>
      <c r="O172">
        <f t="shared" ca="1" si="12"/>
        <v>0</v>
      </c>
      <c r="P172">
        <f t="shared" si="13"/>
        <v>0</v>
      </c>
      <c r="Q172" t="e">
        <f t="shared" si="14"/>
        <v>#VALUE!</v>
      </c>
    </row>
    <row r="173" spans="1:17" ht="15" customHeight="1" x14ac:dyDescent="0.25">
      <c r="A173">
        <f>'Customers Raw data'!A173</f>
        <v>1172</v>
      </c>
      <c r="B173" t="str">
        <f>'Customers Raw data'!B173</f>
        <v>2024-10-12</v>
      </c>
      <c r="C173" t="str">
        <f>'Customers Raw data'!C173</f>
        <v>Enterprise</v>
      </c>
      <c r="D173">
        <f>'Customers Raw data'!D173</f>
        <v>500</v>
      </c>
      <c r="E173">
        <f>'Customers Raw data'!E173</f>
        <v>200</v>
      </c>
      <c r="F173">
        <f>'Customers Raw data'!F173</f>
        <v>0</v>
      </c>
      <c r="G173">
        <f>IF('Customers Raw data'!F173&lt;&gt;"",1,0)</f>
        <v>0</v>
      </c>
      <c r="H173" t="str">
        <f>IF('Customers Raw data'!F173&lt;&gt;"",YEAR(DATEVALUE('Customers Raw data'!F173)),"")</f>
        <v/>
      </c>
      <c r="I173" t="str">
        <f>IF('Customers Raw data'!F173&lt;&gt;"",MONTH(DATEVALUE('Customers Raw data'!F173)),"")</f>
        <v/>
      </c>
      <c r="J173">
        <f>YEAR(DATEVALUE('Customers Raw data'!B173))</f>
        <v>2024</v>
      </c>
      <c r="K173">
        <f>MONTH(DATEVALUE('Customers Raw data'!B173))</f>
        <v>10</v>
      </c>
      <c r="L173">
        <f ca="1">IF('Customers Raw data'!F173&lt;&gt;"",DATEDIF(DATEVALUE('Customers Raw data'!B173),DATEVALUE('Customers Raw data'!F173),"M"),DATEDIF(DATEVALUE('Customers Raw data'!B173),TODAY(),"M"))</f>
        <v>17</v>
      </c>
      <c r="M173">
        <f t="shared" ca="1" si="10"/>
        <v>8500</v>
      </c>
      <c r="N173">
        <f t="shared" si="11"/>
        <v>3</v>
      </c>
      <c r="O173">
        <f t="shared" ca="1" si="12"/>
        <v>0</v>
      </c>
      <c r="P173">
        <f t="shared" si="13"/>
        <v>0</v>
      </c>
      <c r="Q173" t="e">
        <f t="shared" si="14"/>
        <v>#VALUE!</v>
      </c>
    </row>
    <row r="174" spans="1:17" ht="15" customHeight="1" x14ac:dyDescent="0.25">
      <c r="A174">
        <f>'Customers Raw data'!A174</f>
        <v>1173</v>
      </c>
      <c r="B174" t="str">
        <f>'Customers Raw data'!B174</f>
        <v>2024-03-26</v>
      </c>
      <c r="C174" t="str">
        <f>'Customers Raw data'!C174</f>
        <v>Basic</v>
      </c>
      <c r="D174">
        <f>'Customers Raw data'!D174</f>
        <v>50</v>
      </c>
      <c r="E174">
        <f>'Customers Raw data'!E174</f>
        <v>30</v>
      </c>
      <c r="F174">
        <f>'Customers Raw data'!F174</f>
        <v>0</v>
      </c>
      <c r="G174">
        <f>IF('Customers Raw data'!F174&lt;&gt;"",1,0)</f>
        <v>0</v>
      </c>
      <c r="H174" t="str">
        <f>IF('Customers Raw data'!F174&lt;&gt;"",YEAR(DATEVALUE('Customers Raw data'!F174)),"")</f>
        <v/>
      </c>
      <c r="I174" t="str">
        <f>IF('Customers Raw data'!F174&lt;&gt;"",MONTH(DATEVALUE('Customers Raw data'!F174)),"")</f>
        <v/>
      </c>
      <c r="J174">
        <f>YEAR(DATEVALUE('Customers Raw data'!B174))</f>
        <v>2024</v>
      </c>
      <c r="K174">
        <f>MONTH(DATEVALUE('Customers Raw data'!B174))</f>
        <v>3</v>
      </c>
      <c r="L174">
        <f ca="1">IF('Customers Raw data'!F174&lt;&gt;"",DATEDIF(DATEVALUE('Customers Raw data'!B174),DATEVALUE('Customers Raw data'!F174),"M"),DATEDIF(DATEVALUE('Customers Raw data'!B174),TODAY(),"M"))</f>
        <v>24</v>
      </c>
      <c r="M174">
        <f t="shared" ca="1" si="10"/>
        <v>1200</v>
      </c>
      <c r="N174">
        <f t="shared" si="11"/>
        <v>1</v>
      </c>
      <c r="O174">
        <f t="shared" ca="1" si="12"/>
        <v>0</v>
      </c>
      <c r="P174">
        <f t="shared" si="13"/>
        <v>0</v>
      </c>
      <c r="Q174" t="e">
        <f t="shared" si="14"/>
        <v>#VALUE!</v>
      </c>
    </row>
    <row r="175" spans="1:17" ht="15" customHeight="1" x14ac:dyDescent="0.25">
      <c r="A175">
        <f>'Customers Raw data'!A175</f>
        <v>1174</v>
      </c>
      <c r="B175" t="str">
        <f>'Customers Raw data'!B175</f>
        <v>2025-04-13</v>
      </c>
      <c r="C175" t="str">
        <f>'Customers Raw data'!C175</f>
        <v>Basic</v>
      </c>
      <c r="D175">
        <f>'Customers Raw data'!D175</f>
        <v>50</v>
      </c>
      <c r="E175">
        <f>'Customers Raw data'!E175</f>
        <v>30</v>
      </c>
      <c r="F175">
        <f>'Customers Raw data'!F175</f>
        <v>0</v>
      </c>
      <c r="G175">
        <f>IF('Customers Raw data'!F175&lt;&gt;"",1,0)</f>
        <v>0</v>
      </c>
      <c r="H175" t="str">
        <f>IF('Customers Raw data'!F175&lt;&gt;"",YEAR(DATEVALUE('Customers Raw data'!F175)),"")</f>
        <v/>
      </c>
      <c r="I175" t="str">
        <f>IF('Customers Raw data'!F175&lt;&gt;"",MONTH(DATEVALUE('Customers Raw data'!F175)),"")</f>
        <v/>
      </c>
      <c r="J175">
        <f>YEAR(DATEVALUE('Customers Raw data'!B175))</f>
        <v>2025</v>
      </c>
      <c r="K175">
        <f>MONTH(DATEVALUE('Customers Raw data'!B175))</f>
        <v>4</v>
      </c>
      <c r="L175">
        <f ca="1">IF('Customers Raw data'!F175&lt;&gt;"",DATEDIF(DATEVALUE('Customers Raw data'!B175),DATEVALUE('Customers Raw data'!F175),"M"),DATEDIF(DATEVALUE('Customers Raw data'!B175),TODAY(),"M"))</f>
        <v>11</v>
      </c>
      <c r="M175">
        <f t="shared" ca="1" si="10"/>
        <v>550</v>
      </c>
      <c r="N175">
        <f t="shared" si="11"/>
        <v>1</v>
      </c>
      <c r="O175">
        <f t="shared" ca="1" si="12"/>
        <v>0</v>
      </c>
      <c r="P175">
        <f t="shared" si="13"/>
        <v>0</v>
      </c>
      <c r="Q175" t="e">
        <f t="shared" si="14"/>
        <v>#VALUE!</v>
      </c>
    </row>
    <row r="176" spans="1:17" ht="15" customHeight="1" x14ac:dyDescent="0.25">
      <c r="A176">
        <f>'Customers Raw data'!A176</f>
        <v>1175</v>
      </c>
      <c r="B176" t="str">
        <f>'Customers Raw data'!B176</f>
        <v>2024-07-16</v>
      </c>
      <c r="C176" t="str">
        <f>'Customers Raw data'!C176</f>
        <v>Enterprise</v>
      </c>
      <c r="D176">
        <f>'Customers Raw data'!D176</f>
        <v>500</v>
      </c>
      <c r="E176">
        <f>'Customers Raw data'!E176</f>
        <v>200</v>
      </c>
      <c r="F176" t="str">
        <f>'Customers Raw data'!F176</f>
        <v>2024-09-13</v>
      </c>
      <c r="G176">
        <f>IF('Customers Raw data'!F176&lt;&gt;"",1,0)</f>
        <v>1</v>
      </c>
      <c r="H176">
        <f>IF('Customers Raw data'!F176&lt;&gt;"",YEAR(DATEVALUE('Customers Raw data'!F176)),"")</f>
        <v>2024</v>
      </c>
      <c r="I176">
        <f>IF('Customers Raw data'!F176&lt;&gt;"",MONTH(DATEVALUE('Customers Raw data'!F176)),"")</f>
        <v>9</v>
      </c>
      <c r="J176">
        <f>YEAR(DATEVALUE('Customers Raw data'!B176))</f>
        <v>2024</v>
      </c>
      <c r="K176">
        <f>MONTH(DATEVALUE('Customers Raw data'!B176))</f>
        <v>7</v>
      </c>
      <c r="L176">
        <f ca="1">IF('Customers Raw data'!F176&lt;&gt;"",DATEDIF(DATEVALUE('Customers Raw data'!B176),DATEVALUE('Customers Raw data'!F176),"M"),DATEDIF(DATEVALUE('Customers Raw data'!B176),TODAY(),"M"))</f>
        <v>1</v>
      </c>
      <c r="M176">
        <f t="shared" ca="1" si="10"/>
        <v>500</v>
      </c>
      <c r="N176">
        <f t="shared" si="11"/>
        <v>3</v>
      </c>
      <c r="O176">
        <f t="shared" ca="1" si="12"/>
        <v>1</v>
      </c>
      <c r="P176">
        <f t="shared" si="13"/>
        <v>500</v>
      </c>
      <c r="Q176" t="str">
        <f t="shared" si="14"/>
        <v>2024-09</v>
      </c>
    </row>
    <row r="177" spans="1:17" ht="15" customHeight="1" x14ac:dyDescent="0.25">
      <c r="A177">
        <f>'Customers Raw data'!A177</f>
        <v>1176</v>
      </c>
      <c r="B177" t="str">
        <f>'Customers Raw data'!B177</f>
        <v>2024-02-11</v>
      </c>
      <c r="C177" t="str">
        <f>'Customers Raw data'!C177</f>
        <v>Enterprise</v>
      </c>
      <c r="D177">
        <f>'Customers Raw data'!D177</f>
        <v>500</v>
      </c>
      <c r="E177">
        <f>'Customers Raw data'!E177</f>
        <v>200</v>
      </c>
      <c r="F177">
        <f>'Customers Raw data'!F177</f>
        <v>0</v>
      </c>
      <c r="G177">
        <f>IF('Customers Raw data'!F177&lt;&gt;"",1,0)</f>
        <v>0</v>
      </c>
      <c r="H177" t="str">
        <f>IF('Customers Raw data'!F177&lt;&gt;"",YEAR(DATEVALUE('Customers Raw data'!F177)),"")</f>
        <v/>
      </c>
      <c r="I177" t="str">
        <f>IF('Customers Raw data'!F177&lt;&gt;"",MONTH(DATEVALUE('Customers Raw data'!F177)),"")</f>
        <v/>
      </c>
      <c r="J177">
        <f>YEAR(DATEVALUE('Customers Raw data'!B177))</f>
        <v>2024</v>
      </c>
      <c r="K177">
        <f>MONTH(DATEVALUE('Customers Raw data'!B177))</f>
        <v>2</v>
      </c>
      <c r="L177">
        <f ca="1">IF('Customers Raw data'!F177&lt;&gt;"",DATEDIF(DATEVALUE('Customers Raw data'!B177),DATEVALUE('Customers Raw data'!F177),"M"),DATEDIF(DATEVALUE('Customers Raw data'!B177),TODAY(),"M"))</f>
        <v>25</v>
      </c>
      <c r="M177">
        <f t="shared" ca="1" si="10"/>
        <v>12500</v>
      </c>
      <c r="N177">
        <f t="shared" si="11"/>
        <v>3</v>
      </c>
      <c r="O177">
        <f t="shared" ca="1" si="12"/>
        <v>0</v>
      </c>
      <c r="P177">
        <f t="shared" si="13"/>
        <v>0</v>
      </c>
      <c r="Q177" t="e">
        <f t="shared" si="14"/>
        <v>#VALUE!</v>
      </c>
    </row>
    <row r="178" spans="1:17" ht="15" customHeight="1" x14ac:dyDescent="0.25">
      <c r="A178">
        <f>'Customers Raw data'!A178</f>
        <v>1177</v>
      </c>
      <c r="B178" t="str">
        <f>'Customers Raw data'!B178</f>
        <v>2024-02-03</v>
      </c>
      <c r="C178" t="str">
        <f>'Customers Raw data'!C178</f>
        <v>Basic</v>
      </c>
      <c r="D178">
        <f>'Customers Raw data'!D178</f>
        <v>50</v>
      </c>
      <c r="E178">
        <f>'Customers Raw data'!E178</f>
        <v>30</v>
      </c>
      <c r="F178">
        <f>'Customers Raw data'!F178</f>
        <v>0</v>
      </c>
      <c r="G178">
        <f>IF('Customers Raw data'!F178&lt;&gt;"",1,0)</f>
        <v>0</v>
      </c>
      <c r="H178" t="str">
        <f>IF('Customers Raw data'!F178&lt;&gt;"",YEAR(DATEVALUE('Customers Raw data'!F178)),"")</f>
        <v/>
      </c>
      <c r="I178" t="str">
        <f>IF('Customers Raw data'!F178&lt;&gt;"",MONTH(DATEVALUE('Customers Raw data'!F178)),"")</f>
        <v/>
      </c>
      <c r="J178">
        <f>YEAR(DATEVALUE('Customers Raw data'!B178))</f>
        <v>2024</v>
      </c>
      <c r="K178">
        <f>MONTH(DATEVALUE('Customers Raw data'!B178))</f>
        <v>2</v>
      </c>
      <c r="L178">
        <f ca="1">IF('Customers Raw data'!F178&lt;&gt;"",DATEDIF(DATEVALUE('Customers Raw data'!B178),DATEVALUE('Customers Raw data'!F178),"M"),DATEDIF(DATEVALUE('Customers Raw data'!B178),TODAY(),"M"))</f>
        <v>26</v>
      </c>
      <c r="M178">
        <f t="shared" ca="1" si="10"/>
        <v>1300</v>
      </c>
      <c r="N178">
        <f t="shared" si="11"/>
        <v>1</v>
      </c>
      <c r="O178">
        <f t="shared" ca="1" si="12"/>
        <v>0</v>
      </c>
      <c r="P178">
        <f t="shared" si="13"/>
        <v>0</v>
      </c>
      <c r="Q178" t="e">
        <f t="shared" si="14"/>
        <v>#VALUE!</v>
      </c>
    </row>
    <row r="179" spans="1:17" ht="15" customHeight="1" x14ac:dyDescent="0.25">
      <c r="A179">
        <f>'Customers Raw data'!A179</f>
        <v>1178</v>
      </c>
      <c r="B179" t="str">
        <f>'Customers Raw data'!B179</f>
        <v>2025-01-30</v>
      </c>
      <c r="C179" t="str">
        <f>'Customers Raw data'!C179</f>
        <v>Basic</v>
      </c>
      <c r="D179">
        <f>'Customers Raw data'!D179</f>
        <v>50</v>
      </c>
      <c r="E179">
        <f>'Customers Raw data'!E179</f>
        <v>30</v>
      </c>
      <c r="F179" t="str">
        <f>'Customers Raw data'!F179</f>
        <v>2025-03-26</v>
      </c>
      <c r="G179">
        <f>IF('Customers Raw data'!F179&lt;&gt;"",1,0)</f>
        <v>1</v>
      </c>
      <c r="H179">
        <f>IF('Customers Raw data'!F179&lt;&gt;"",YEAR(DATEVALUE('Customers Raw data'!F179)),"")</f>
        <v>2025</v>
      </c>
      <c r="I179">
        <f>IF('Customers Raw data'!F179&lt;&gt;"",MONTH(DATEVALUE('Customers Raw data'!F179)),"")</f>
        <v>3</v>
      </c>
      <c r="J179">
        <f>YEAR(DATEVALUE('Customers Raw data'!B179))</f>
        <v>2025</v>
      </c>
      <c r="K179">
        <f>MONTH(DATEVALUE('Customers Raw data'!B179))</f>
        <v>1</v>
      </c>
      <c r="L179">
        <f ca="1">IF('Customers Raw data'!F179&lt;&gt;"",DATEDIF(DATEVALUE('Customers Raw data'!B179),DATEVALUE('Customers Raw data'!F179),"M"),DATEDIF(DATEVALUE('Customers Raw data'!B179),TODAY(),"M"))</f>
        <v>1</v>
      </c>
      <c r="M179">
        <f t="shared" ca="1" si="10"/>
        <v>50</v>
      </c>
      <c r="N179">
        <f t="shared" si="11"/>
        <v>1</v>
      </c>
      <c r="O179">
        <f t="shared" ca="1" si="12"/>
        <v>1</v>
      </c>
      <c r="P179">
        <f t="shared" si="13"/>
        <v>50</v>
      </c>
      <c r="Q179" t="str">
        <f t="shared" si="14"/>
        <v>2025-03</v>
      </c>
    </row>
    <row r="180" spans="1:17" ht="15" customHeight="1" x14ac:dyDescent="0.25">
      <c r="A180">
        <f>'Customers Raw data'!A180</f>
        <v>1179</v>
      </c>
      <c r="B180" t="str">
        <f>'Customers Raw data'!B180</f>
        <v>2025-03-16</v>
      </c>
      <c r="C180" t="str">
        <f>'Customers Raw data'!C180</f>
        <v>Enterprise</v>
      </c>
      <c r="D180">
        <f>'Customers Raw data'!D180</f>
        <v>500</v>
      </c>
      <c r="E180">
        <f>'Customers Raw data'!E180</f>
        <v>200</v>
      </c>
      <c r="F180">
        <f>'Customers Raw data'!F180</f>
        <v>0</v>
      </c>
      <c r="G180">
        <f>IF('Customers Raw data'!F180&lt;&gt;"",1,0)</f>
        <v>0</v>
      </c>
      <c r="H180" t="str">
        <f>IF('Customers Raw data'!F180&lt;&gt;"",YEAR(DATEVALUE('Customers Raw data'!F180)),"")</f>
        <v/>
      </c>
      <c r="I180" t="str">
        <f>IF('Customers Raw data'!F180&lt;&gt;"",MONTH(DATEVALUE('Customers Raw data'!F180)),"")</f>
        <v/>
      </c>
      <c r="J180">
        <f>YEAR(DATEVALUE('Customers Raw data'!B180))</f>
        <v>2025</v>
      </c>
      <c r="K180">
        <f>MONTH(DATEVALUE('Customers Raw data'!B180))</f>
        <v>3</v>
      </c>
      <c r="L180">
        <f ca="1">IF('Customers Raw data'!F180&lt;&gt;"",DATEDIF(DATEVALUE('Customers Raw data'!B180),DATEVALUE('Customers Raw data'!F180),"M"),DATEDIF(DATEVALUE('Customers Raw data'!B180),TODAY(),"M"))</f>
        <v>12</v>
      </c>
      <c r="M180">
        <f t="shared" ca="1" si="10"/>
        <v>6000</v>
      </c>
      <c r="N180">
        <f t="shared" si="11"/>
        <v>3</v>
      </c>
      <c r="O180">
        <f t="shared" ca="1" si="12"/>
        <v>0</v>
      </c>
      <c r="P180">
        <f t="shared" si="13"/>
        <v>0</v>
      </c>
      <c r="Q180" t="e">
        <f t="shared" si="14"/>
        <v>#VALUE!</v>
      </c>
    </row>
    <row r="181" spans="1:17" ht="15" customHeight="1" x14ac:dyDescent="0.25">
      <c r="A181">
        <f>'Customers Raw data'!A181</f>
        <v>1180</v>
      </c>
      <c r="B181" t="str">
        <f>'Customers Raw data'!B181</f>
        <v>2024-04-21</v>
      </c>
      <c r="C181" t="str">
        <f>'Customers Raw data'!C181</f>
        <v>Pro</v>
      </c>
      <c r="D181">
        <f>'Customers Raw data'!D181</f>
        <v>200</v>
      </c>
      <c r="E181">
        <f>'Customers Raw data'!E181</f>
        <v>100</v>
      </c>
      <c r="F181">
        <f>'Customers Raw data'!F181</f>
        <v>0</v>
      </c>
      <c r="G181">
        <f>IF('Customers Raw data'!F181&lt;&gt;"",1,0)</f>
        <v>0</v>
      </c>
      <c r="H181" t="str">
        <f>IF('Customers Raw data'!F181&lt;&gt;"",YEAR(DATEVALUE('Customers Raw data'!F181)),"")</f>
        <v/>
      </c>
      <c r="I181" t="str">
        <f>IF('Customers Raw data'!F181&lt;&gt;"",MONTH(DATEVALUE('Customers Raw data'!F181)),"")</f>
        <v/>
      </c>
      <c r="J181">
        <f>YEAR(DATEVALUE('Customers Raw data'!B181))</f>
        <v>2024</v>
      </c>
      <c r="K181">
        <f>MONTH(DATEVALUE('Customers Raw data'!B181))</f>
        <v>4</v>
      </c>
      <c r="L181">
        <f ca="1">IF('Customers Raw data'!F181&lt;&gt;"",DATEDIF(DATEVALUE('Customers Raw data'!B181),DATEVALUE('Customers Raw data'!F181),"M"),DATEDIF(DATEVALUE('Customers Raw data'!B181),TODAY(),"M"))</f>
        <v>23</v>
      </c>
      <c r="M181">
        <f t="shared" ca="1" si="10"/>
        <v>4600</v>
      </c>
      <c r="N181">
        <f t="shared" si="11"/>
        <v>2</v>
      </c>
      <c r="O181">
        <f t="shared" ca="1" si="12"/>
        <v>0</v>
      </c>
      <c r="P181">
        <f t="shared" si="13"/>
        <v>0</v>
      </c>
      <c r="Q181" t="e">
        <f t="shared" si="14"/>
        <v>#VALUE!</v>
      </c>
    </row>
    <row r="182" spans="1:17" ht="15" customHeight="1" x14ac:dyDescent="0.25">
      <c r="A182">
        <f>'Customers Raw data'!A182</f>
        <v>1181</v>
      </c>
      <c r="B182" t="str">
        <f>'Customers Raw data'!B182</f>
        <v>2024-01-09</v>
      </c>
      <c r="C182" t="str">
        <f>'Customers Raw data'!C182</f>
        <v>Basic</v>
      </c>
      <c r="D182">
        <f>'Customers Raw data'!D182</f>
        <v>50</v>
      </c>
      <c r="E182">
        <f>'Customers Raw data'!E182</f>
        <v>30</v>
      </c>
      <c r="F182" t="str">
        <f>'Customers Raw data'!F182</f>
        <v>2024-06-03</v>
      </c>
      <c r="G182">
        <f>IF('Customers Raw data'!F182&lt;&gt;"",1,0)</f>
        <v>1</v>
      </c>
      <c r="H182">
        <f>IF('Customers Raw data'!F182&lt;&gt;"",YEAR(DATEVALUE('Customers Raw data'!F182)),"")</f>
        <v>2024</v>
      </c>
      <c r="I182">
        <f>IF('Customers Raw data'!F182&lt;&gt;"",MONTH(DATEVALUE('Customers Raw data'!F182)),"")</f>
        <v>6</v>
      </c>
      <c r="J182">
        <f>YEAR(DATEVALUE('Customers Raw data'!B182))</f>
        <v>2024</v>
      </c>
      <c r="K182">
        <f>MONTH(DATEVALUE('Customers Raw data'!B182))</f>
        <v>1</v>
      </c>
      <c r="L182">
        <f ca="1">IF('Customers Raw data'!F182&lt;&gt;"",DATEDIF(DATEVALUE('Customers Raw data'!B182),DATEVALUE('Customers Raw data'!F182),"M"),DATEDIF(DATEVALUE('Customers Raw data'!B182),TODAY(),"M"))</f>
        <v>4</v>
      </c>
      <c r="M182">
        <f t="shared" ca="1" si="10"/>
        <v>200</v>
      </c>
      <c r="N182">
        <f t="shared" si="11"/>
        <v>1</v>
      </c>
      <c r="O182">
        <f t="shared" ca="1" si="12"/>
        <v>1</v>
      </c>
      <c r="P182">
        <f t="shared" si="13"/>
        <v>50</v>
      </c>
      <c r="Q182" t="str">
        <f t="shared" si="14"/>
        <v>2024-06</v>
      </c>
    </row>
    <row r="183" spans="1:17" ht="15" customHeight="1" x14ac:dyDescent="0.25">
      <c r="A183">
        <f>'Customers Raw data'!A183</f>
        <v>1182</v>
      </c>
      <c r="B183" t="str">
        <f>'Customers Raw data'!B183</f>
        <v>2024-12-31</v>
      </c>
      <c r="C183" t="str">
        <f>'Customers Raw data'!C183</f>
        <v>Enterprise</v>
      </c>
      <c r="D183">
        <f>'Customers Raw data'!D183</f>
        <v>500</v>
      </c>
      <c r="E183">
        <f>'Customers Raw data'!E183</f>
        <v>200</v>
      </c>
      <c r="F183">
        <f>'Customers Raw data'!F183</f>
        <v>0</v>
      </c>
      <c r="G183">
        <f>IF('Customers Raw data'!F183&lt;&gt;"",1,0)</f>
        <v>0</v>
      </c>
      <c r="H183" t="str">
        <f>IF('Customers Raw data'!F183&lt;&gt;"",YEAR(DATEVALUE('Customers Raw data'!F183)),"")</f>
        <v/>
      </c>
      <c r="I183" t="str">
        <f>IF('Customers Raw data'!F183&lt;&gt;"",MONTH(DATEVALUE('Customers Raw data'!F183)),"")</f>
        <v/>
      </c>
      <c r="J183">
        <f>YEAR(DATEVALUE('Customers Raw data'!B183))</f>
        <v>2024</v>
      </c>
      <c r="K183">
        <f>MONTH(DATEVALUE('Customers Raw data'!B183))</f>
        <v>12</v>
      </c>
      <c r="L183">
        <f ca="1">IF('Customers Raw data'!F183&lt;&gt;"",DATEDIF(DATEVALUE('Customers Raw data'!B183),DATEVALUE('Customers Raw data'!F183),"M"),DATEDIF(DATEVALUE('Customers Raw data'!B183),TODAY(),"M"))</f>
        <v>15</v>
      </c>
      <c r="M183">
        <f t="shared" ca="1" si="10"/>
        <v>7500</v>
      </c>
      <c r="N183">
        <f t="shared" si="11"/>
        <v>3</v>
      </c>
      <c r="O183">
        <f t="shared" ca="1" si="12"/>
        <v>0</v>
      </c>
      <c r="P183">
        <f t="shared" si="13"/>
        <v>0</v>
      </c>
      <c r="Q183" t="e">
        <f t="shared" si="14"/>
        <v>#VALUE!</v>
      </c>
    </row>
    <row r="184" spans="1:17" ht="15" customHeight="1" x14ac:dyDescent="0.25">
      <c r="A184">
        <f>'Customers Raw data'!A184</f>
        <v>1183</v>
      </c>
      <c r="B184" t="str">
        <f>'Customers Raw data'!B184</f>
        <v>2025-06-16</v>
      </c>
      <c r="C184" t="str">
        <f>'Customers Raw data'!C184</f>
        <v>Pro</v>
      </c>
      <c r="D184">
        <f>'Customers Raw data'!D184</f>
        <v>200</v>
      </c>
      <c r="E184">
        <f>'Customers Raw data'!E184</f>
        <v>100</v>
      </c>
      <c r="F184">
        <f>'Customers Raw data'!F184</f>
        <v>0</v>
      </c>
      <c r="G184">
        <f>IF('Customers Raw data'!F184&lt;&gt;"",1,0)</f>
        <v>0</v>
      </c>
      <c r="H184" t="str">
        <f>IF('Customers Raw data'!F184&lt;&gt;"",YEAR(DATEVALUE('Customers Raw data'!F184)),"")</f>
        <v/>
      </c>
      <c r="I184" t="str">
        <f>IF('Customers Raw data'!F184&lt;&gt;"",MONTH(DATEVALUE('Customers Raw data'!F184)),"")</f>
        <v/>
      </c>
      <c r="J184">
        <f>YEAR(DATEVALUE('Customers Raw data'!B184))</f>
        <v>2025</v>
      </c>
      <c r="K184">
        <f>MONTH(DATEVALUE('Customers Raw data'!B184))</f>
        <v>6</v>
      </c>
      <c r="L184">
        <f ca="1">IF('Customers Raw data'!F184&lt;&gt;"",DATEDIF(DATEVALUE('Customers Raw data'!B184),DATEVALUE('Customers Raw data'!F184),"M"),DATEDIF(DATEVALUE('Customers Raw data'!B184),TODAY(),"M"))</f>
        <v>9</v>
      </c>
      <c r="M184">
        <f t="shared" ca="1" si="10"/>
        <v>1800</v>
      </c>
      <c r="N184">
        <f t="shared" si="11"/>
        <v>2</v>
      </c>
      <c r="O184">
        <f t="shared" ca="1" si="12"/>
        <v>0</v>
      </c>
      <c r="P184">
        <f t="shared" si="13"/>
        <v>0</v>
      </c>
      <c r="Q184" t="e">
        <f t="shared" si="14"/>
        <v>#VALUE!</v>
      </c>
    </row>
    <row r="185" spans="1:17" ht="15" customHeight="1" x14ac:dyDescent="0.25">
      <c r="A185">
        <f>'Customers Raw data'!A185</f>
        <v>1184</v>
      </c>
      <c r="B185" t="str">
        <f>'Customers Raw data'!B185</f>
        <v>2024-11-24</v>
      </c>
      <c r="C185" t="str">
        <f>'Customers Raw data'!C185</f>
        <v>Basic</v>
      </c>
      <c r="D185">
        <f>'Customers Raw data'!D185</f>
        <v>50</v>
      </c>
      <c r="E185">
        <f>'Customers Raw data'!E185</f>
        <v>30</v>
      </c>
      <c r="F185">
        <f>'Customers Raw data'!F185</f>
        <v>0</v>
      </c>
      <c r="G185">
        <f>IF('Customers Raw data'!F185&lt;&gt;"",1,0)</f>
        <v>0</v>
      </c>
      <c r="H185" t="str">
        <f>IF('Customers Raw data'!F185&lt;&gt;"",YEAR(DATEVALUE('Customers Raw data'!F185)),"")</f>
        <v/>
      </c>
      <c r="I185" t="str">
        <f>IF('Customers Raw data'!F185&lt;&gt;"",MONTH(DATEVALUE('Customers Raw data'!F185)),"")</f>
        <v/>
      </c>
      <c r="J185">
        <f>YEAR(DATEVALUE('Customers Raw data'!B185))</f>
        <v>2024</v>
      </c>
      <c r="K185">
        <f>MONTH(DATEVALUE('Customers Raw data'!B185))</f>
        <v>11</v>
      </c>
      <c r="L185">
        <f ca="1">IF('Customers Raw data'!F185&lt;&gt;"",DATEDIF(DATEVALUE('Customers Raw data'!B185),DATEVALUE('Customers Raw data'!F185),"M"),DATEDIF(DATEVALUE('Customers Raw data'!B185),TODAY(),"M"))</f>
        <v>16</v>
      </c>
      <c r="M185">
        <f t="shared" ca="1" si="10"/>
        <v>800</v>
      </c>
      <c r="N185">
        <f t="shared" si="11"/>
        <v>1</v>
      </c>
      <c r="O185">
        <f t="shared" ca="1" si="12"/>
        <v>0</v>
      </c>
      <c r="P185">
        <f t="shared" si="13"/>
        <v>0</v>
      </c>
      <c r="Q185" t="e">
        <f t="shared" si="14"/>
        <v>#VALUE!</v>
      </c>
    </row>
    <row r="186" spans="1:17" ht="15" customHeight="1" x14ac:dyDescent="0.25">
      <c r="A186">
        <f>'Customers Raw data'!A186</f>
        <v>1185</v>
      </c>
      <c r="B186" t="str">
        <f>'Customers Raw data'!B186</f>
        <v>2024-12-11</v>
      </c>
      <c r="C186" t="str">
        <f>'Customers Raw data'!C186</f>
        <v>Pro</v>
      </c>
      <c r="D186">
        <f>'Customers Raw data'!D186</f>
        <v>200</v>
      </c>
      <c r="E186">
        <f>'Customers Raw data'!E186</f>
        <v>100</v>
      </c>
      <c r="F186" t="str">
        <f>'Customers Raw data'!F186</f>
        <v>2025-06-27</v>
      </c>
      <c r="G186">
        <f>IF('Customers Raw data'!F186&lt;&gt;"",1,0)</f>
        <v>1</v>
      </c>
      <c r="H186">
        <f>IF('Customers Raw data'!F186&lt;&gt;"",YEAR(DATEVALUE('Customers Raw data'!F186)),"")</f>
        <v>2025</v>
      </c>
      <c r="I186">
        <f>IF('Customers Raw data'!F186&lt;&gt;"",MONTH(DATEVALUE('Customers Raw data'!F186)),"")</f>
        <v>6</v>
      </c>
      <c r="J186">
        <f>YEAR(DATEVALUE('Customers Raw data'!B186))</f>
        <v>2024</v>
      </c>
      <c r="K186">
        <f>MONTH(DATEVALUE('Customers Raw data'!B186))</f>
        <v>12</v>
      </c>
      <c r="L186">
        <f ca="1">IF('Customers Raw data'!F186&lt;&gt;"",DATEDIF(DATEVALUE('Customers Raw data'!B186),DATEVALUE('Customers Raw data'!F186),"M"),DATEDIF(DATEVALUE('Customers Raw data'!B186),TODAY(),"M"))</f>
        <v>6</v>
      </c>
      <c r="M186">
        <f t="shared" ca="1" si="10"/>
        <v>1200</v>
      </c>
      <c r="N186">
        <f t="shared" si="11"/>
        <v>2</v>
      </c>
      <c r="O186">
        <f t="shared" ca="1" si="12"/>
        <v>0</v>
      </c>
      <c r="P186">
        <f t="shared" si="13"/>
        <v>200</v>
      </c>
      <c r="Q186" t="str">
        <f t="shared" si="14"/>
        <v>2025-06</v>
      </c>
    </row>
    <row r="187" spans="1:17" ht="15" customHeight="1" x14ac:dyDescent="0.25">
      <c r="A187">
        <f>'Customers Raw data'!A187</f>
        <v>1186</v>
      </c>
      <c r="B187" t="str">
        <f>'Customers Raw data'!B187</f>
        <v>2025-05-18</v>
      </c>
      <c r="C187" t="str">
        <f>'Customers Raw data'!C187</f>
        <v>Pro</v>
      </c>
      <c r="D187">
        <f>'Customers Raw data'!D187</f>
        <v>200</v>
      </c>
      <c r="E187">
        <f>'Customers Raw data'!E187</f>
        <v>100</v>
      </c>
      <c r="F187">
        <f>'Customers Raw data'!F187</f>
        <v>0</v>
      </c>
      <c r="G187">
        <f>IF('Customers Raw data'!F187&lt;&gt;"",1,0)</f>
        <v>0</v>
      </c>
      <c r="H187" t="str">
        <f>IF('Customers Raw data'!F187&lt;&gt;"",YEAR(DATEVALUE('Customers Raw data'!F187)),"")</f>
        <v/>
      </c>
      <c r="I187" t="str">
        <f>IF('Customers Raw data'!F187&lt;&gt;"",MONTH(DATEVALUE('Customers Raw data'!F187)),"")</f>
        <v/>
      </c>
      <c r="J187">
        <f>YEAR(DATEVALUE('Customers Raw data'!B187))</f>
        <v>2025</v>
      </c>
      <c r="K187">
        <f>MONTH(DATEVALUE('Customers Raw data'!B187))</f>
        <v>5</v>
      </c>
      <c r="L187">
        <f ca="1">IF('Customers Raw data'!F187&lt;&gt;"",DATEDIF(DATEVALUE('Customers Raw data'!B187),DATEVALUE('Customers Raw data'!F187),"M"),DATEDIF(DATEVALUE('Customers Raw data'!B187),TODAY(),"M"))</f>
        <v>10</v>
      </c>
      <c r="M187">
        <f t="shared" ca="1" si="10"/>
        <v>2000</v>
      </c>
      <c r="N187">
        <f t="shared" si="11"/>
        <v>2</v>
      </c>
      <c r="O187">
        <f t="shared" ca="1" si="12"/>
        <v>0</v>
      </c>
      <c r="P187">
        <f t="shared" si="13"/>
        <v>0</v>
      </c>
      <c r="Q187" t="e">
        <f t="shared" si="14"/>
        <v>#VALUE!</v>
      </c>
    </row>
    <row r="188" spans="1:17" ht="15" customHeight="1" x14ac:dyDescent="0.25">
      <c r="A188">
        <f>'Customers Raw data'!A188</f>
        <v>1187</v>
      </c>
      <c r="B188" t="str">
        <f>'Customers Raw data'!B188</f>
        <v>2024-03-22</v>
      </c>
      <c r="C188" t="str">
        <f>'Customers Raw data'!C188</f>
        <v>Enterprise</v>
      </c>
      <c r="D188">
        <f>'Customers Raw data'!D188</f>
        <v>500</v>
      </c>
      <c r="E188">
        <f>'Customers Raw data'!E188</f>
        <v>200</v>
      </c>
      <c r="F188">
        <f>'Customers Raw data'!F188</f>
        <v>0</v>
      </c>
      <c r="G188">
        <f>IF('Customers Raw data'!F188&lt;&gt;"",1,0)</f>
        <v>0</v>
      </c>
      <c r="H188" t="str">
        <f>IF('Customers Raw data'!F188&lt;&gt;"",YEAR(DATEVALUE('Customers Raw data'!F188)),"")</f>
        <v/>
      </c>
      <c r="I188" t="str">
        <f>IF('Customers Raw data'!F188&lt;&gt;"",MONTH(DATEVALUE('Customers Raw data'!F188)),"")</f>
        <v/>
      </c>
      <c r="J188">
        <f>YEAR(DATEVALUE('Customers Raw data'!B188))</f>
        <v>2024</v>
      </c>
      <c r="K188">
        <f>MONTH(DATEVALUE('Customers Raw data'!B188))</f>
        <v>3</v>
      </c>
      <c r="L188">
        <f ca="1">IF('Customers Raw data'!F188&lt;&gt;"",DATEDIF(DATEVALUE('Customers Raw data'!B188),DATEVALUE('Customers Raw data'!F188),"M"),DATEDIF(DATEVALUE('Customers Raw data'!B188),TODAY(),"M"))</f>
        <v>24</v>
      </c>
      <c r="M188">
        <f t="shared" ca="1" si="10"/>
        <v>12000</v>
      </c>
      <c r="N188">
        <f t="shared" si="11"/>
        <v>3</v>
      </c>
      <c r="O188">
        <f t="shared" ca="1" si="12"/>
        <v>0</v>
      </c>
      <c r="P188">
        <f t="shared" si="13"/>
        <v>0</v>
      </c>
      <c r="Q188" t="e">
        <f t="shared" si="14"/>
        <v>#VALUE!</v>
      </c>
    </row>
    <row r="189" spans="1:17" ht="15" customHeight="1" x14ac:dyDescent="0.25">
      <c r="A189">
        <f>'Customers Raw data'!A189</f>
        <v>1188</v>
      </c>
      <c r="B189" t="str">
        <f>'Customers Raw data'!B189</f>
        <v>2024-07-04</v>
      </c>
      <c r="C189" t="str">
        <f>'Customers Raw data'!C189</f>
        <v>Pro</v>
      </c>
      <c r="D189">
        <f>'Customers Raw data'!D189</f>
        <v>200</v>
      </c>
      <c r="E189">
        <f>'Customers Raw data'!E189</f>
        <v>100</v>
      </c>
      <c r="F189" t="str">
        <f>'Customers Raw data'!F189</f>
        <v>2024-09-04</v>
      </c>
      <c r="G189">
        <f>IF('Customers Raw data'!F189&lt;&gt;"",1,0)</f>
        <v>1</v>
      </c>
      <c r="H189">
        <f>IF('Customers Raw data'!F189&lt;&gt;"",YEAR(DATEVALUE('Customers Raw data'!F189)),"")</f>
        <v>2024</v>
      </c>
      <c r="I189">
        <f>IF('Customers Raw data'!F189&lt;&gt;"",MONTH(DATEVALUE('Customers Raw data'!F189)),"")</f>
        <v>9</v>
      </c>
      <c r="J189">
        <f>YEAR(DATEVALUE('Customers Raw data'!B189))</f>
        <v>2024</v>
      </c>
      <c r="K189">
        <f>MONTH(DATEVALUE('Customers Raw data'!B189))</f>
        <v>7</v>
      </c>
      <c r="L189">
        <f ca="1">IF('Customers Raw data'!F189&lt;&gt;"",DATEDIF(DATEVALUE('Customers Raw data'!B189),DATEVALUE('Customers Raw data'!F189),"M"),DATEDIF(DATEVALUE('Customers Raw data'!B189),TODAY(),"M"))</f>
        <v>2</v>
      </c>
      <c r="M189">
        <f t="shared" ca="1" si="10"/>
        <v>400</v>
      </c>
      <c r="N189">
        <f t="shared" si="11"/>
        <v>2</v>
      </c>
      <c r="O189">
        <f t="shared" ca="1" si="12"/>
        <v>1</v>
      </c>
      <c r="P189">
        <f t="shared" si="13"/>
        <v>200</v>
      </c>
      <c r="Q189" t="str">
        <f t="shared" si="14"/>
        <v>2024-09</v>
      </c>
    </row>
    <row r="190" spans="1:17" ht="15" customHeight="1" x14ac:dyDescent="0.25">
      <c r="A190">
        <f>'Customers Raw data'!A190</f>
        <v>1189</v>
      </c>
      <c r="B190" t="str">
        <f>'Customers Raw data'!B190</f>
        <v>2024-10-04</v>
      </c>
      <c r="C190" t="str">
        <f>'Customers Raw data'!C190</f>
        <v>Pro</v>
      </c>
      <c r="D190">
        <f>'Customers Raw data'!D190</f>
        <v>200</v>
      </c>
      <c r="E190">
        <f>'Customers Raw data'!E190</f>
        <v>100</v>
      </c>
      <c r="F190">
        <f>'Customers Raw data'!F190</f>
        <v>0</v>
      </c>
      <c r="G190">
        <f>IF('Customers Raw data'!F190&lt;&gt;"",1,0)</f>
        <v>0</v>
      </c>
      <c r="H190" t="str">
        <f>IF('Customers Raw data'!F190&lt;&gt;"",YEAR(DATEVALUE('Customers Raw data'!F190)),"")</f>
        <v/>
      </c>
      <c r="I190" t="str">
        <f>IF('Customers Raw data'!F190&lt;&gt;"",MONTH(DATEVALUE('Customers Raw data'!F190)),"")</f>
        <v/>
      </c>
      <c r="J190">
        <f>YEAR(DATEVALUE('Customers Raw data'!B190))</f>
        <v>2024</v>
      </c>
      <c r="K190">
        <f>MONTH(DATEVALUE('Customers Raw data'!B190))</f>
        <v>10</v>
      </c>
      <c r="L190">
        <f ca="1">IF('Customers Raw data'!F190&lt;&gt;"",DATEDIF(DATEVALUE('Customers Raw data'!B190),DATEVALUE('Customers Raw data'!F190),"M"),DATEDIF(DATEVALUE('Customers Raw data'!B190),TODAY(),"M"))</f>
        <v>18</v>
      </c>
      <c r="M190">
        <f t="shared" ca="1" si="10"/>
        <v>3600</v>
      </c>
      <c r="N190">
        <f t="shared" si="11"/>
        <v>2</v>
      </c>
      <c r="O190">
        <f t="shared" ca="1" si="12"/>
        <v>0</v>
      </c>
      <c r="P190">
        <f t="shared" si="13"/>
        <v>0</v>
      </c>
      <c r="Q190" t="e">
        <f t="shared" si="14"/>
        <v>#VALUE!</v>
      </c>
    </row>
    <row r="191" spans="1:17" ht="15" customHeight="1" x14ac:dyDescent="0.25">
      <c r="A191">
        <f>'Customers Raw data'!A191</f>
        <v>1190</v>
      </c>
      <c r="B191" t="str">
        <f>'Customers Raw data'!B191</f>
        <v>2025-01-30</v>
      </c>
      <c r="C191" t="str">
        <f>'Customers Raw data'!C191</f>
        <v>Enterprise</v>
      </c>
      <c r="D191">
        <f>'Customers Raw data'!D191</f>
        <v>500</v>
      </c>
      <c r="E191">
        <f>'Customers Raw data'!E191</f>
        <v>200</v>
      </c>
      <c r="F191">
        <f>'Customers Raw data'!F191</f>
        <v>0</v>
      </c>
      <c r="G191">
        <f>IF('Customers Raw data'!F191&lt;&gt;"",1,0)</f>
        <v>0</v>
      </c>
      <c r="H191" t="str">
        <f>IF('Customers Raw data'!F191&lt;&gt;"",YEAR(DATEVALUE('Customers Raw data'!F191)),"")</f>
        <v/>
      </c>
      <c r="I191" t="str">
        <f>IF('Customers Raw data'!F191&lt;&gt;"",MONTH(DATEVALUE('Customers Raw data'!F191)),"")</f>
        <v/>
      </c>
      <c r="J191">
        <f>YEAR(DATEVALUE('Customers Raw data'!B191))</f>
        <v>2025</v>
      </c>
      <c r="K191">
        <f>MONTH(DATEVALUE('Customers Raw data'!B191))</f>
        <v>1</v>
      </c>
      <c r="L191">
        <f ca="1">IF('Customers Raw data'!F191&lt;&gt;"",DATEDIF(DATEVALUE('Customers Raw data'!B191),DATEVALUE('Customers Raw data'!F191),"M"),DATEDIF(DATEVALUE('Customers Raw data'!B191),TODAY(),"M"))</f>
        <v>14</v>
      </c>
      <c r="M191">
        <f t="shared" ca="1" si="10"/>
        <v>7000</v>
      </c>
      <c r="N191">
        <f t="shared" si="11"/>
        <v>3</v>
      </c>
      <c r="O191">
        <f t="shared" ca="1" si="12"/>
        <v>0</v>
      </c>
      <c r="P191">
        <f t="shared" si="13"/>
        <v>0</v>
      </c>
      <c r="Q191" t="e">
        <f t="shared" si="14"/>
        <v>#VALUE!</v>
      </c>
    </row>
    <row r="192" spans="1:17" ht="15" customHeight="1" x14ac:dyDescent="0.25">
      <c r="A192">
        <f>'Customers Raw data'!A192</f>
        <v>1191</v>
      </c>
      <c r="B192" t="str">
        <f>'Customers Raw data'!B192</f>
        <v>2025-04-05</v>
      </c>
      <c r="C192" t="str">
        <f>'Customers Raw data'!C192</f>
        <v>Pro</v>
      </c>
      <c r="D192">
        <f>'Customers Raw data'!D192</f>
        <v>200</v>
      </c>
      <c r="E192">
        <f>'Customers Raw data'!E192</f>
        <v>100</v>
      </c>
      <c r="F192">
        <f>'Customers Raw data'!F192</f>
        <v>0</v>
      </c>
      <c r="G192">
        <f>IF('Customers Raw data'!F192&lt;&gt;"",1,0)</f>
        <v>0</v>
      </c>
      <c r="H192" t="str">
        <f>IF('Customers Raw data'!F192&lt;&gt;"",YEAR(DATEVALUE('Customers Raw data'!F192)),"")</f>
        <v/>
      </c>
      <c r="I192" t="str">
        <f>IF('Customers Raw data'!F192&lt;&gt;"",MONTH(DATEVALUE('Customers Raw data'!F192)),"")</f>
        <v/>
      </c>
      <c r="J192">
        <f>YEAR(DATEVALUE('Customers Raw data'!B192))</f>
        <v>2025</v>
      </c>
      <c r="K192">
        <f>MONTH(DATEVALUE('Customers Raw data'!B192))</f>
        <v>4</v>
      </c>
      <c r="L192">
        <f ca="1">IF('Customers Raw data'!F192&lt;&gt;"",DATEDIF(DATEVALUE('Customers Raw data'!B192),DATEVALUE('Customers Raw data'!F192),"M"),DATEDIF(DATEVALUE('Customers Raw data'!B192),TODAY(),"M"))</f>
        <v>12</v>
      </c>
      <c r="M192">
        <f t="shared" ca="1" si="10"/>
        <v>2400</v>
      </c>
      <c r="N192">
        <f t="shared" si="11"/>
        <v>2</v>
      </c>
      <c r="O192">
        <f t="shared" ca="1" si="12"/>
        <v>0</v>
      </c>
      <c r="P192">
        <f t="shared" si="13"/>
        <v>0</v>
      </c>
      <c r="Q192" t="e">
        <f t="shared" si="14"/>
        <v>#VALUE!</v>
      </c>
    </row>
    <row r="193" spans="1:17" ht="15" customHeight="1" x14ac:dyDescent="0.25">
      <c r="A193">
        <f>'Customers Raw data'!A193</f>
        <v>1192</v>
      </c>
      <c r="B193" t="str">
        <f>'Customers Raw data'!B193</f>
        <v>2025-05-16</v>
      </c>
      <c r="C193" t="str">
        <f>'Customers Raw data'!C193</f>
        <v>Basic</v>
      </c>
      <c r="D193">
        <f>'Customers Raw data'!D193</f>
        <v>50</v>
      </c>
      <c r="E193">
        <f>'Customers Raw data'!E193</f>
        <v>30</v>
      </c>
      <c r="F193">
        <f>'Customers Raw data'!F193</f>
        <v>0</v>
      </c>
      <c r="G193">
        <f>IF('Customers Raw data'!F193&lt;&gt;"",1,0)</f>
        <v>0</v>
      </c>
      <c r="H193" t="str">
        <f>IF('Customers Raw data'!F193&lt;&gt;"",YEAR(DATEVALUE('Customers Raw data'!F193)),"")</f>
        <v/>
      </c>
      <c r="I193" t="str">
        <f>IF('Customers Raw data'!F193&lt;&gt;"",MONTH(DATEVALUE('Customers Raw data'!F193)),"")</f>
        <v/>
      </c>
      <c r="J193">
        <f>YEAR(DATEVALUE('Customers Raw data'!B193))</f>
        <v>2025</v>
      </c>
      <c r="K193">
        <f>MONTH(DATEVALUE('Customers Raw data'!B193))</f>
        <v>5</v>
      </c>
      <c r="L193">
        <f ca="1">IF('Customers Raw data'!F193&lt;&gt;"",DATEDIF(DATEVALUE('Customers Raw data'!B193),DATEVALUE('Customers Raw data'!F193),"M"),DATEDIF(DATEVALUE('Customers Raw data'!B193),TODAY(),"M"))</f>
        <v>10</v>
      </c>
      <c r="M193">
        <f t="shared" ca="1" si="10"/>
        <v>500</v>
      </c>
      <c r="N193">
        <f t="shared" si="11"/>
        <v>1</v>
      </c>
      <c r="O193">
        <f t="shared" ca="1" si="12"/>
        <v>0</v>
      </c>
      <c r="P193">
        <f t="shared" si="13"/>
        <v>0</v>
      </c>
      <c r="Q193" t="e">
        <f t="shared" si="14"/>
        <v>#VALUE!</v>
      </c>
    </row>
    <row r="194" spans="1:17" ht="15" customHeight="1" x14ac:dyDescent="0.25">
      <c r="A194">
        <f>'Customers Raw data'!A194</f>
        <v>1193</v>
      </c>
      <c r="B194" t="str">
        <f>'Customers Raw data'!B194</f>
        <v>2024-01-24</v>
      </c>
      <c r="C194" t="str">
        <f>'Customers Raw data'!C194</f>
        <v>Pro</v>
      </c>
      <c r="D194">
        <f>'Customers Raw data'!D194</f>
        <v>200</v>
      </c>
      <c r="E194">
        <f>'Customers Raw data'!E194</f>
        <v>100</v>
      </c>
      <c r="F194" t="str">
        <f>'Customers Raw data'!F194</f>
        <v>2025-03-28</v>
      </c>
      <c r="G194">
        <f>IF('Customers Raw data'!F194&lt;&gt;"",1,0)</f>
        <v>1</v>
      </c>
      <c r="H194">
        <f>IF('Customers Raw data'!F194&lt;&gt;"",YEAR(DATEVALUE('Customers Raw data'!F194)),"")</f>
        <v>2025</v>
      </c>
      <c r="I194">
        <f>IF('Customers Raw data'!F194&lt;&gt;"",MONTH(DATEVALUE('Customers Raw data'!F194)),"")</f>
        <v>3</v>
      </c>
      <c r="J194">
        <f>YEAR(DATEVALUE('Customers Raw data'!B194))</f>
        <v>2024</v>
      </c>
      <c r="K194">
        <f>MONTH(DATEVALUE('Customers Raw data'!B194))</f>
        <v>1</v>
      </c>
      <c r="L194">
        <f ca="1">IF('Customers Raw data'!F194&lt;&gt;"",DATEDIF(DATEVALUE('Customers Raw data'!B194),DATEVALUE('Customers Raw data'!F194),"M"),DATEDIF(DATEVALUE('Customers Raw data'!B194),TODAY(),"M"))</f>
        <v>14</v>
      </c>
      <c r="M194">
        <f t="shared" ref="M194:M257" ca="1" si="15">D194*L194</f>
        <v>2800</v>
      </c>
      <c r="N194">
        <f t="shared" ref="N194:N257" si="16">IF(C194="Basic",1,IF(C194="Pro",2,IF(C194="Enterprise",3,0)))</f>
        <v>2</v>
      </c>
      <c r="O194">
        <f t="shared" ref="O194:O257" ca="1" si="17">IF(AND(G194=1,L194&lt;6),1,0)</f>
        <v>0</v>
      </c>
      <c r="P194">
        <f t="shared" ref="P194:P257" si="18">IF(G194=1,D194,0)</f>
        <v>200</v>
      </c>
      <c r="Q194" t="str">
        <f t="shared" ref="Q194:Q257" si="19">IF(F194&lt;&gt;"",TEXT(DATEVALUE(F194),"YYYY-MM"),"")</f>
        <v>2025-03</v>
      </c>
    </row>
    <row r="195" spans="1:17" ht="15" customHeight="1" x14ac:dyDescent="0.25">
      <c r="A195">
        <f>'Customers Raw data'!A195</f>
        <v>1194</v>
      </c>
      <c r="B195" t="str">
        <f>'Customers Raw data'!B195</f>
        <v>2025-03-23</v>
      </c>
      <c r="C195" t="str">
        <f>'Customers Raw data'!C195</f>
        <v>Pro</v>
      </c>
      <c r="D195">
        <f>'Customers Raw data'!D195</f>
        <v>200</v>
      </c>
      <c r="E195">
        <f>'Customers Raw data'!E195</f>
        <v>100</v>
      </c>
      <c r="F195">
        <f>'Customers Raw data'!F195</f>
        <v>0</v>
      </c>
      <c r="G195">
        <f>IF('Customers Raw data'!F195&lt;&gt;"",1,0)</f>
        <v>0</v>
      </c>
      <c r="H195" t="str">
        <f>IF('Customers Raw data'!F195&lt;&gt;"",YEAR(DATEVALUE('Customers Raw data'!F195)),"")</f>
        <v/>
      </c>
      <c r="I195" t="str">
        <f>IF('Customers Raw data'!F195&lt;&gt;"",MONTH(DATEVALUE('Customers Raw data'!F195)),"")</f>
        <v/>
      </c>
      <c r="J195">
        <f>YEAR(DATEVALUE('Customers Raw data'!B195))</f>
        <v>2025</v>
      </c>
      <c r="K195">
        <f>MONTH(DATEVALUE('Customers Raw data'!B195))</f>
        <v>3</v>
      </c>
      <c r="L195">
        <f ca="1">IF('Customers Raw data'!F195&lt;&gt;"",DATEDIF(DATEVALUE('Customers Raw data'!B195),DATEVALUE('Customers Raw data'!F195),"M"),DATEDIF(DATEVALUE('Customers Raw data'!B195),TODAY(),"M"))</f>
        <v>12</v>
      </c>
      <c r="M195">
        <f t="shared" ca="1" si="15"/>
        <v>2400</v>
      </c>
      <c r="N195">
        <f t="shared" si="16"/>
        <v>2</v>
      </c>
      <c r="O195">
        <f t="shared" ca="1" si="17"/>
        <v>0</v>
      </c>
      <c r="P195">
        <f t="shared" si="18"/>
        <v>0</v>
      </c>
      <c r="Q195" t="e">
        <f t="shared" si="19"/>
        <v>#VALUE!</v>
      </c>
    </row>
    <row r="196" spans="1:17" ht="15" customHeight="1" x14ac:dyDescent="0.25">
      <c r="A196">
        <f>'Customers Raw data'!A196</f>
        <v>1195</v>
      </c>
      <c r="B196" t="str">
        <f>'Customers Raw data'!B196</f>
        <v>2024-08-23</v>
      </c>
      <c r="C196" t="str">
        <f>'Customers Raw data'!C196</f>
        <v>Enterprise</v>
      </c>
      <c r="D196">
        <f>'Customers Raw data'!D196</f>
        <v>500</v>
      </c>
      <c r="E196">
        <f>'Customers Raw data'!E196</f>
        <v>200</v>
      </c>
      <c r="F196">
        <f>'Customers Raw data'!F196</f>
        <v>0</v>
      </c>
      <c r="G196">
        <f>IF('Customers Raw data'!F196&lt;&gt;"",1,0)</f>
        <v>0</v>
      </c>
      <c r="H196" t="str">
        <f>IF('Customers Raw data'!F196&lt;&gt;"",YEAR(DATEVALUE('Customers Raw data'!F196)),"")</f>
        <v/>
      </c>
      <c r="I196" t="str">
        <f>IF('Customers Raw data'!F196&lt;&gt;"",MONTH(DATEVALUE('Customers Raw data'!F196)),"")</f>
        <v/>
      </c>
      <c r="J196">
        <f>YEAR(DATEVALUE('Customers Raw data'!B196))</f>
        <v>2024</v>
      </c>
      <c r="K196">
        <f>MONTH(DATEVALUE('Customers Raw data'!B196))</f>
        <v>8</v>
      </c>
      <c r="L196">
        <f ca="1">IF('Customers Raw data'!F196&lt;&gt;"",DATEDIF(DATEVALUE('Customers Raw data'!B196),DATEVALUE('Customers Raw data'!F196),"M"),DATEDIF(DATEVALUE('Customers Raw data'!B196),TODAY(),"M"))</f>
        <v>19</v>
      </c>
      <c r="M196">
        <f t="shared" ca="1" si="15"/>
        <v>9500</v>
      </c>
      <c r="N196">
        <f t="shared" si="16"/>
        <v>3</v>
      </c>
      <c r="O196">
        <f t="shared" ca="1" si="17"/>
        <v>0</v>
      </c>
      <c r="P196">
        <f t="shared" si="18"/>
        <v>0</v>
      </c>
      <c r="Q196" t="e">
        <f t="shared" si="19"/>
        <v>#VALUE!</v>
      </c>
    </row>
    <row r="197" spans="1:17" ht="15" customHeight="1" x14ac:dyDescent="0.25">
      <c r="A197">
        <f>'Customers Raw data'!A197</f>
        <v>1196</v>
      </c>
      <c r="B197" t="str">
        <f>'Customers Raw data'!B197</f>
        <v>2024-03-01</v>
      </c>
      <c r="C197" t="str">
        <f>'Customers Raw data'!C197</f>
        <v>Enterprise</v>
      </c>
      <c r="D197">
        <f>'Customers Raw data'!D197</f>
        <v>500</v>
      </c>
      <c r="E197">
        <f>'Customers Raw data'!E197</f>
        <v>200</v>
      </c>
      <c r="F197">
        <f>'Customers Raw data'!F197</f>
        <v>0</v>
      </c>
      <c r="G197">
        <f>IF('Customers Raw data'!F197&lt;&gt;"",1,0)</f>
        <v>0</v>
      </c>
      <c r="H197" t="str">
        <f>IF('Customers Raw data'!F197&lt;&gt;"",YEAR(DATEVALUE('Customers Raw data'!F197)),"")</f>
        <v/>
      </c>
      <c r="I197" t="str">
        <f>IF('Customers Raw data'!F197&lt;&gt;"",MONTH(DATEVALUE('Customers Raw data'!F197)),"")</f>
        <v/>
      </c>
      <c r="J197">
        <f>YEAR(DATEVALUE('Customers Raw data'!B197))</f>
        <v>2024</v>
      </c>
      <c r="K197">
        <f>MONTH(DATEVALUE('Customers Raw data'!B197))</f>
        <v>3</v>
      </c>
      <c r="L197">
        <f ca="1">IF('Customers Raw data'!F197&lt;&gt;"",DATEDIF(DATEVALUE('Customers Raw data'!B197),DATEVALUE('Customers Raw data'!F197),"M"),DATEDIF(DATEVALUE('Customers Raw data'!B197),TODAY(),"M"))</f>
        <v>25</v>
      </c>
      <c r="M197">
        <f t="shared" ca="1" si="15"/>
        <v>12500</v>
      </c>
      <c r="N197">
        <f t="shared" si="16"/>
        <v>3</v>
      </c>
      <c r="O197">
        <f t="shared" ca="1" si="17"/>
        <v>0</v>
      </c>
      <c r="P197">
        <f t="shared" si="18"/>
        <v>0</v>
      </c>
      <c r="Q197" t="e">
        <f t="shared" si="19"/>
        <v>#VALUE!</v>
      </c>
    </row>
    <row r="198" spans="1:17" ht="15" customHeight="1" x14ac:dyDescent="0.25">
      <c r="A198">
        <f>'Customers Raw data'!A198</f>
        <v>1197</v>
      </c>
      <c r="B198" t="str">
        <f>'Customers Raw data'!B198</f>
        <v>2025-03-08</v>
      </c>
      <c r="C198" t="str">
        <f>'Customers Raw data'!C198</f>
        <v>Basic</v>
      </c>
      <c r="D198">
        <f>'Customers Raw data'!D198</f>
        <v>50</v>
      </c>
      <c r="E198">
        <f>'Customers Raw data'!E198</f>
        <v>30</v>
      </c>
      <c r="F198" t="str">
        <f>'Customers Raw data'!F198</f>
        <v>2025-06-23</v>
      </c>
      <c r="G198">
        <f>IF('Customers Raw data'!F198&lt;&gt;"",1,0)</f>
        <v>1</v>
      </c>
      <c r="H198">
        <f>IF('Customers Raw data'!F198&lt;&gt;"",YEAR(DATEVALUE('Customers Raw data'!F198)),"")</f>
        <v>2025</v>
      </c>
      <c r="I198">
        <f>IF('Customers Raw data'!F198&lt;&gt;"",MONTH(DATEVALUE('Customers Raw data'!F198)),"")</f>
        <v>6</v>
      </c>
      <c r="J198">
        <f>YEAR(DATEVALUE('Customers Raw data'!B198))</f>
        <v>2025</v>
      </c>
      <c r="K198">
        <f>MONTH(DATEVALUE('Customers Raw data'!B198))</f>
        <v>3</v>
      </c>
      <c r="L198">
        <f ca="1">IF('Customers Raw data'!F198&lt;&gt;"",DATEDIF(DATEVALUE('Customers Raw data'!B198),DATEVALUE('Customers Raw data'!F198),"M"),DATEDIF(DATEVALUE('Customers Raw data'!B198),TODAY(),"M"))</f>
        <v>3</v>
      </c>
      <c r="M198">
        <f t="shared" ca="1" si="15"/>
        <v>150</v>
      </c>
      <c r="N198">
        <f t="shared" si="16"/>
        <v>1</v>
      </c>
      <c r="O198">
        <f t="shared" ca="1" si="17"/>
        <v>1</v>
      </c>
      <c r="P198">
        <f t="shared" si="18"/>
        <v>50</v>
      </c>
      <c r="Q198" t="str">
        <f t="shared" si="19"/>
        <v>2025-06</v>
      </c>
    </row>
    <row r="199" spans="1:17" ht="15" customHeight="1" x14ac:dyDescent="0.25">
      <c r="A199">
        <f>'Customers Raw data'!A199</f>
        <v>1198</v>
      </c>
      <c r="B199" t="str">
        <f>'Customers Raw data'!B199</f>
        <v>2024-08-02</v>
      </c>
      <c r="C199" t="str">
        <f>'Customers Raw data'!C199</f>
        <v>Pro</v>
      </c>
      <c r="D199">
        <f>'Customers Raw data'!D199</f>
        <v>200</v>
      </c>
      <c r="E199">
        <f>'Customers Raw data'!E199</f>
        <v>100</v>
      </c>
      <c r="F199">
        <f>'Customers Raw data'!F199</f>
        <v>0</v>
      </c>
      <c r="G199">
        <f>IF('Customers Raw data'!F199&lt;&gt;"",1,0)</f>
        <v>0</v>
      </c>
      <c r="H199" t="str">
        <f>IF('Customers Raw data'!F199&lt;&gt;"",YEAR(DATEVALUE('Customers Raw data'!F199)),"")</f>
        <v/>
      </c>
      <c r="I199" t="str">
        <f>IF('Customers Raw data'!F199&lt;&gt;"",MONTH(DATEVALUE('Customers Raw data'!F199)),"")</f>
        <v/>
      </c>
      <c r="J199">
        <f>YEAR(DATEVALUE('Customers Raw data'!B199))</f>
        <v>2024</v>
      </c>
      <c r="K199">
        <f>MONTH(DATEVALUE('Customers Raw data'!B199))</f>
        <v>8</v>
      </c>
      <c r="L199">
        <f ca="1">IF('Customers Raw data'!F199&lt;&gt;"",DATEDIF(DATEVALUE('Customers Raw data'!B199),DATEVALUE('Customers Raw data'!F199),"M"),DATEDIF(DATEVALUE('Customers Raw data'!B199),TODAY(),"M"))</f>
        <v>20</v>
      </c>
      <c r="M199">
        <f t="shared" ca="1" si="15"/>
        <v>4000</v>
      </c>
      <c r="N199">
        <f t="shared" si="16"/>
        <v>2</v>
      </c>
      <c r="O199">
        <f t="shared" ca="1" si="17"/>
        <v>0</v>
      </c>
      <c r="P199">
        <f t="shared" si="18"/>
        <v>0</v>
      </c>
      <c r="Q199" t="e">
        <f t="shared" si="19"/>
        <v>#VALUE!</v>
      </c>
    </row>
    <row r="200" spans="1:17" ht="15" customHeight="1" x14ac:dyDescent="0.25">
      <c r="A200">
        <f>'Customers Raw data'!A200</f>
        <v>1199</v>
      </c>
      <c r="B200" t="str">
        <f>'Customers Raw data'!B200</f>
        <v>2024-11-16</v>
      </c>
      <c r="C200" t="str">
        <f>'Customers Raw data'!C200</f>
        <v>Basic</v>
      </c>
      <c r="D200">
        <f>'Customers Raw data'!D200</f>
        <v>50</v>
      </c>
      <c r="E200">
        <f>'Customers Raw data'!E200</f>
        <v>30</v>
      </c>
      <c r="F200">
        <f>'Customers Raw data'!F200</f>
        <v>0</v>
      </c>
      <c r="G200">
        <f>IF('Customers Raw data'!F200&lt;&gt;"",1,0)</f>
        <v>0</v>
      </c>
      <c r="H200" t="str">
        <f>IF('Customers Raw data'!F200&lt;&gt;"",YEAR(DATEVALUE('Customers Raw data'!F200)),"")</f>
        <v/>
      </c>
      <c r="I200" t="str">
        <f>IF('Customers Raw data'!F200&lt;&gt;"",MONTH(DATEVALUE('Customers Raw data'!F200)),"")</f>
        <v/>
      </c>
      <c r="J200">
        <f>YEAR(DATEVALUE('Customers Raw data'!B200))</f>
        <v>2024</v>
      </c>
      <c r="K200">
        <f>MONTH(DATEVALUE('Customers Raw data'!B200))</f>
        <v>11</v>
      </c>
      <c r="L200">
        <f ca="1">IF('Customers Raw data'!F200&lt;&gt;"",DATEDIF(DATEVALUE('Customers Raw data'!B200),DATEVALUE('Customers Raw data'!F200),"M"),DATEDIF(DATEVALUE('Customers Raw data'!B200),TODAY(),"M"))</f>
        <v>16</v>
      </c>
      <c r="M200">
        <f t="shared" ca="1" si="15"/>
        <v>800</v>
      </c>
      <c r="N200">
        <f t="shared" si="16"/>
        <v>1</v>
      </c>
      <c r="O200">
        <f t="shared" ca="1" si="17"/>
        <v>0</v>
      </c>
      <c r="P200">
        <f t="shared" si="18"/>
        <v>0</v>
      </c>
      <c r="Q200" t="e">
        <f t="shared" si="19"/>
        <v>#VALUE!</v>
      </c>
    </row>
    <row r="201" spans="1:17" ht="15" customHeight="1" x14ac:dyDescent="0.25">
      <c r="A201">
        <f>'Customers Raw data'!A201</f>
        <v>1200</v>
      </c>
      <c r="B201" t="str">
        <f>'Customers Raw data'!B201</f>
        <v>2024-03-25</v>
      </c>
      <c r="C201" t="str">
        <f>'Customers Raw data'!C201</f>
        <v>Pro</v>
      </c>
      <c r="D201">
        <f>'Customers Raw data'!D201</f>
        <v>200</v>
      </c>
      <c r="E201">
        <f>'Customers Raw data'!E201</f>
        <v>100</v>
      </c>
      <c r="F201" t="str">
        <f>'Customers Raw data'!F201</f>
        <v>2025-06-17</v>
      </c>
      <c r="G201">
        <f>IF('Customers Raw data'!F201&lt;&gt;"",1,0)</f>
        <v>1</v>
      </c>
      <c r="H201">
        <f>IF('Customers Raw data'!F201&lt;&gt;"",YEAR(DATEVALUE('Customers Raw data'!F201)),"")</f>
        <v>2025</v>
      </c>
      <c r="I201">
        <f>IF('Customers Raw data'!F201&lt;&gt;"",MONTH(DATEVALUE('Customers Raw data'!F201)),"")</f>
        <v>6</v>
      </c>
      <c r="J201">
        <f>YEAR(DATEVALUE('Customers Raw data'!B201))</f>
        <v>2024</v>
      </c>
      <c r="K201">
        <f>MONTH(DATEVALUE('Customers Raw data'!B201))</f>
        <v>3</v>
      </c>
      <c r="L201">
        <f ca="1">IF('Customers Raw data'!F201&lt;&gt;"",DATEDIF(DATEVALUE('Customers Raw data'!B201),DATEVALUE('Customers Raw data'!F201),"M"),DATEDIF(DATEVALUE('Customers Raw data'!B201),TODAY(),"M"))</f>
        <v>14</v>
      </c>
      <c r="M201">
        <f t="shared" ca="1" si="15"/>
        <v>2800</v>
      </c>
      <c r="N201">
        <f t="shared" si="16"/>
        <v>2</v>
      </c>
      <c r="O201">
        <f t="shared" ca="1" si="17"/>
        <v>0</v>
      </c>
      <c r="P201">
        <f t="shared" si="18"/>
        <v>200</v>
      </c>
      <c r="Q201" t="str">
        <f t="shared" si="19"/>
        <v>2025-06</v>
      </c>
    </row>
    <row r="202" spans="1:17" ht="15" customHeight="1" x14ac:dyDescent="0.25">
      <c r="A202">
        <f>'Customers Raw data'!A202</f>
        <v>1201</v>
      </c>
      <c r="B202" t="str">
        <f>'Customers Raw data'!B202</f>
        <v>2025-02-15</v>
      </c>
      <c r="C202" t="str">
        <f>'Customers Raw data'!C202</f>
        <v>Pro</v>
      </c>
      <c r="D202">
        <f>'Customers Raw data'!D202</f>
        <v>200</v>
      </c>
      <c r="E202">
        <f>'Customers Raw data'!E202</f>
        <v>100</v>
      </c>
      <c r="F202">
        <f>'Customers Raw data'!F202</f>
        <v>0</v>
      </c>
      <c r="G202">
        <f>IF('Customers Raw data'!F202&lt;&gt;"",1,0)</f>
        <v>0</v>
      </c>
      <c r="H202" t="str">
        <f>IF('Customers Raw data'!F202&lt;&gt;"",YEAR(DATEVALUE('Customers Raw data'!F202)),"")</f>
        <v/>
      </c>
      <c r="I202" t="str">
        <f>IF('Customers Raw data'!F202&lt;&gt;"",MONTH(DATEVALUE('Customers Raw data'!F202)),"")</f>
        <v/>
      </c>
      <c r="J202">
        <f>YEAR(DATEVALUE('Customers Raw data'!B202))</f>
        <v>2025</v>
      </c>
      <c r="K202">
        <f>MONTH(DATEVALUE('Customers Raw data'!B202))</f>
        <v>2</v>
      </c>
      <c r="L202">
        <f ca="1">IF('Customers Raw data'!F202&lt;&gt;"",DATEDIF(DATEVALUE('Customers Raw data'!B202),DATEVALUE('Customers Raw data'!F202),"M"),DATEDIF(DATEVALUE('Customers Raw data'!B202),TODAY(),"M"))</f>
        <v>13</v>
      </c>
      <c r="M202">
        <f t="shared" ca="1" si="15"/>
        <v>2600</v>
      </c>
      <c r="N202">
        <f t="shared" si="16"/>
        <v>2</v>
      </c>
      <c r="O202">
        <f t="shared" ca="1" si="17"/>
        <v>0</v>
      </c>
      <c r="P202">
        <f t="shared" si="18"/>
        <v>0</v>
      </c>
      <c r="Q202" t="e">
        <f t="shared" si="19"/>
        <v>#VALUE!</v>
      </c>
    </row>
    <row r="203" spans="1:17" ht="15" customHeight="1" x14ac:dyDescent="0.25">
      <c r="A203">
        <f>'Customers Raw data'!A203</f>
        <v>1202</v>
      </c>
      <c r="B203" t="str">
        <f>'Customers Raw data'!B203</f>
        <v>2024-03-28</v>
      </c>
      <c r="C203" t="str">
        <f>'Customers Raw data'!C203</f>
        <v>Enterprise</v>
      </c>
      <c r="D203">
        <f>'Customers Raw data'!D203</f>
        <v>500</v>
      </c>
      <c r="E203">
        <f>'Customers Raw data'!E203</f>
        <v>200</v>
      </c>
      <c r="F203">
        <f>'Customers Raw data'!F203</f>
        <v>0</v>
      </c>
      <c r="G203">
        <f>IF('Customers Raw data'!F203&lt;&gt;"",1,0)</f>
        <v>0</v>
      </c>
      <c r="H203" t="str">
        <f>IF('Customers Raw data'!F203&lt;&gt;"",YEAR(DATEVALUE('Customers Raw data'!F203)),"")</f>
        <v/>
      </c>
      <c r="I203" t="str">
        <f>IF('Customers Raw data'!F203&lt;&gt;"",MONTH(DATEVALUE('Customers Raw data'!F203)),"")</f>
        <v/>
      </c>
      <c r="J203">
        <f>YEAR(DATEVALUE('Customers Raw data'!B203))</f>
        <v>2024</v>
      </c>
      <c r="K203">
        <f>MONTH(DATEVALUE('Customers Raw data'!B203))</f>
        <v>3</v>
      </c>
      <c r="L203">
        <f ca="1">IF('Customers Raw data'!F203&lt;&gt;"",DATEDIF(DATEVALUE('Customers Raw data'!B203),DATEVALUE('Customers Raw data'!F203),"M"),DATEDIF(DATEVALUE('Customers Raw data'!B203),TODAY(),"M"))</f>
        <v>24</v>
      </c>
      <c r="M203">
        <f t="shared" ca="1" si="15"/>
        <v>12000</v>
      </c>
      <c r="N203">
        <f t="shared" si="16"/>
        <v>3</v>
      </c>
      <c r="O203">
        <f t="shared" ca="1" si="17"/>
        <v>0</v>
      </c>
      <c r="P203">
        <f t="shared" si="18"/>
        <v>0</v>
      </c>
      <c r="Q203" t="e">
        <f t="shared" si="19"/>
        <v>#VALUE!</v>
      </c>
    </row>
    <row r="204" spans="1:17" ht="15" customHeight="1" x14ac:dyDescent="0.25">
      <c r="A204">
        <f>'Customers Raw data'!A204</f>
        <v>1203</v>
      </c>
      <c r="B204" t="str">
        <f>'Customers Raw data'!B204</f>
        <v>2024-06-26</v>
      </c>
      <c r="C204" t="str">
        <f>'Customers Raw data'!C204</f>
        <v>Pro</v>
      </c>
      <c r="D204">
        <f>'Customers Raw data'!D204</f>
        <v>200</v>
      </c>
      <c r="E204">
        <f>'Customers Raw data'!E204</f>
        <v>100</v>
      </c>
      <c r="F204">
        <f>'Customers Raw data'!F204</f>
        <v>0</v>
      </c>
      <c r="G204">
        <f>IF('Customers Raw data'!F204&lt;&gt;"",1,0)</f>
        <v>0</v>
      </c>
      <c r="H204" t="str">
        <f>IF('Customers Raw data'!F204&lt;&gt;"",YEAR(DATEVALUE('Customers Raw data'!F204)),"")</f>
        <v/>
      </c>
      <c r="I204" t="str">
        <f>IF('Customers Raw data'!F204&lt;&gt;"",MONTH(DATEVALUE('Customers Raw data'!F204)),"")</f>
        <v/>
      </c>
      <c r="J204">
        <f>YEAR(DATEVALUE('Customers Raw data'!B204))</f>
        <v>2024</v>
      </c>
      <c r="K204">
        <f>MONTH(DATEVALUE('Customers Raw data'!B204))</f>
        <v>6</v>
      </c>
      <c r="L204">
        <f ca="1">IF('Customers Raw data'!F204&lt;&gt;"",DATEDIF(DATEVALUE('Customers Raw data'!B204),DATEVALUE('Customers Raw data'!F204),"M"),DATEDIF(DATEVALUE('Customers Raw data'!B204),TODAY(),"M"))</f>
        <v>21</v>
      </c>
      <c r="M204">
        <f t="shared" ca="1" si="15"/>
        <v>4200</v>
      </c>
      <c r="N204">
        <f t="shared" si="16"/>
        <v>2</v>
      </c>
      <c r="O204">
        <f t="shared" ca="1" si="17"/>
        <v>0</v>
      </c>
      <c r="P204">
        <f t="shared" si="18"/>
        <v>0</v>
      </c>
      <c r="Q204" t="e">
        <f t="shared" si="19"/>
        <v>#VALUE!</v>
      </c>
    </row>
    <row r="205" spans="1:17" ht="15" customHeight="1" x14ac:dyDescent="0.25">
      <c r="A205">
        <f>'Customers Raw data'!A205</f>
        <v>1204</v>
      </c>
      <c r="B205" t="str">
        <f>'Customers Raw data'!B205</f>
        <v>2024-01-05</v>
      </c>
      <c r="C205" t="str">
        <f>'Customers Raw data'!C205</f>
        <v>Enterprise</v>
      </c>
      <c r="D205">
        <f>'Customers Raw data'!D205</f>
        <v>500</v>
      </c>
      <c r="E205">
        <f>'Customers Raw data'!E205</f>
        <v>200</v>
      </c>
      <c r="F205">
        <f>'Customers Raw data'!F205</f>
        <v>0</v>
      </c>
      <c r="G205">
        <f>IF('Customers Raw data'!F205&lt;&gt;"",1,0)</f>
        <v>0</v>
      </c>
      <c r="H205" t="str">
        <f>IF('Customers Raw data'!F205&lt;&gt;"",YEAR(DATEVALUE('Customers Raw data'!F205)),"")</f>
        <v/>
      </c>
      <c r="I205" t="str">
        <f>IF('Customers Raw data'!F205&lt;&gt;"",MONTH(DATEVALUE('Customers Raw data'!F205)),"")</f>
        <v/>
      </c>
      <c r="J205">
        <f>YEAR(DATEVALUE('Customers Raw data'!B205))</f>
        <v>2024</v>
      </c>
      <c r="K205">
        <f>MONTH(DATEVALUE('Customers Raw data'!B205))</f>
        <v>1</v>
      </c>
      <c r="L205">
        <f ca="1">IF('Customers Raw data'!F205&lt;&gt;"",DATEDIF(DATEVALUE('Customers Raw data'!B205),DATEVALUE('Customers Raw data'!F205),"M"),DATEDIF(DATEVALUE('Customers Raw data'!B205),TODAY(),"M"))</f>
        <v>27</v>
      </c>
      <c r="M205">
        <f t="shared" ca="1" si="15"/>
        <v>13500</v>
      </c>
      <c r="N205">
        <f t="shared" si="16"/>
        <v>3</v>
      </c>
      <c r="O205">
        <f t="shared" ca="1" si="17"/>
        <v>0</v>
      </c>
      <c r="P205">
        <f t="shared" si="18"/>
        <v>0</v>
      </c>
      <c r="Q205" t="e">
        <f t="shared" si="19"/>
        <v>#VALUE!</v>
      </c>
    </row>
    <row r="206" spans="1:17" ht="15" customHeight="1" x14ac:dyDescent="0.25">
      <c r="A206">
        <f>'Customers Raw data'!A206</f>
        <v>1205</v>
      </c>
      <c r="B206" t="str">
        <f>'Customers Raw data'!B206</f>
        <v>2025-06-26</v>
      </c>
      <c r="C206" t="str">
        <f>'Customers Raw data'!C206</f>
        <v>Pro</v>
      </c>
      <c r="D206">
        <f>'Customers Raw data'!D206</f>
        <v>200</v>
      </c>
      <c r="E206">
        <f>'Customers Raw data'!E206</f>
        <v>100</v>
      </c>
      <c r="F206">
        <f>'Customers Raw data'!F206</f>
        <v>0</v>
      </c>
      <c r="G206">
        <f>IF('Customers Raw data'!F206&lt;&gt;"",1,0)</f>
        <v>0</v>
      </c>
      <c r="H206" t="str">
        <f>IF('Customers Raw data'!F206&lt;&gt;"",YEAR(DATEVALUE('Customers Raw data'!F206)),"")</f>
        <v/>
      </c>
      <c r="I206" t="str">
        <f>IF('Customers Raw data'!F206&lt;&gt;"",MONTH(DATEVALUE('Customers Raw data'!F206)),"")</f>
        <v/>
      </c>
      <c r="J206">
        <f>YEAR(DATEVALUE('Customers Raw data'!B206))</f>
        <v>2025</v>
      </c>
      <c r="K206">
        <f>MONTH(DATEVALUE('Customers Raw data'!B206))</f>
        <v>6</v>
      </c>
      <c r="L206">
        <f ca="1">IF('Customers Raw data'!F206&lt;&gt;"",DATEDIF(DATEVALUE('Customers Raw data'!B206),DATEVALUE('Customers Raw data'!F206),"M"),DATEDIF(DATEVALUE('Customers Raw data'!B206),TODAY(),"M"))</f>
        <v>9</v>
      </c>
      <c r="M206">
        <f t="shared" ca="1" si="15"/>
        <v>1800</v>
      </c>
      <c r="N206">
        <f t="shared" si="16"/>
        <v>2</v>
      </c>
      <c r="O206">
        <f t="shared" ca="1" si="17"/>
        <v>0</v>
      </c>
      <c r="P206">
        <f t="shared" si="18"/>
        <v>0</v>
      </c>
      <c r="Q206" t="e">
        <f t="shared" si="19"/>
        <v>#VALUE!</v>
      </c>
    </row>
    <row r="207" spans="1:17" ht="15" customHeight="1" x14ac:dyDescent="0.25">
      <c r="A207">
        <f>'Customers Raw data'!A207</f>
        <v>1206</v>
      </c>
      <c r="B207" t="str">
        <f>'Customers Raw data'!B207</f>
        <v>2025-06-07</v>
      </c>
      <c r="C207" t="str">
        <f>'Customers Raw data'!C207</f>
        <v>Pro</v>
      </c>
      <c r="D207">
        <f>'Customers Raw data'!D207</f>
        <v>200</v>
      </c>
      <c r="E207">
        <f>'Customers Raw data'!E207</f>
        <v>100</v>
      </c>
      <c r="F207">
        <f>'Customers Raw data'!F207</f>
        <v>0</v>
      </c>
      <c r="G207">
        <f>IF('Customers Raw data'!F207&lt;&gt;"",1,0)</f>
        <v>0</v>
      </c>
      <c r="H207" t="str">
        <f>IF('Customers Raw data'!F207&lt;&gt;"",YEAR(DATEVALUE('Customers Raw data'!F207)),"")</f>
        <v/>
      </c>
      <c r="I207" t="str">
        <f>IF('Customers Raw data'!F207&lt;&gt;"",MONTH(DATEVALUE('Customers Raw data'!F207)),"")</f>
        <v/>
      </c>
      <c r="J207">
        <f>YEAR(DATEVALUE('Customers Raw data'!B207))</f>
        <v>2025</v>
      </c>
      <c r="K207">
        <f>MONTH(DATEVALUE('Customers Raw data'!B207))</f>
        <v>6</v>
      </c>
      <c r="L207">
        <f ca="1">IF('Customers Raw data'!F207&lt;&gt;"",DATEDIF(DATEVALUE('Customers Raw data'!B207),DATEVALUE('Customers Raw data'!F207),"M"),DATEDIF(DATEVALUE('Customers Raw data'!B207),TODAY(),"M"))</f>
        <v>10</v>
      </c>
      <c r="M207">
        <f t="shared" ca="1" si="15"/>
        <v>2000</v>
      </c>
      <c r="N207">
        <f t="shared" si="16"/>
        <v>2</v>
      </c>
      <c r="O207">
        <f t="shared" ca="1" si="17"/>
        <v>0</v>
      </c>
      <c r="P207">
        <f t="shared" si="18"/>
        <v>0</v>
      </c>
      <c r="Q207" t="e">
        <f t="shared" si="19"/>
        <v>#VALUE!</v>
      </c>
    </row>
    <row r="208" spans="1:17" ht="15" customHeight="1" x14ac:dyDescent="0.25">
      <c r="A208">
        <f>'Customers Raw data'!A208</f>
        <v>1207</v>
      </c>
      <c r="B208" t="str">
        <f>'Customers Raw data'!B208</f>
        <v>2025-02-07</v>
      </c>
      <c r="C208" t="str">
        <f>'Customers Raw data'!C208</f>
        <v>Basic</v>
      </c>
      <c r="D208">
        <f>'Customers Raw data'!D208</f>
        <v>50</v>
      </c>
      <c r="E208">
        <f>'Customers Raw data'!E208</f>
        <v>30</v>
      </c>
      <c r="F208">
        <f>'Customers Raw data'!F208</f>
        <v>0</v>
      </c>
      <c r="G208">
        <f>IF('Customers Raw data'!F208&lt;&gt;"",1,0)</f>
        <v>0</v>
      </c>
      <c r="H208" t="str">
        <f>IF('Customers Raw data'!F208&lt;&gt;"",YEAR(DATEVALUE('Customers Raw data'!F208)),"")</f>
        <v/>
      </c>
      <c r="I208" t="str">
        <f>IF('Customers Raw data'!F208&lt;&gt;"",MONTH(DATEVALUE('Customers Raw data'!F208)),"")</f>
        <v/>
      </c>
      <c r="J208">
        <f>YEAR(DATEVALUE('Customers Raw data'!B208))</f>
        <v>2025</v>
      </c>
      <c r="K208">
        <f>MONTH(DATEVALUE('Customers Raw data'!B208))</f>
        <v>2</v>
      </c>
      <c r="L208">
        <f ca="1">IF('Customers Raw data'!F208&lt;&gt;"",DATEDIF(DATEVALUE('Customers Raw data'!B208),DATEVALUE('Customers Raw data'!F208),"M"),DATEDIF(DATEVALUE('Customers Raw data'!B208),TODAY(),"M"))</f>
        <v>14</v>
      </c>
      <c r="M208">
        <f t="shared" ca="1" si="15"/>
        <v>700</v>
      </c>
      <c r="N208">
        <f t="shared" si="16"/>
        <v>1</v>
      </c>
      <c r="O208">
        <f t="shared" ca="1" si="17"/>
        <v>0</v>
      </c>
      <c r="P208">
        <f t="shared" si="18"/>
        <v>0</v>
      </c>
      <c r="Q208" t="e">
        <f t="shared" si="19"/>
        <v>#VALUE!</v>
      </c>
    </row>
    <row r="209" spans="1:17" ht="15" customHeight="1" x14ac:dyDescent="0.25">
      <c r="A209">
        <f>'Customers Raw data'!A209</f>
        <v>1208</v>
      </c>
      <c r="B209" t="str">
        <f>'Customers Raw data'!B209</f>
        <v>2025-04-18</v>
      </c>
      <c r="C209" t="str">
        <f>'Customers Raw data'!C209</f>
        <v>Pro</v>
      </c>
      <c r="D209">
        <f>'Customers Raw data'!D209</f>
        <v>200</v>
      </c>
      <c r="E209">
        <f>'Customers Raw data'!E209</f>
        <v>100</v>
      </c>
      <c r="F209">
        <f>'Customers Raw data'!F209</f>
        <v>0</v>
      </c>
      <c r="G209">
        <f>IF('Customers Raw data'!F209&lt;&gt;"",1,0)</f>
        <v>0</v>
      </c>
      <c r="H209" t="str">
        <f>IF('Customers Raw data'!F209&lt;&gt;"",YEAR(DATEVALUE('Customers Raw data'!F209)),"")</f>
        <v/>
      </c>
      <c r="I209" t="str">
        <f>IF('Customers Raw data'!F209&lt;&gt;"",MONTH(DATEVALUE('Customers Raw data'!F209)),"")</f>
        <v/>
      </c>
      <c r="J209">
        <f>YEAR(DATEVALUE('Customers Raw data'!B209))</f>
        <v>2025</v>
      </c>
      <c r="K209">
        <f>MONTH(DATEVALUE('Customers Raw data'!B209))</f>
        <v>4</v>
      </c>
      <c r="L209">
        <f ca="1">IF('Customers Raw data'!F209&lt;&gt;"",DATEDIF(DATEVALUE('Customers Raw data'!B209),DATEVALUE('Customers Raw data'!F209),"M"),DATEDIF(DATEVALUE('Customers Raw data'!B209),TODAY(),"M"))</f>
        <v>11</v>
      </c>
      <c r="M209">
        <f t="shared" ca="1" si="15"/>
        <v>2200</v>
      </c>
      <c r="N209">
        <f t="shared" si="16"/>
        <v>2</v>
      </c>
      <c r="O209">
        <f t="shared" ca="1" si="17"/>
        <v>0</v>
      </c>
      <c r="P209">
        <f t="shared" si="18"/>
        <v>0</v>
      </c>
      <c r="Q209" t="e">
        <f t="shared" si="19"/>
        <v>#VALUE!</v>
      </c>
    </row>
    <row r="210" spans="1:17" ht="15" customHeight="1" x14ac:dyDescent="0.25">
      <c r="A210">
        <f>'Customers Raw data'!A210</f>
        <v>1209</v>
      </c>
      <c r="B210" t="str">
        <f>'Customers Raw data'!B210</f>
        <v>2024-01-07</v>
      </c>
      <c r="C210" t="str">
        <f>'Customers Raw data'!C210</f>
        <v>Basic</v>
      </c>
      <c r="D210">
        <f>'Customers Raw data'!D210</f>
        <v>50</v>
      </c>
      <c r="E210">
        <f>'Customers Raw data'!E210</f>
        <v>30</v>
      </c>
      <c r="F210">
        <f>'Customers Raw data'!F210</f>
        <v>0</v>
      </c>
      <c r="G210">
        <f>IF('Customers Raw data'!F210&lt;&gt;"",1,0)</f>
        <v>0</v>
      </c>
      <c r="H210" t="str">
        <f>IF('Customers Raw data'!F210&lt;&gt;"",YEAR(DATEVALUE('Customers Raw data'!F210)),"")</f>
        <v/>
      </c>
      <c r="I210" t="str">
        <f>IF('Customers Raw data'!F210&lt;&gt;"",MONTH(DATEVALUE('Customers Raw data'!F210)),"")</f>
        <v/>
      </c>
      <c r="J210">
        <f>YEAR(DATEVALUE('Customers Raw data'!B210))</f>
        <v>2024</v>
      </c>
      <c r="K210">
        <f>MONTH(DATEVALUE('Customers Raw data'!B210))</f>
        <v>1</v>
      </c>
      <c r="L210">
        <f ca="1">IF('Customers Raw data'!F210&lt;&gt;"",DATEDIF(DATEVALUE('Customers Raw data'!B210),DATEVALUE('Customers Raw data'!F210),"M"),DATEDIF(DATEVALUE('Customers Raw data'!B210),TODAY(),"M"))</f>
        <v>27</v>
      </c>
      <c r="M210">
        <f t="shared" ca="1" si="15"/>
        <v>1350</v>
      </c>
      <c r="N210">
        <f t="shared" si="16"/>
        <v>1</v>
      </c>
      <c r="O210">
        <f t="shared" ca="1" si="17"/>
        <v>0</v>
      </c>
      <c r="P210">
        <f t="shared" si="18"/>
        <v>0</v>
      </c>
      <c r="Q210" t="e">
        <f t="shared" si="19"/>
        <v>#VALUE!</v>
      </c>
    </row>
    <row r="211" spans="1:17" ht="15" customHeight="1" x14ac:dyDescent="0.25">
      <c r="A211">
        <f>'Customers Raw data'!A211</f>
        <v>1210</v>
      </c>
      <c r="B211" t="str">
        <f>'Customers Raw data'!B211</f>
        <v>2024-08-09</v>
      </c>
      <c r="C211" t="str">
        <f>'Customers Raw data'!C211</f>
        <v>Enterprise</v>
      </c>
      <c r="D211">
        <f>'Customers Raw data'!D211</f>
        <v>500</v>
      </c>
      <c r="E211">
        <f>'Customers Raw data'!E211</f>
        <v>200</v>
      </c>
      <c r="F211" t="str">
        <f>'Customers Raw data'!F211</f>
        <v>2025-03-08</v>
      </c>
      <c r="G211">
        <f>IF('Customers Raw data'!F211&lt;&gt;"",1,0)</f>
        <v>1</v>
      </c>
      <c r="H211">
        <f>IF('Customers Raw data'!F211&lt;&gt;"",YEAR(DATEVALUE('Customers Raw data'!F211)),"")</f>
        <v>2025</v>
      </c>
      <c r="I211">
        <f>IF('Customers Raw data'!F211&lt;&gt;"",MONTH(DATEVALUE('Customers Raw data'!F211)),"")</f>
        <v>3</v>
      </c>
      <c r="J211">
        <f>YEAR(DATEVALUE('Customers Raw data'!B211))</f>
        <v>2024</v>
      </c>
      <c r="K211">
        <f>MONTH(DATEVALUE('Customers Raw data'!B211))</f>
        <v>8</v>
      </c>
      <c r="L211">
        <f ca="1">IF('Customers Raw data'!F211&lt;&gt;"",DATEDIF(DATEVALUE('Customers Raw data'!B211),DATEVALUE('Customers Raw data'!F211),"M"),DATEDIF(DATEVALUE('Customers Raw data'!B211),TODAY(),"M"))</f>
        <v>6</v>
      </c>
      <c r="M211">
        <f t="shared" ca="1" si="15"/>
        <v>3000</v>
      </c>
      <c r="N211">
        <f t="shared" si="16"/>
        <v>3</v>
      </c>
      <c r="O211">
        <f t="shared" ca="1" si="17"/>
        <v>0</v>
      </c>
      <c r="P211">
        <f t="shared" si="18"/>
        <v>500</v>
      </c>
      <c r="Q211" t="str">
        <f t="shared" si="19"/>
        <v>2025-03</v>
      </c>
    </row>
    <row r="212" spans="1:17" ht="15" customHeight="1" x14ac:dyDescent="0.25">
      <c r="A212">
        <f>'Customers Raw data'!A212</f>
        <v>1211</v>
      </c>
      <c r="B212" t="str">
        <f>'Customers Raw data'!B212</f>
        <v>2025-03-20</v>
      </c>
      <c r="C212" t="str">
        <f>'Customers Raw data'!C212</f>
        <v>Pro</v>
      </c>
      <c r="D212">
        <f>'Customers Raw data'!D212</f>
        <v>200</v>
      </c>
      <c r="E212">
        <f>'Customers Raw data'!E212</f>
        <v>100</v>
      </c>
      <c r="F212">
        <f>'Customers Raw data'!F212</f>
        <v>0</v>
      </c>
      <c r="G212">
        <f>IF('Customers Raw data'!F212&lt;&gt;"",1,0)</f>
        <v>0</v>
      </c>
      <c r="H212" t="str">
        <f>IF('Customers Raw data'!F212&lt;&gt;"",YEAR(DATEVALUE('Customers Raw data'!F212)),"")</f>
        <v/>
      </c>
      <c r="I212" t="str">
        <f>IF('Customers Raw data'!F212&lt;&gt;"",MONTH(DATEVALUE('Customers Raw data'!F212)),"")</f>
        <v/>
      </c>
      <c r="J212">
        <f>YEAR(DATEVALUE('Customers Raw data'!B212))</f>
        <v>2025</v>
      </c>
      <c r="K212">
        <f>MONTH(DATEVALUE('Customers Raw data'!B212))</f>
        <v>3</v>
      </c>
      <c r="L212">
        <f ca="1">IF('Customers Raw data'!F212&lt;&gt;"",DATEDIF(DATEVALUE('Customers Raw data'!B212),DATEVALUE('Customers Raw data'!F212),"M"),DATEDIF(DATEVALUE('Customers Raw data'!B212),TODAY(),"M"))</f>
        <v>12</v>
      </c>
      <c r="M212">
        <f t="shared" ca="1" si="15"/>
        <v>2400</v>
      </c>
      <c r="N212">
        <f t="shared" si="16"/>
        <v>2</v>
      </c>
      <c r="O212">
        <f t="shared" ca="1" si="17"/>
        <v>0</v>
      </c>
      <c r="P212">
        <f t="shared" si="18"/>
        <v>0</v>
      </c>
      <c r="Q212" t="e">
        <f t="shared" si="19"/>
        <v>#VALUE!</v>
      </c>
    </row>
    <row r="213" spans="1:17" ht="15" customHeight="1" x14ac:dyDescent="0.25">
      <c r="A213">
        <f>'Customers Raw data'!A213</f>
        <v>1212</v>
      </c>
      <c r="B213" t="str">
        <f>'Customers Raw data'!B213</f>
        <v>2025-04-27</v>
      </c>
      <c r="C213" t="str">
        <f>'Customers Raw data'!C213</f>
        <v>Basic</v>
      </c>
      <c r="D213">
        <f>'Customers Raw data'!D213</f>
        <v>50</v>
      </c>
      <c r="E213">
        <f>'Customers Raw data'!E213</f>
        <v>30</v>
      </c>
      <c r="F213">
        <f>'Customers Raw data'!F213</f>
        <v>0</v>
      </c>
      <c r="G213">
        <f>IF('Customers Raw data'!F213&lt;&gt;"",1,0)</f>
        <v>0</v>
      </c>
      <c r="H213" t="str">
        <f>IF('Customers Raw data'!F213&lt;&gt;"",YEAR(DATEVALUE('Customers Raw data'!F213)),"")</f>
        <v/>
      </c>
      <c r="I213" t="str">
        <f>IF('Customers Raw data'!F213&lt;&gt;"",MONTH(DATEVALUE('Customers Raw data'!F213)),"")</f>
        <v/>
      </c>
      <c r="J213">
        <f>YEAR(DATEVALUE('Customers Raw data'!B213))</f>
        <v>2025</v>
      </c>
      <c r="K213">
        <f>MONTH(DATEVALUE('Customers Raw data'!B213))</f>
        <v>4</v>
      </c>
      <c r="L213">
        <f ca="1">IF('Customers Raw data'!F213&lt;&gt;"",DATEDIF(DATEVALUE('Customers Raw data'!B213),DATEVALUE('Customers Raw data'!F213),"M"),DATEDIF(DATEVALUE('Customers Raw data'!B213),TODAY(),"M"))</f>
        <v>11</v>
      </c>
      <c r="M213">
        <f t="shared" ca="1" si="15"/>
        <v>550</v>
      </c>
      <c r="N213">
        <f t="shared" si="16"/>
        <v>1</v>
      </c>
      <c r="O213">
        <f t="shared" ca="1" si="17"/>
        <v>0</v>
      </c>
      <c r="P213">
        <f t="shared" si="18"/>
        <v>0</v>
      </c>
      <c r="Q213" t="e">
        <f t="shared" si="19"/>
        <v>#VALUE!</v>
      </c>
    </row>
    <row r="214" spans="1:17" ht="15" customHeight="1" x14ac:dyDescent="0.25">
      <c r="A214">
        <f>'Customers Raw data'!A214</f>
        <v>1213</v>
      </c>
      <c r="B214" t="str">
        <f>'Customers Raw data'!B214</f>
        <v>2024-09-05</v>
      </c>
      <c r="C214" t="str">
        <f>'Customers Raw data'!C214</f>
        <v>Enterprise</v>
      </c>
      <c r="D214">
        <f>'Customers Raw data'!D214</f>
        <v>500</v>
      </c>
      <c r="E214">
        <f>'Customers Raw data'!E214</f>
        <v>200</v>
      </c>
      <c r="F214">
        <f>'Customers Raw data'!F214</f>
        <v>0</v>
      </c>
      <c r="G214">
        <f>IF('Customers Raw data'!F214&lt;&gt;"",1,0)</f>
        <v>0</v>
      </c>
      <c r="H214" t="str">
        <f>IF('Customers Raw data'!F214&lt;&gt;"",YEAR(DATEVALUE('Customers Raw data'!F214)),"")</f>
        <v/>
      </c>
      <c r="I214" t="str">
        <f>IF('Customers Raw data'!F214&lt;&gt;"",MONTH(DATEVALUE('Customers Raw data'!F214)),"")</f>
        <v/>
      </c>
      <c r="J214">
        <f>YEAR(DATEVALUE('Customers Raw data'!B214))</f>
        <v>2024</v>
      </c>
      <c r="K214">
        <f>MONTH(DATEVALUE('Customers Raw data'!B214))</f>
        <v>9</v>
      </c>
      <c r="L214">
        <f ca="1">IF('Customers Raw data'!F214&lt;&gt;"",DATEDIF(DATEVALUE('Customers Raw data'!B214),DATEVALUE('Customers Raw data'!F214),"M"),DATEDIF(DATEVALUE('Customers Raw data'!B214),TODAY(),"M"))</f>
        <v>19</v>
      </c>
      <c r="M214">
        <f t="shared" ca="1" si="15"/>
        <v>9500</v>
      </c>
      <c r="N214">
        <f t="shared" si="16"/>
        <v>3</v>
      </c>
      <c r="O214">
        <f t="shared" ca="1" si="17"/>
        <v>0</v>
      </c>
      <c r="P214">
        <f t="shared" si="18"/>
        <v>0</v>
      </c>
      <c r="Q214" t="e">
        <f t="shared" si="19"/>
        <v>#VALUE!</v>
      </c>
    </row>
    <row r="215" spans="1:17" ht="15" customHeight="1" x14ac:dyDescent="0.25">
      <c r="A215">
        <f>'Customers Raw data'!A215</f>
        <v>1214</v>
      </c>
      <c r="B215" t="str">
        <f>'Customers Raw data'!B215</f>
        <v>2024-03-25</v>
      </c>
      <c r="C215" t="str">
        <f>'Customers Raw data'!C215</f>
        <v>Enterprise</v>
      </c>
      <c r="D215">
        <f>'Customers Raw data'!D215</f>
        <v>500</v>
      </c>
      <c r="E215">
        <f>'Customers Raw data'!E215</f>
        <v>200</v>
      </c>
      <c r="F215" t="str">
        <f>'Customers Raw data'!F215</f>
        <v>2024-11-28</v>
      </c>
      <c r="G215">
        <f>IF('Customers Raw data'!F215&lt;&gt;"",1,0)</f>
        <v>1</v>
      </c>
      <c r="H215">
        <f>IF('Customers Raw data'!F215&lt;&gt;"",YEAR(DATEVALUE('Customers Raw data'!F215)),"")</f>
        <v>2024</v>
      </c>
      <c r="I215">
        <f>IF('Customers Raw data'!F215&lt;&gt;"",MONTH(DATEVALUE('Customers Raw data'!F215)),"")</f>
        <v>11</v>
      </c>
      <c r="J215">
        <f>YEAR(DATEVALUE('Customers Raw data'!B215))</f>
        <v>2024</v>
      </c>
      <c r="K215">
        <f>MONTH(DATEVALUE('Customers Raw data'!B215))</f>
        <v>3</v>
      </c>
      <c r="L215">
        <f ca="1">IF('Customers Raw data'!F215&lt;&gt;"",DATEDIF(DATEVALUE('Customers Raw data'!B215),DATEVALUE('Customers Raw data'!F215),"M"),DATEDIF(DATEVALUE('Customers Raw data'!B215),TODAY(),"M"))</f>
        <v>8</v>
      </c>
      <c r="M215">
        <f t="shared" ca="1" si="15"/>
        <v>4000</v>
      </c>
      <c r="N215">
        <f t="shared" si="16"/>
        <v>3</v>
      </c>
      <c r="O215">
        <f t="shared" ca="1" si="17"/>
        <v>0</v>
      </c>
      <c r="P215">
        <f t="shared" si="18"/>
        <v>500</v>
      </c>
      <c r="Q215" t="str">
        <f t="shared" si="19"/>
        <v>2024-11</v>
      </c>
    </row>
    <row r="216" spans="1:17" ht="15" customHeight="1" x14ac:dyDescent="0.25">
      <c r="A216">
        <f>'Customers Raw data'!A216</f>
        <v>1215</v>
      </c>
      <c r="B216" t="str">
        <f>'Customers Raw data'!B216</f>
        <v>2024-03-08</v>
      </c>
      <c r="C216" t="str">
        <f>'Customers Raw data'!C216</f>
        <v>Enterprise</v>
      </c>
      <c r="D216">
        <f>'Customers Raw data'!D216</f>
        <v>500</v>
      </c>
      <c r="E216">
        <f>'Customers Raw data'!E216</f>
        <v>200</v>
      </c>
      <c r="F216">
        <f>'Customers Raw data'!F216</f>
        <v>0</v>
      </c>
      <c r="G216">
        <f>IF('Customers Raw data'!F216&lt;&gt;"",1,0)</f>
        <v>0</v>
      </c>
      <c r="H216" t="str">
        <f>IF('Customers Raw data'!F216&lt;&gt;"",YEAR(DATEVALUE('Customers Raw data'!F216)),"")</f>
        <v/>
      </c>
      <c r="I216" t="str">
        <f>IF('Customers Raw data'!F216&lt;&gt;"",MONTH(DATEVALUE('Customers Raw data'!F216)),"")</f>
        <v/>
      </c>
      <c r="J216">
        <f>YEAR(DATEVALUE('Customers Raw data'!B216))</f>
        <v>2024</v>
      </c>
      <c r="K216">
        <f>MONTH(DATEVALUE('Customers Raw data'!B216))</f>
        <v>3</v>
      </c>
      <c r="L216">
        <f ca="1">IF('Customers Raw data'!F216&lt;&gt;"",DATEDIF(DATEVALUE('Customers Raw data'!B216),DATEVALUE('Customers Raw data'!F216),"M"),DATEDIF(DATEVALUE('Customers Raw data'!B216),TODAY(),"M"))</f>
        <v>24</v>
      </c>
      <c r="M216">
        <f t="shared" ca="1" si="15"/>
        <v>12000</v>
      </c>
      <c r="N216">
        <f t="shared" si="16"/>
        <v>3</v>
      </c>
      <c r="O216">
        <f t="shared" ca="1" si="17"/>
        <v>0</v>
      </c>
      <c r="P216">
        <f t="shared" si="18"/>
        <v>0</v>
      </c>
      <c r="Q216" t="e">
        <f t="shared" si="19"/>
        <v>#VALUE!</v>
      </c>
    </row>
    <row r="217" spans="1:17" ht="15" customHeight="1" x14ac:dyDescent="0.25">
      <c r="A217">
        <f>'Customers Raw data'!A217</f>
        <v>1216</v>
      </c>
      <c r="B217" t="str">
        <f>'Customers Raw data'!B217</f>
        <v>2024-10-28</v>
      </c>
      <c r="C217" t="str">
        <f>'Customers Raw data'!C217</f>
        <v>Basic</v>
      </c>
      <c r="D217">
        <f>'Customers Raw data'!D217</f>
        <v>50</v>
      </c>
      <c r="E217">
        <f>'Customers Raw data'!E217</f>
        <v>30</v>
      </c>
      <c r="F217">
        <f>'Customers Raw data'!F217</f>
        <v>0</v>
      </c>
      <c r="G217">
        <f>IF('Customers Raw data'!F217&lt;&gt;"",1,0)</f>
        <v>0</v>
      </c>
      <c r="H217" t="str">
        <f>IF('Customers Raw data'!F217&lt;&gt;"",YEAR(DATEVALUE('Customers Raw data'!F217)),"")</f>
        <v/>
      </c>
      <c r="I217" t="str">
        <f>IF('Customers Raw data'!F217&lt;&gt;"",MONTH(DATEVALUE('Customers Raw data'!F217)),"")</f>
        <v/>
      </c>
      <c r="J217">
        <f>YEAR(DATEVALUE('Customers Raw data'!B217))</f>
        <v>2024</v>
      </c>
      <c r="K217">
        <f>MONTH(DATEVALUE('Customers Raw data'!B217))</f>
        <v>10</v>
      </c>
      <c r="L217">
        <f ca="1">IF('Customers Raw data'!F217&lt;&gt;"",DATEDIF(DATEVALUE('Customers Raw data'!B217),DATEVALUE('Customers Raw data'!F217),"M"),DATEDIF(DATEVALUE('Customers Raw data'!B217),TODAY(),"M"))</f>
        <v>17</v>
      </c>
      <c r="M217">
        <f t="shared" ca="1" si="15"/>
        <v>850</v>
      </c>
      <c r="N217">
        <f t="shared" si="16"/>
        <v>1</v>
      </c>
      <c r="O217">
        <f t="shared" ca="1" si="17"/>
        <v>0</v>
      </c>
      <c r="P217">
        <f t="shared" si="18"/>
        <v>0</v>
      </c>
      <c r="Q217" t="e">
        <f t="shared" si="19"/>
        <v>#VALUE!</v>
      </c>
    </row>
    <row r="218" spans="1:17" ht="15" customHeight="1" x14ac:dyDescent="0.25">
      <c r="A218">
        <f>'Customers Raw data'!A218</f>
        <v>1217</v>
      </c>
      <c r="B218" t="str">
        <f>'Customers Raw data'!B218</f>
        <v>2025-02-23</v>
      </c>
      <c r="C218" t="str">
        <f>'Customers Raw data'!C218</f>
        <v>Basic</v>
      </c>
      <c r="D218">
        <f>'Customers Raw data'!D218</f>
        <v>50</v>
      </c>
      <c r="E218">
        <f>'Customers Raw data'!E218</f>
        <v>30</v>
      </c>
      <c r="F218">
        <f>'Customers Raw data'!F218</f>
        <v>0</v>
      </c>
      <c r="G218">
        <f>IF('Customers Raw data'!F218&lt;&gt;"",1,0)</f>
        <v>0</v>
      </c>
      <c r="H218" t="str">
        <f>IF('Customers Raw data'!F218&lt;&gt;"",YEAR(DATEVALUE('Customers Raw data'!F218)),"")</f>
        <v/>
      </c>
      <c r="I218" t="str">
        <f>IF('Customers Raw data'!F218&lt;&gt;"",MONTH(DATEVALUE('Customers Raw data'!F218)),"")</f>
        <v/>
      </c>
      <c r="J218">
        <f>YEAR(DATEVALUE('Customers Raw data'!B218))</f>
        <v>2025</v>
      </c>
      <c r="K218">
        <f>MONTH(DATEVALUE('Customers Raw data'!B218))</f>
        <v>2</v>
      </c>
      <c r="L218">
        <f ca="1">IF('Customers Raw data'!F218&lt;&gt;"",DATEDIF(DATEVALUE('Customers Raw data'!B218),DATEVALUE('Customers Raw data'!F218),"M"),DATEDIF(DATEVALUE('Customers Raw data'!B218),TODAY(),"M"))</f>
        <v>13</v>
      </c>
      <c r="M218">
        <f t="shared" ca="1" si="15"/>
        <v>650</v>
      </c>
      <c r="N218">
        <f t="shared" si="16"/>
        <v>1</v>
      </c>
      <c r="O218">
        <f t="shared" ca="1" si="17"/>
        <v>0</v>
      </c>
      <c r="P218">
        <f t="shared" si="18"/>
        <v>0</v>
      </c>
      <c r="Q218" t="e">
        <f t="shared" si="19"/>
        <v>#VALUE!</v>
      </c>
    </row>
    <row r="219" spans="1:17" ht="15" customHeight="1" x14ac:dyDescent="0.25">
      <c r="A219">
        <f>'Customers Raw data'!A219</f>
        <v>1218</v>
      </c>
      <c r="B219" t="str">
        <f>'Customers Raw data'!B219</f>
        <v>2024-05-03</v>
      </c>
      <c r="C219" t="str">
        <f>'Customers Raw data'!C219</f>
        <v>Basic</v>
      </c>
      <c r="D219">
        <f>'Customers Raw data'!D219</f>
        <v>50</v>
      </c>
      <c r="E219">
        <f>'Customers Raw data'!E219</f>
        <v>30</v>
      </c>
      <c r="F219">
        <f>'Customers Raw data'!F219</f>
        <v>0</v>
      </c>
      <c r="G219">
        <f>IF('Customers Raw data'!F219&lt;&gt;"",1,0)</f>
        <v>0</v>
      </c>
      <c r="H219" t="str">
        <f>IF('Customers Raw data'!F219&lt;&gt;"",YEAR(DATEVALUE('Customers Raw data'!F219)),"")</f>
        <v/>
      </c>
      <c r="I219" t="str">
        <f>IF('Customers Raw data'!F219&lt;&gt;"",MONTH(DATEVALUE('Customers Raw data'!F219)),"")</f>
        <v/>
      </c>
      <c r="J219">
        <f>YEAR(DATEVALUE('Customers Raw data'!B219))</f>
        <v>2024</v>
      </c>
      <c r="K219">
        <f>MONTH(DATEVALUE('Customers Raw data'!B219))</f>
        <v>5</v>
      </c>
      <c r="L219">
        <f ca="1">IF('Customers Raw data'!F219&lt;&gt;"",DATEDIF(DATEVALUE('Customers Raw data'!B219),DATEVALUE('Customers Raw data'!F219),"M"),DATEDIF(DATEVALUE('Customers Raw data'!B219),TODAY(),"M"))</f>
        <v>23</v>
      </c>
      <c r="M219">
        <f t="shared" ca="1" si="15"/>
        <v>1150</v>
      </c>
      <c r="N219">
        <f t="shared" si="16"/>
        <v>1</v>
      </c>
      <c r="O219">
        <f t="shared" ca="1" si="17"/>
        <v>0</v>
      </c>
      <c r="P219">
        <f t="shared" si="18"/>
        <v>0</v>
      </c>
      <c r="Q219" t="e">
        <f t="shared" si="19"/>
        <v>#VALUE!</v>
      </c>
    </row>
    <row r="220" spans="1:17" ht="15" customHeight="1" x14ac:dyDescent="0.25">
      <c r="A220">
        <f>'Customers Raw data'!A220</f>
        <v>1219</v>
      </c>
      <c r="B220" t="str">
        <f>'Customers Raw data'!B220</f>
        <v>2024-10-28</v>
      </c>
      <c r="C220" t="str">
        <f>'Customers Raw data'!C220</f>
        <v>Pro</v>
      </c>
      <c r="D220">
        <f>'Customers Raw data'!D220</f>
        <v>200</v>
      </c>
      <c r="E220">
        <f>'Customers Raw data'!E220</f>
        <v>100</v>
      </c>
      <c r="F220">
        <f>'Customers Raw data'!F220</f>
        <v>0</v>
      </c>
      <c r="G220">
        <f>IF('Customers Raw data'!F220&lt;&gt;"",1,0)</f>
        <v>0</v>
      </c>
      <c r="H220" t="str">
        <f>IF('Customers Raw data'!F220&lt;&gt;"",YEAR(DATEVALUE('Customers Raw data'!F220)),"")</f>
        <v/>
      </c>
      <c r="I220" t="str">
        <f>IF('Customers Raw data'!F220&lt;&gt;"",MONTH(DATEVALUE('Customers Raw data'!F220)),"")</f>
        <v/>
      </c>
      <c r="J220">
        <f>YEAR(DATEVALUE('Customers Raw data'!B220))</f>
        <v>2024</v>
      </c>
      <c r="K220">
        <f>MONTH(DATEVALUE('Customers Raw data'!B220))</f>
        <v>10</v>
      </c>
      <c r="L220">
        <f ca="1">IF('Customers Raw data'!F220&lt;&gt;"",DATEDIF(DATEVALUE('Customers Raw data'!B220),DATEVALUE('Customers Raw data'!F220),"M"),DATEDIF(DATEVALUE('Customers Raw data'!B220),TODAY(),"M"))</f>
        <v>17</v>
      </c>
      <c r="M220">
        <f t="shared" ca="1" si="15"/>
        <v>3400</v>
      </c>
      <c r="N220">
        <f t="shared" si="16"/>
        <v>2</v>
      </c>
      <c r="O220">
        <f t="shared" ca="1" si="17"/>
        <v>0</v>
      </c>
      <c r="P220">
        <f t="shared" si="18"/>
        <v>0</v>
      </c>
      <c r="Q220" t="e">
        <f t="shared" si="19"/>
        <v>#VALUE!</v>
      </c>
    </row>
    <row r="221" spans="1:17" ht="15" customHeight="1" x14ac:dyDescent="0.25">
      <c r="A221">
        <f>'Customers Raw data'!A221</f>
        <v>1220</v>
      </c>
      <c r="B221" t="str">
        <f>'Customers Raw data'!B221</f>
        <v>2024-03-29</v>
      </c>
      <c r="C221" t="str">
        <f>'Customers Raw data'!C221</f>
        <v>Basic</v>
      </c>
      <c r="D221">
        <f>'Customers Raw data'!D221</f>
        <v>50</v>
      </c>
      <c r="E221">
        <f>'Customers Raw data'!E221</f>
        <v>30</v>
      </c>
      <c r="F221" t="str">
        <f>'Customers Raw data'!F221</f>
        <v>2024-11-05</v>
      </c>
      <c r="G221">
        <f>IF('Customers Raw data'!F221&lt;&gt;"",1,0)</f>
        <v>1</v>
      </c>
      <c r="H221">
        <f>IF('Customers Raw data'!F221&lt;&gt;"",YEAR(DATEVALUE('Customers Raw data'!F221)),"")</f>
        <v>2024</v>
      </c>
      <c r="I221">
        <f>IF('Customers Raw data'!F221&lt;&gt;"",MONTH(DATEVALUE('Customers Raw data'!F221)),"")</f>
        <v>11</v>
      </c>
      <c r="J221">
        <f>YEAR(DATEVALUE('Customers Raw data'!B221))</f>
        <v>2024</v>
      </c>
      <c r="K221">
        <f>MONTH(DATEVALUE('Customers Raw data'!B221))</f>
        <v>3</v>
      </c>
      <c r="L221">
        <f ca="1">IF('Customers Raw data'!F221&lt;&gt;"",DATEDIF(DATEVALUE('Customers Raw data'!B221),DATEVALUE('Customers Raw data'!F221),"M"),DATEDIF(DATEVALUE('Customers Raw data'!B221),TODAY(),"M"))</f>
        <v>7</v>
      </c>
      <c r="M221">
        <f t="shared" ca="1" si="15"/>
        <v>350</v>
      </c>
      <c r="N221">
        <f t="shared" si="16"/>
        <v>1</v>
      </c>
      <c r="O221">
        <f t="shared" ca="1" si="17"/>
        <v>0</v>
      </c>
      <c r="P221">
        <f t="shared" si="18"/>
        <v>50</v>
      </c>
      <c r="Q221" t="str">
        <f t="shared" si="19"/>
        <v>2024-11</v>
      </c>
    </row>
    <row r="222" spans="1:17" ht="15" customHeight="1" x14ac:dyDescent="0.25">
      <c r="A222">
        <f>'Customers Raw data'!A222</f>
        <v>1221</v>
      </c>
      <c r="B222" t="str">
        <f>'Customers Raw data'!B222</f>
        <v>2025-05-05</v>
      </c>
      <c r="C222" t="str">
        <f>'Customers Raw data'!C222</f>
        <v>Enterprise</v>
      </c>
      <c r="D222">
        <f>'Customers Raw data'!D222</f>
        <v>500</v>
      </c>
      <c r="E222">
        <f>'Customers Raw data'!E222</f>
        <v>200</v>
      </c>
      <c r="F222">
        <f>'Customers Raw data'!F222</f>
        <v>0</v>
      </c>
      <c r="G222">
        <f>IF('Customers Raw data'!F222&lt;&gt;"",1,0)</f>
        <v>0</v>
      </c>
      <c r="H222" t="str">
        <f>IF('Customers Raw data'!F222&lt;&gt;"",YEAR(DATEVALUE('Customers Raw data'!F222)),"")</f>
        <v/>
      </c>
      <c r="I222" t="str">
        <f>IF('Customers Raw data'!F222&lt;&gt;"",MONTH(DATEVALUE('Customers Raw data'!F222)),"")</f>
        <v/>
      </c>
      <c r="J222">
        <f>YEAR(DATEVALUE('Customers Raw data'!B222))</f>
        <v>2025</v>
      </c>
      <c r="K222">
        <f>MONTH(DATEVALUE('Customers Raw data'!B222))</f>
        <v>5</v>
      </c>
      <c r="L222">
        <f ca="1">IF('Customers Raw data'!F222&lt;&gt;"",DATEDIF(DATEVALUE('Customers Raw data'!B222),DATEVALUE('Customers Raw data'!F222),"M"),DATEDIF(DATEVALUE('Customers Raw data'!B222),TODAY(),"M"))</f>
        <v>11</v>
      </c>
      <c r="M222">
        <f t="shared" ca="1" si="15"/>
        <v>5500</v>
      </c>
      <c r="N222">
        <f t="shared" si="16"/>
        <v>3</v>
      </c>
      <c r="O222">
        <f t="shared" ca="1" si="17"/>
        <v>0</v>
      </c>
      <c r="P222">
        <f t="shared" si="18"/>
        <v>0</v>
      </c>
      <c r="Q222" t="e">
        <f t="shared" si="19"/>
        <v>#VALUE!</v>
      </c>
    </row>
    <row r="223" spans="1:17" ht="15" customHeight="1" x14ac:dyDescent="0.25">
      <c r="A223">
        <f>'Customers Raw data'!A223</f>
        <v>1222</v>
      </c>
      <c r="B223" t="str">
        <f>'Customers Raw data'!B223</f>
        <v>2024-02-09</v>
      </c>
      <c r="C223" t="str">
        <f>'Customers Raw data'!C223</f>
        <v>Pro</v>
      </c>
      <c r="D223">
        <f>'Customers Raw data'!D223</f>
        <v>200</v>
      </c>
      <c r="E223">
        <f>'Customers Raw data'!E223</f>
        <v>100</v>
      </c>
      <c r="F223" t="str">
        <f>'Customers Raw data'!F223</f>
        <v>2025-04-01</v>
      </c>
      <c r="G223">
        <f>IF('Customers Raw data'!F223&lt;&gt;"",1,0)</f>
        <v>1</v>
      </c>
      <c r="H223">
        <f>IF('Customers Raw data'!F223&lt;&gt;"",YEAR(DATEVALUE('Customers Raw data'!F223)),"")</f>
        <v>2025</v>
      </c>
      <c r="I223">
        <f>IF('Customers Raw data'!F223&lt;&gt;"",MONTH(DATEVALUE('Customers Raw data'!F223)),"")</f>
        <v>4</v>
      </c>
      <c r="J223">
        <f>YEAR(DATEVALUE('Customers Raw data'!B223))</f>
        <v>2024</v>
      </c>
      <c r="K223">
        <f>MONTH(DATEVALUE('Customers Raw data'!B223))</f>
        <v>2</v>
      </c>
      <c r="L223">
        <f ca="1">IF('Customers Raw data'!F223&lt;&gt;"",DATEDIF(DATEVALUE('Customers Raw data'!B223),DATEVALUE('Customers Raw data'!F223),"M"),DATEDIF(DATEVALUE('Customers Raw data'!B223),TODAY(),"M"))</f>
        <v>13</v>
      </c>
      <c r="M223">
        <f t="shared" ca="1" si="15"/>
        <v>2600</v>
      </c>
      <c r="N223">
        <f t="shared" si="16"/>
        <v>2</v>
      </c>
      <c r="O223">
        <f t="shared" ca="1" si="17"/>
        <v>0</v>
      </c>
      <c r="P223">
        <f t="shared" si="18"/>
        <v>200</v>
      </c>
      <c r="Q223" t="str">
        <f t="shared" si="19"/>
        <v>2025-04</v>
      </c>
    </row>
    <row r="224" spans="1:17" ht="15" customHeight="1" x14ac:dyDescent="0.25">
      <c r="A224">
        <f>'Customers Raw data'!A224</f>
        <v>1223</v>
      </c>
      <c r="B224" t="str">
        <f>'Customers Raw data'!B224</f>
        <v>2025-02-28</v>
      </c>
      <c r="C224" t="str">
        <f>'Customers Raw data'!C224</f>
        <v>Enterprise</v>
      </c>
      <c r="D224">
        <f>'Customers Raw data'!D224</f>
        <v>500</v>
      </c>
      <c r="E224">
        <f>'Customers Raw data'!E224</f>
        <v>200</v>
      </c>
      <c r="F224" t="str">
        <f>'Customers Raw data'!F224</f>
        <v>2025-05-23</v>
      </c>
      <c r="G224">
        <f>IF('Customers Raw data'!F224&lt;&gt;"",1,0)</f>
        <v>1</v>
      </c>
      <c r="H224">
        <f>IF('Customers Raw data'!F224&lt;&gt;"",YEAR(DATEVALUE('Customers Raw data'!F224)),"")</f>
        <v>2025</v>
      </c>
      <c r="I224">
        <f>IF('Customers Raw data'!F224&lt;&gt;"",MONTH(DATEVALUE('Customers Raw data'!F224)),"")</f>
        <v>5</v>
      </c>
      <c r="J224">
        <f>YEAR(DATEVALUE('Customers Raw data'!B224))</f>
        <v>2025</v>
      </c>
      <c r="K224">
        <f>MONTH(DATEVALUE('Customers Raw data'!B224))</f>
        <v>2</v>
      </c>
      <c r="L224">
        <f ca="1">IF('Customers Raw data'!F224&lt;&gt;"",DATEDIF(DATEVALUE('Customers Raw data'!B224),DATEVALUE('Customers Raw data'!F224),"M"),DATEDIF(DATEVALUE('Customers Raw data'!B224),TODAY(),"M"))</f>
        <v>2</v>
      </c>
      <c r="M224">
        <f t="shared" ca="1" si="15"/>
        <v>1000</v>
      </c>
      <c r="N224">
        <f t="shared" si="16"/>
        <v>3</v>
      </c>
      <c r="O224">
        <f t="shared" ca="1" si="17"/>
        <v>1</v>
      </c>
      <c r="P224">
        <f t="shared" si="18"/>
        <v>500</v>
      </c>
      <c r="Q224" t="str">
        <f t="shared" si="19"/>
        <v>2025-05</v>
      </c>
    </row>
    <row r="225" spans="1:17" ht="15" customHeight="1" x14ac:dyDescent="0.25">
      <c r="A225">
        <f>'Customers Raw data'!A225</f>
        <v>1224</v>
      </c>
      <c r="B225" t="str">
        <f>'Customers Raw data'!B225</f>
        <v>2024-11-19</v>
      </c>
      <c r="C225" t="str">
        <f>'Customers Raw data'!C225</f>
        <v>Pro</v>
      </c>
      <c r="D225">
        <f>'Customers Raw data'!D225</f>
        <v>200</v>
      </c>
      <c r="E225">
        <f>'Customers Raw data'!E225</f>
        <v>100</v>
      </c>
      <c r="F225">
        <f>'Customers Raw data'!F225</f>
        <v>0</v>
      </c>
      <c r="G225">
        <f>IF('Customers Raw data'!F225&lt;&gt;"",1,0)</f>
        <v>0</v>
      </c>
      <c r="H225" t="str">
        <f>IF('Customers Raw data'!F225&lt;&gt;"",YEAR(DATEVALUE('Customers Raw data'!F225)),"")</f>
        <v/>
      </c>
      <c r="I225" t="str">
        <f>IF('Customers Raw data'!F225&lt;&gt;"",MONTH(DATEVALUE('Customers Raw data'!F225)),"")</f>
        <v/>
      </c>
      <c r="J225">
        <f>YEAR(DATEVALUE('Customers Raw data'!B225))</f>
        <v>2024</v>
      </c>
      <c r="K225">
        <f>MONTH(DATEVALUE('Customers Raw data'!B225))</f>
        <v>11</v>
      </c>
      <c r="L225">
        <f ca="1">IF('Customers Raw data'!F225&lt;&gt;"",DATEDIF(DATEVALUE('Customers Raw data'!B225),DATEVALUE('Customers Raw data'!F225),"M"),DATEDIF(DATEVALUE('Customers Raw data'!B225),TODAY(),"M"))</f>
        <v>16</v>
      </c>
      <c r="M225">
        <f t="shared" ca="1" si="15"/>
        <v>3200</v>
      </c>
      <c r="N225">
        <f t="shared" si="16"/>
        <v>2</v>
      </c>
      <c r="O225">
        <f t="shared" ca="1" si="17"/>
        <v>0</v>
      </c>
      <c r="P225">
        <f t="shared" si="18"/>
        <v>0</v>
      </c>
      <c r="Q225" t="e">
        <f t="shared" si="19"/>
        <v>#VALUE!</v>
      </c>
    </row>
    <row r="226" spans="1:17" ht="15" customHeight="1" x14ac:dyDescent="0.25">
      <c r="A226">
        <f>'Customers Raw data'!A226</f>
        <v>1225</v>
      </c>
      <c r="B226" t="str">
        <f>'Customers Raw data'!B226</f>
        <v>2025-06-04</v>
      </c>
      <c r="C226" t="str">
        <f>'Customers Raw data'!C226</f>
        <v>Enterprise</v>
      </c>
      <c r="D226">
        <f>'Customers Raw data'!D226</f>
        <v>500</v>
      </c>
      <c r="E226">
        <f>'Customers Raw data'!E226</f>
        <v>200</v>
      </c>
      <c r="F226" t="str">
        <f>'Customers Raw data'!F226</f>
        <v>2025-06-30</v>
      </c>
      <c r="G226">
        <f>IF('Customers Raw data'!F226&lt;&gt;"",1,0)</f>
        <v>1</v>
      </c>
      <c r="H226">
        <f>IF('Customers Raw data'!F226&lt;&gt;"",YEAR(DATEVALUE('Customers Raw data'!F226)),"")</f>
        <v>2025</v>
      </c>
      <c r="I226">
        <f>IF('Customers Raw data'!F226&lt;&gt;"",MONTH(DATEVALUE('Customers Raw data'!F226)),"")</f>
        <v>6</v>
      </c>
      <c r="J226">
        <f>YEAR(DATEVALUE('Customers Raw data'!B226))</f>
        <v>2025</v>
      </c>
      <c r="K226">
        <f>MONTH(DATEVALUE('Customers Raw data'!B226))</f>
        <v>6</v>
      </c>
      <c r="L226">
        <f ca="1">IF('Customers Raw data'!F226&lt;&gt;"",DATEDIF(DATEVALUE('Customers Raw data'!B226),DATEVALUE('Customers Raw data'!F226),"M"),DATEDIF(DATEVALUE('Customers Raw data'!B226),TODAY(),"M"))</f>
        <v>0</v>
      </c>
      <c r="M226">
        <f t="shared" ca="1" si="15"/>
        <v>0</v>
      </c>
      <c r="N226">
        <f t="shared" si="16"/>
        <v>3</v>
      </c>
      <c r="O226">
        <f t="shared" ca="1" si="17"/>
        <v>1</v>
      </c>
      <c r="P226">
        <f t="shared" si="18"/>
        <v>500</v>
      </c>
      <c r="Q226" t="str">
        <f t="shared" si="19"/>
        <v>2025-06</v>
      </c>
    </row>
    <row r="227" spans="1:17" ht="15" customHeight="1" x14ac:dyDescent="0.25">
      <c r="A227">
        <f>'Customers Raw data'!A227</f>
        <v>1226</v>
      </c>
      <c r="B227" t="str">
        <f>'Customers Raw data'!B227</f>
        <v>2024-10-06</v>
      </c>
      <c r="C227" t="str">
        <f>'Customers Raw data'!C227</f>
        <v>Basic</v>
      </c>
      <c r="D227">
        <f>'Customers Raw data'!D227</f>
        <v>50</v>
      </c>
      <c r="E227">
        <f>'Customers Raw data'!E227</f>
        <v>30</v>
      </c>
      <c r="F227" t="str">
        <f>'Customers Raw data'!F227</f>
        <v>2025-03-18</v>
      </c>
      <c r="G227">
        <f>IF('Customers Raw data'!F227&lt;&gt;"",1,0)</f>
        <v>1</v>
      </c>
      <c r="H227">
        <f>IF('Customers Raw data'!F227&lt;&gt;"",YEAR(DATEVALUE('Customers Raw data'!F227)),"")</f>
        <v>2025</v>
      </c>
      <c r="I227">
        <f>IF('Customers Raw data'!F227&lt;&gt;"",MONTH(DATEVALUE('Customers Raw data'!F227)),"")</f>
        <v>3</v>
      </c>
      <c r="J227">
        <f>YEAR(DATEVALUE('Customers Raw data'!B227))</f>
        <v>2024</v>
      </c>
      <c r="K227">
        <f>MONTH(DATEVALUE('Customers Raw data'!B227))</f>
        <v>10</v>
      </c>
      <c r="L227">
        <f ca="1">IF('Customers Raw data'!F227&lt;&gt;"",DATEDIF(DATEVALUE('Customers Raw data'!B227),DATEVALUE('Customers Raw data'!F227),"M"),DATEDIF(DATEVALUE('Customers Raw data'!B227),TODAY(),"M"))</f>
        <v>5</v>
      </c>
      <c r="M227">
        <f t="shared" ca="1" si="15"/>
        <v>250</v>
      </c>
      <c r="N227">
        <f t="shared" si="16"/>
        <v>1</v>
      </c>
      <c r="O227">
        <f t="shared" ca="1" si="17"/>
        <v>1</v>
      </c>
      <c r="P227">
        <f t="shared" si="18"/>
        <v>50</v>
      </c>
      <c r="Q227" t="str">
        <f t="shared" si="19"/>
        <v>2025-03</v>
      </c>
    </row>
    <row r="228" spans="1:17" ht="15" customHeight="1" x14ac:dyDescent="0.25">
      <c r="A228">
        <f>'Customers Raw data'!A228</f>
        <v>1227</v>
      </c>
      <c r="B228" t="str">
        <f>'Customers Raw data'!B228</f>
        <v>2025-03-06</v>
      </c>
      <c r="C228" t="str">
        <f>'Customers Raw data'!C228</f>
        <v>Enterprise</v>
      </c>
      <c r="D228">
        <f>'Customers Raw data'!D228</f>
        <v>500</v>
      </c>
      <c r="E228">
        <f>'Customers Raw data'!E228</f>
        <v>200</v>
      </c>
      <c r="F228">
        <f>'Customers Raw data'!F228</f>
        <v>0</v>
      </c>
      <c r="G228">
        <f>IF('Customers Raw data'!F228&lt;&gt;"",1,0)</f>
        <v>0</v>
      </c>
      <c r="H228" t="str">
        <f>IF('Customers Raw data'!F228&lt;&gt;"",YEAR(DATEVALUE('Customers Raw data'!F228)),"")</f>
        <v/>
      </c>
      <c r="I228" t="str">
        <f>IF('Customers Raw data'!F228&lt;&gt;"",MONTH(DATEVALUE('Customers Raw data'!F228)),"")</f>
        <v/>
      </c>
      <c r="J228">
        <f>YEAR(DATEVALUE('Customers Raw data'!B228))</f>
        <v>2025</v>
      </c>
      <c r="K228">
        <f>MONTH(DATEVALUE('Customers Raw data'!B228))</f>
        <v>3</v>
      </c>
      <c r="L228">
        <f ca="1">IF('Customers Raw data'!F228&lt;&gt;"",DATEDIF(DATEVALUE('Customers Raw data'!B228),DATEVALUE('Customers Raw data'!F228),"M"),DATEDIF(DATEVALUE('Customers Raw data'!B228),TODAY(),"M"))</f>
        <v>13</v>
      </c>
      <c r="M228">
        <f t="shared" ca="1" si="15"/>
        <v>6500</v>
      </c>
      <c r="N228">
        <f t="shared" si="16"/>
        <v>3</v>
      </c>
      <c r="O228">
        <f t="shared" ca="1" si="17"/>
        <v>0</v>
      </c>
      <c r="P228">
        <f t="shared" si="18"/>
        <v>0</v>
      </c>
      <c r="Q228" t="e">
        <f t="shared" si="19"/>
        <v>#VALUE!</v>
      </c>
    </row>
    <row r="229" spans="1:17" ht="15" customHeight="1" x14ac:dyDescent="0.25">
      <c r="A229">
        <f>'Customers Raw data'!A229</f>
        <v>1228</v>
      </c>
      <c r="B229" t="str">
        <f>'Customers Raw data'!B229</f>
        <v>2024-07-03</v>
      </c>
      <c r="C229" t="str">
        <f>'Customers Raw data'!C229</f>
        <v>Enterprise</v>
      </c>
      <c r="D229">
        <f>'Customers Raw data'!D229</f>
        <v>500</v>
      </c>
      <c r="E229">
        <f>'Customers Raw data'!E229</f>
        <v>200</v>
      </c>
      <c r="F229">
        <f>'Customers Raw data'!F229</f>
        <v>0</v>
      </c>
      <c r="G229">
        <f>IF('Customers Raw data'!F229&lt;&gt;"",1,0)</f>
        <v>0</v>
      </c>
      <c r="H229" t="str">
        <f>IF('Customers Raw data'!F229&lt;&gt;"",YEAR(DATEVALUE('Customers Raw data'!F229)),"")</f>
        <v/>
      </c>
      <c r="I229" t="str">
        <f>IF('Customers Raw data'!F229&lt;&gt;"",MONTH(DATEVALUE('Customers Raw data'!F229)),"")</f>
        <v/>
      </c>
      <c r="J229">
        <f>YEAR(DATEVALUE('Customers Raw data'!B229))</f>
        <v>2024</v>
      </c>
      <c r="K229">
        <f>MONTH(DATEVALUE('Customers Raw data'!B229))</f>
        <v>7</v>
      </c>
      <c r="L229">
        <f ca="1">IF('Customers Raw data'!F229&lt;&gt;"",DATEDIF(DATEVALUE('Customers Raw data'!B229),DATEVALUE('Customers Raw data'!F229),"M"),DATEDIF(DATEVALUE('Customers Raw data'!B229),TODAY(),"M"))</f>
        <v>21</v>
      </c>
      <c r="M229">
        <f t="shared" ca="1" si="15"/>
        <v>10500</v>
      </c>
      <c r="N229">
        <f t="shared" si="16"/>
        <v>3</v>
      </c>
      <c r="O229">
        <f t="shared" ca="1" si="17"/>
        <v>0</v>
      </c>
      <c r="P229">
        <f t="shared" si="18"/>
        <v>0</v>
      </c>
      <c r="Q229" t="e">
        <f t="shared" si="19"/>
        <v>#VALUE!</v>
      </c>
    </row>
    <row r="230" spans="1:17" ht="15" customHeight="1" x14ac:dyDescent="0.25">
      <c r="A230">
        <f>'Customers Raw data'!A230</f>
        <v>1229</v>
      </c>
      <c r="B230" t="str">
        <f>'Customers Raw data'!B230</f>
        <v>2025-01-30</v>
      </c>
      <c r="C230" t="str">
        <f>'Customers Raw data'!C230</f>
        <v>Enterprise</v>
      </c>
      <c r="D230">
        <f>'Customers Raw data'!D230</f>
        <v>500</v>
      </c>
      <c r="E230">
        <f>'Customers Raw data'!E230</f>
        <v>200</v>
      </c>
      <c r="F230" t="str">
        <f>'Customers Raw data'!F230</f>
        <v>2025-05-13</v>
      </c>
      <c r="G230">
        <f>IF('Customers Raw data'!F230&lt;&gt;"",1,0)</f>
        <v>1</v>
      </c>
      <c r="H230">
        <f>IF('Customers Raw data'!F230&lt;&gt;"",YEAR(DATEVALUE('Customers Raw data'!F230)),"")</f>
        <v>2025</v>
      </c>
      <c r="I230">
        <f>IF('Customers Raw data'!F230&lt;&gt;"",MONTH(DATEVALUE('Customers Raw data'!F230)),"")</f>
        <v>5</v>
      </c>
      <c r="J230">
        <f>YEAR(DATEVALUE('Customers Raw data'!B230))</f>
        <v>2025</v>
      </c>
      <c r="K230">
        <f>MONTH(DATEVALUE('Customers Raw data'!B230))</f>
        <v>1</v>
      </c>
      <c r="L230">
        <f ca="1">IF('Customers Raw data'!F230&lt;&gt;"",DATEDIF(DATEVALUE('Customers Raw data'!B230),DATEVALUE('Customers Raw data'!F230),"M"),DATEDIF(DATEVALUE('Customers Raw data'!B230),TODAY(),"M"))</f>
        <v>3</v>
      </c>
      <c r="M230">
        <f t="shared" ca="1" si="15"/>
        <v>1500</v>
      </c>
      <c r="N230">
        <f t="shared" si="16"/>
        <v>3</v>
      </c>
      <c r="O230">
        <f t="shared" ca="1" si="17"/>
        <v>1</v>
      </c>
      <c r="P230">
        <f t="shared" si="18"/>
        <v>500</v>
      </c>
      <c r="Q230" t="str">
        <f t="shared" si="19"/>
        <v>2025-05</v>
      </c>
    </row>
    <row r="231" spans="1:17" ht="15" customHeight="1" x14ac:dyDescent="0.25">
      <c r="A231">
        <f>'Customers Raw data'!A231</f>
        <v>1230</v>
      </c>
      <c r="B231" t="str">
        <f>'Customers Raw data'!B231</f>
        <v>2025-01-07</v>
      </c>
      <c r="C231" t="str">
        <f>'Customers Raw data'!C231</f>
        <v>Enterprise</v>
      </c>
      <c r="D231">
        <f>'Customers Raw data'!D231</f>
        <v>500</v>
      </c>
      <c r="E231">
        <f>'Customers Raw data'!E231</f>
        <v>200</v>
      </c>
      <c r="F231">
        <f>'Customers Raw data'!F231</f>
        <v>0</v>
      </c>
      <c r="G231">
        <f>IF('Customers Raw data'!F231&lt;&gt;"",1,0)</f>
        <v>0</v>
      </c>
      <c r="H231" t="str">
        <f>IF('Customers Raw data'!F231&lt;&gt;"",YEAR(DATEVALUE('Customers Raw data'!F231)),"")</f>
        <v/>
      </c>
      <c r="I231" t="str">
        <f>IF('Customers Raw data'!F231&lt;&gt;"",MONTH(DATEVALUE('Customers Raw data'!F231)),"")</f>
        <v/>
      </c>
      <c r="J231">
        <f>YEAR(DATEVALUE('Customers Raw data'!B231))</f>
        <v>2025</v>
      </c>
      <c r="K231">
        <f>MONTH(DATEVALUE('Customers Raw data'!B231))</f>
        <v>1</v>
      </c>
      <c r="L231">
        <f ca="1">IF('Customers Raw data'!F231&lt;&gt;"",DATEDIF(DATEVALUE('Customers Raw data'!B231),DATEVALUE('Customers Raw data'!F231),"M"),DATEDIF(DATEVALUE('Customers Raw data'!B231),TODAY(),"M"))</f>
        <v>15</v>
      </c>
      <c r="M231">
        <f t="shared" ca="1" si="15"/>
        <v>7500</v>
      </c>
      <c r="N231">
        <f t="shared" si="16"/>
        <v>3</v>
      </c>
      <c r="O231">
        <f t="shared" ca="1" si="17"/>
        <v>0</v>
      </c>
      <c r="P231">
        <f t="shared" si="18"/>
        <v>0</v>
      </c>
      <c r="Q231" t="e">
        <f t="shared" si="19"/>
        <v>#VALUE!</v>
      </c>
    </row>
    <row r="232" spans="1:17" ht="15" customHeight="1" x14ac:dyDescent="0.25">
      <c r="A232">
        <f>'Customers Raw data'!A232</f>
        <v>1231</v>
      </c>
      <c r="B232" t="str">
        <f>'Customers Raw data'!B232</f>
        <v>2024-02-05</v>
      </c>
      <c r="C232" t="str">
        <f>'Customers Raw data'!C232</f>
        <v>Pro</v>
      </c>
      <c r="D232">
        <f>'Customers Raw data'!D232</f>
        <v>200</v>
      </c>
      <c r="E232">
        <f>'Customers Raw data'!E232</f>
        <v>100</v>
      </c>
      <c r="F232">
        <f>'Customers Raw data'!F232</f>
        <v>0</v>
      </c>
      <c r="G232">
        <f>IF('Customers Raw data'!F232&lt;&gt;"",1,0)</f>
        <v>0</v>
      </c>
      <c r="H232" t="str">
        <f>IF('Customers Raw data'!F232&lt;&gt;"",YEAR(DATEVALUE('Customers Raw data'!F232)),"")</f>
        <v/>
      </c>
      <c r="I232" t="str">
        <f>IF('Customers Raw data'!F232&lt;&gt;"",MONTH(DATEVALUE('Customers Raw data'!F232)),"")</f>
        <v/>
      </c>
      <c r="J232">
        <f>YEAR(DATEVALUE('Customers Raw data'!B232))</f>
        <v>2024</v>
      </c>
      <c r="K232">
        <f>MONTH(DATEVALUE('Customers Raw data'!B232))</f>
        <v>2</v>
      </c>
      <c r="L232">
        <f ca="1">IF('Customers Raw data'!F232&lt;&gt;"",DATEDIF(DATEVALUE('Customers Raw data'!B232),DATEVALUE('Customers Raw data'!F232),"M"),DATEDIF(DATEVALUE('Customers Raw data'!B232),TODAY(),"M"))</f>
        <v>26</v>
      </c>
      <c r="M232">
        <f t="shared" ca="1" si="15"/>
        <v>5200</v>
      </c>
      <c r="N232">
        <f t="shared" si="16"/>
        <v>2</v>
      </c>
      <c r="O232">
        <f t="shared" ca="1" si="17"/>
        <v>0</v>
      </c>
      <c r="P232">
        <f t="shared" si="18"/>
        <v>0</v>
      </c>
      <c r="Q232" t="e">
        <f t="shared" si="19"/>
        <v>#VALUE!</v>
      </c>
    </row>
    <row r="233" spans="1:17" ht="15" customHeight="1" x14ac:dyDescent="0.25">
      <c r="A233">
        <f>'Customers Raw data'!A233</f>
        <v>1232</v>
      </c>
      <c r="B233" t="str">
        <f>'Customers Raw data'!B233</f>
        <v>2025-04-19</v>
      </c>
      <c r="C233" t="str">
        <f>'Customers Raw data'!C233</f>
        <v>Enterprise</v>
      </c>
      <c r="D233">
        <f>'Customers Raw data'!D233</f>
        <v>500</v>
      </c>
      <c r="E233">
        <f>'Customers Raw data'!E233</f>
        <v>200</v>
      </c>
      <c r="F233">
        <f>'Customers Raw data'!F233</f>
        <v>0</v>
      </c>
      <c r="G233">
        <f>IF('Customers Raw data'!F233&lt;&gt;"",1,0)</f>
        <v>0</v>
      </c>
      <c r="H233" t="str">
        <f>IF('Customers Raw data'!F233&lt;&gt;"",YEAR(DATEVALUE('Customers Raw data'!F233)),"")</f>
        <v/>
      </c>
      <c r="I233" t="str">
        <f>IF('Customers Raw data'!F233&lt;&gt;"",MONTH(DATEVALUE('Customers Raw data'!F233)),"")</f>
        <v/>
      </c>
      <c r="J233">
        <f>YEAR(DATEVALUE('Customers Raw data'!B233))</f>
        <v>2025</v>
      </c>
      <c r="K233">
        <f>MONTH(DATEVALUE('Customers Raw data'!B233))</f>
        <v>4</v>
      </c>
      <c r="L233">
        <f ca="1">IF('Customers Raw data'!F233&lt;&gt;"",DATEDIF(DATEVALUE('Customers Raw data'!B233),DATEVALUE('Customers Raw data'!F233),"M"),DATEDIF(DATEVALUE('Customers Raw data'!B233),TODAY(),"M"))</f>
        <v>11</v>
      </c>
      <c r="M233">
        <f t="shared" ca="1" si="15"/>
        <v>5500</v>
      </c>
      <c r="N233">
        <f t="shared" si="16"/>
        <v>3</v>
      </c>
      <c r="O233">
        <f t="shared" ca="1" si="17"/>
        <v>0</v>
      </c>
      <c r="P233">
        <f t="shared" si="18"/>
        <v>0</v>
      </c>
      <c r="Q233" t="e">
        <f t="shared" si="19"/>
        <v>#VALUE!</v>
      </c>
    </row>
    <row r="234" spans="1:17" ht="15" customHeight="1" x14ac:dyDescent="0.25">
      <c r="A234">
        <f>'Customers Raw data'!A234</f>
        <v>1233</v>
      </c>
      <c r="B234" t="str">
        <f>'Customers Raw data'!B234</f>
        <v>2024-11-23</v>
      </c>
      <c r="C234" t="str">
        <f>'Customers Raw data'!C234</f>
        <v>Pro</v>
      </c>
      <c r="D234">
        <f>'Customers Raw data'!D234</f>
        <v>200</v>
      </c>
      <c r="E234">
        <f>'Customers Raw data'!E234</f>
        <v>100</v>
      </c>
      <c r="F234">
        <f>'Customers Raw data'!F234</f>
        <v>0</v>
      </c>
      <c r="G234">
        <f>IF('Customers Raw data'!F234&lt;&gt;"",1,0)</f>
        <v>0</v>
      </c>
      <c r="H234" t="str">
        <f>IF('Customers Raw data'!F234&lt;&gt;"",YEAR(DATEVALUE('Customers Raw data'!F234)),"")</f>
        <v/>
      </c>
      <c r="I234" t="str">
        <f>IF('Customers Raw data'!F234&lt;&gt;"",MONTH(DATEVALUE('Customers Raw data'!F234)),"")</f>
        <v/>
      </c>
      <c r="J234">
        <f>YEAR(DATEVALUE('Customers Raw data'!B234))</f>
        <v>2024</v>
      </c>
      <c r="K234">
        <f>MONTH(DATEVALUE('Customers Raw data'!B234))</f>
        <v>11</v>
      </c>
      <c r="L234">
        <f ca="1">IF('Customers Raw data'!F234&lt;&gt;"",DATEDIF(DATEVALUE('Customers Raw data'!B234),DATEVALUE('Customers Raw data'!F234),"M"),DATEDIF(DATEVALUE('Customers Raw data'!B234),TODAY(),"M"))</f>
        <v>16</v>
      </c>
      <c r="M234">
        <f t="shared" ca="1" si="15"/>
        <v>3200</v>
      </c>
      <c r="N234">
        <f t="shared" si="16"/>
        <v>2</v>
      </c>
      <c r="O234">
        <f t="shared" ca="1" si="17"/>
        <v>0</v>
      </c>
      <c r="P234">
        <f t="shared" si="18"/>
        <v>0</v>
      </c>
      <c r="Q234" t="e">
        <f t="shared" si="19"/>
        <v>#VALUE!</v>
      </c>
    </row>
    <row r="235" spans="1:17" ht="15" customHeight="1" x14ac:dyDescent="0.25">
      <c r="A235">
        <f>'Customers Raw data'!A235</f>
        <v>1234</v>
      </c>
      <c r="B235" t="str">
        <f>'Customers Raw data'!B235</f>
        <v>2024-10-21</v>
      </c>
      <c r="C235" t="str">
        <f>'Customers Raw data'!C235</f>
        <v>Basic</v>
      </c>
      <c r="D235">
        <f>'Customers Raw data'!D235</f>
        <v>50</v>
      </c>
      <c r="E235">
        <f>'Customers Raw data'!E235</f>
        <v>30</v>
      </c>
      <c r="F235" t="str">
        <f>'Customers Raw data'!F235</f>
        <v>2025-02-26</v>
      </c>
      <c r="G235">
        <f>IF('Customers Raw data'!F235&lt;&gt;"",1,0)</f>
        <v>1</v>
      </c>
      <c r="H235">
        <f>IF('Customers Raw data'!F235&lt;&gt;"",YEAR(DATEVALUE('Customers Raw data'!F235)),"")</f>
        <v>2025</v>
      </c>
      <c r="I235">
        <f>IF('Customers Raw data'!F235&lt;&gt;"",MONTH(DATEVALUE('Customers Raw data'!F235)),"")</f>
        <v>2</v>
      </c>
      <c r="J235">
        <f>YEAR(DATEVALUE('Customers Raw data'!B235))</f>
        <v>2024</v>
      </c>
      <c r="K235">
        <f>MONTH(DATEVALUE('Customers Raw data'!B235))</f>
        <v>10</v>
      </c>
      <c r="L235">
        <f ca="1">IF('Customers Raw data'!F235&lt;&gt;"",DATEDIF(DATEVALUE('Customers Raw data'!B235),DATEVALUE('Customers Raw data'!F235),"M"),DATEDIF(DATEVALUE('Customers Raw data'!B235),TODAY(),"M"))</f>
        <v>4</v>
      </c>
      <c r="M235">
        <f t="shared" ca="1" si="15"/>
        <v>200</v>
      </c>
      <c r="N235">
        <f t="shared" si="16"/>
        <v>1</v>
      </c>
      <c r="O235">
        <f t="shared" ca="1" si="17"/>
        <v>1</v>
      </c>
      <c r="P235">
        <f t="shared" si="18"/>
        <v>50</v>
      </c>
      <c r="Q235" t="str">
        <f t="shared" si="19"/>
        <v>2025-02</v>
      </c>
    </row>
    <row r="236" spans="1:17" ht="15" customHeight="1" x14ac:dyDescent="0.25">
      <c r="A236">
        <f>'Customers Raw data'!A236</f>
        <v>1235</v>
      </c>
      <c r="B236" t="str">
        <f>'Customers Raw data'!B236</f>
        <v>2025-02-24</v>
      </c>
      <c r="C236" t="str">
        <f>'Customers Raw data'!C236</f>
        <v>Enterprise</v>
      </c>
      <c r="D236">
        <f>'Customers Raw data'!D236</f>
        <v>500</v>
      </c>
      <c r="E236">
        <f>'Customers Raw data'!E236</f>
        <v>200</v>
      </c>
      <c r="F236" t="str">
        <f>'Customers Raw data'!F236</f>
        <v>2025-03-31</v>
      </c>
      <c r="G236">
        <f>IF('Customers Raw data'!F236&lt;&gt;"",1,0)</f>
        <v>1</v>
      </c>
      <c r="H236">
        <f>IF('Customers Raw data'!F236&lt;&gt;"",YEAR(DATEVALUE('Customers Raw data'!F236)),"")</f>
        <v>2025</v>
      </c>
      <c r="I236">
        <f>IF('Customers Raw data'!F236&lt;&gt;"",MONTH(DATEVALUE('Customers Raw data'!F236)),"")</f>
        <v>3</v>
      </c>
      <c r="J236">
        <f>YEAR(DATEVALUE('Customers Raw data'!B236))</f>
        <v>2025</v>
      </c>
      <c r="K236">
        <f>MONTH(DATEVALUE('Customers Raw data'!B236))</f>
        <v>2</v>
      </c>
      <c r="L236">
        <f ca="1">IF('Customers Raw data'!F236&lt;&gt;"",DATEDIF(DATEVALUE('Customers Raw data'!B236),DATEVALUE('Customers Raw data'!F236),"M"),DATEDIF(DATEVALUE('Customers Raw data'!B236),TODAY(),"M"))</f>
        <v>1</v>
      </c>
      <c r="M236">
        <f t="shared" ca="1" si="15"/>
        <v>500</v>
      </c>
      <c r="N236">
        <f t="shared" si="16"/>
        <v>3</v>
      </c>
      <c r="O236">
        <f t="shared" ca="1" si="17"/>
        <v>1</v>
      </c>
      <c r="P236">
        <f t="shared" si="18"/>
        <v>500</v>
      </c>
      <c r="Q236" t="str">
        <f t="shared" si="19"/>
        <v>2025-03</v>
      </c>
    </row>
    <row r="237" spans="1:17" ht="15" customHeight="1" x14ac:dyDescent="0.25">
      <c r="A237">
        <f>'Customers Raw data'!A237</f>
        <v>1236</v>
      </c>
      <c r="B237" t="str">
        <f>'Customers Raw data'!B237</f>
        <v>2025-04-05</v>
      </c>
      <c r="C237" t="str">
        <f>'Customers Raw data'!C237</f>
        <v>Basic</v>
      </c>
      <c r="D237">
        <f>'Customers Raw data'!D237</f>
        <v>50</v>
      </c>
      <c r="E237">
        <f>'Customers Raw data'!E237</f>
        <v>30</v>
      </c>
      <c r="F237">
        <f>'Customers Raw data'!F237</f>
        <v>0</v>
      </c>
      <c r="G237">
        <f>IF('Customers Raw data'!F237&lt;&gt;"",1,0)</f>
        <v>0</v>
      </c>
      <c r="H237" t="str">
        <f>IF('Customers Raw data'!F237&lt;&gt;"",YEAR(DATEVALUE('Customers Raw data'!F237)),"")</f>
        <v/>
      </c>
      <c r="I237" t="str">
        <f>IF('Customers Raw data'!F237&lt;&gt;"",MONTH(DATEVALUE('Customers Raw data'!F237)),"")</f>
        <v/>
      </c>
      <c r="J237">
        <f>YEAR(DATEVALUE('Customers Raw data'!B237))</f>
        <v>2025</v>
      </c>
      <c r="K237">
        <f>MONTH(DATEVALUE('Customers Raw data'!B237))</f>
        <v>4</v>
      </c>
      <c r="L237">
        <f ca="1">IF('Customers Raw data'!F237&lt;&gt;"",DATEDIF(DATEVALUE('Customers Raw data'!B237),DATEVALUE('Customers Raw data'!F237),"M"),DATEDIF(DATEVALUE('Customers Raw data'!B237),TODAY(),"M"))</f>
        <v>12</v>
      </c>
      <c r="M237">
        <f t="shared" ca="1" si="15"/>
        <v>600</v>
      </c>
      <c r="N237">
        <f t="shared" si="16"/>
        <v>1</v>
      </c>
      <c r="O237">
        <f t="shared" ca="1" si="17"/>
        <v>0</v>
      </c>
      <c r="P237">
        <f t="shared" si="18"/>
        <v>0</v>
      </c>
      <c r="Q237" t="e">
        <f t="shared" si="19"/>
        <v>#VALUE!</v>
      </c>
    </row>
    <row r="238" spans="1:17" ht="15" customHeight="1" x14ac:dyDescent="0.25">
      <c r="A238">
        <f>'Customers Raw data'!A238</f>
        <v>1237</v>
      </c>
      <c r="B238" t="str">
        <f>'Customers Raw data'!B238</f>
        <v>2024-11-22</v>
      </c>
      <c r="C238" t="str">
        <f>'Customers Raw data'!C238</f>
        <v>Enterprise</v>
      </c>
      <c r="D238">
        <f>'Customers Raw data'!D238</f>
        <v>500</v>
      </c>
      <c r="E238">
        <f>'Customers Raw data'!E238</f>
        <v>200</v>
      </c>
      <c r="F238">
        <f>'Customers Raw data'!F238</f>
        <v>0</v>
      </c>
      <c r="G238">
        <f>IF('Customers Raw data'!F238&lt;&gt;"",1,0)</f>
        <v>0</v>
      </c>
      <c r="H238" t="str">
        <f>IF('Customers Raw data'!F238&lt;&gt;"",YEAR(DATEVALUE('Customers Raw data'!F238)),"")</f>
        <v/>
      </c>
      <c r="I238" t="str">
        <f>IF('Customers Raw data'!F238&lt;&gt;"",MONTH(DATEVALUE('Customers Raw data'!F238)),"")</f>
        <v/>
      </c>
      <c r="J238">
        <f>YEAR(DATEVALUE('Customers Raw data'!B238))</f>
        <v>2024</v>
      </c>
      <c r="K238">
        <f>MONTH(DATEVALUE('Customers Raw data'!B238))</f>
        <v>11</v>
      </c>
      <c r="L238">
        <f ca="1">IF('Customers Raw data'!F238&lt;&gt;"",DATEDIF(DATEVALUE('Customers Raw data'!B238),DATEVALUE('Customers Raw data'!F238),"M"),DATEDIF(DATEVALUE('Customers Raw data'!B238),TODAY(),"M"))</f>
        <v>16</v>
      </c>
      <c r="M238">
        <f t="shared" ca="1" si="15"/>
        <v>8000</v>
      </c>
      <c r="N238">
        <f t="shared" si="16"/>
        <v>3</v>
      </c>
      <c r="O238">
        <f t="shared" ca="1" si="17"/>
        <v>0</v>
      </c>
      <c r="P238">
        <f t="shared" si="18"/>
        <v>0</v>
      </c>
      <c r="Q238" t="e">
        <f t="shared" si="19"/>
        <v>#VALUE!</v>
      </c>
    </row>
    <row r="239" spans="1:17" ht="15" customHeight="1" x14ac:dyDescent="0.25">
      <c r="A239">
        <f>'Customers Raw data'!A239</f>
        <v>1238</v>
      </c>
      <c r="B239" t="str">
        <f>'Customers Raw data'!B239</f>
        <v>2025-04-24</v>
      </c>
      <c r="C239" t="str">
        <f>'Customers Raw data'!C239</f>
        <v>Pro</v>
      </c>
      <c r="D239">
        <f>'Customers Raw data'!D239</f>
        <v>200</v>
      </c>
      <c r="E239">
        <f>'Customers Raw data'!E239</f>
        <v>100</v>
      </c>
      <c r="F239">
        <f>'Customers Raw data'!F239</f>
        <v>0</v>
      </c>
      <c r="G239">
        <f>IF('Customers Raw data'!F239&lt;&gt;"",1,0)</f>
        <v>0</v>
      </c>
      <c r="H239" t="str">
        <f>IF('Customers Raw data'!F239&lt;&gt;"",YEAR(DATEVALUE('Customers Raw data'!F239)),"")</f>
        <v/>
      </c>
      <c r="I239" t="str">
        <f>IF('Customers Raw data'!F239&lt;&gt;"",MONTH(DATEVALUE('Customers Raw data'!F239)),"")</f>
        <v/>
      </c>
      <c r="J239">
        <f>YEAR(DATEVALUE('Customers Raw data'!B239))</f>
        <v>2025</v>
      </c>
      <c r="K239">
        <f>MONTH(DATEVALUE('Customers Raw data'!B239))</f>
        <v>4</v>
      </c>
      <c r="L239">
        <f ca="1">IF('Customers Raw data'!F239&lt;&gt;"",DATEDIF(DATEVALUE('Customers Raw data'!B239),DATEVALUE('Customers Raw data'!F239),"M"),DATEDIF(DATEVALUE('Customers Raw data'!B239),TODAY(),"M"))</f>
        <v>11</v>
      </c>
      <c r="M239">
        <f t="shared" ca="1" si="15"/>
        <v>2200</v>
      </c>
      <c r="N239">
        <f t="shared" si="16"/>
        <v>2</v>
      </c>
      <c r="O239">
        <f t="shared" ca="1" si="17"/>
        <v>0</v>
      </c>
      <c r="P239">
        <f t="shared" si="18"/>
        <v>0</v>
      </c>
      <c r="Q239" t="e">
        <f t="shared" si="19"/>
        <v>#VALUE!</v>
      </c>
    </row>
    <row r="240" spans="1:17" ht="15" customHeight="1" x14ac:dyDescent="0.25">
      <c r="A240">
        <f>'Customers Raw data'!A240</f>
        <v>1239</v>
      </c>
      <c r="B240" t="str">
        <f>'Customers Raw data'!B240</f>
        <v>2024-05-21</v>
      </c>
      <c r="C240" t="str">
        <f>'Customers Raw data'!C240</f>
        <v>Pro</v>
      </c>
      <c r="D240">
        <f>'Customers Raw data'!D240</f>
        <v>200</v>
      </c>
      <c r="E240">
        <f>'Customers Raw data'!E240</f>
        <v>100</v>
      </c>
      <c r="F240" t="str">
        <f>'Customers Raw data'!F240</f>
        <v>2025-05-28</v>
      </c>
      <c r="G240">
        <f>IF('Customers Raw data'!F240&lt;&gt;"",1,0)</f>
        <v>1</v>
      </c>
      <c r="H240">
        <f>IF('Customers Raw data'!F240&lt;&gt;"",YEAR(DATEVALUE('Customers Raw data'!F240)),"")</f>
        <v>2025</v>
      </c>
      <c r="I240">
        <f>IF('Customers Raw data'!F240&lt;&gt;"",MONTH(DATEVALUE('Customers Raw data'!F240)),"")</f>
        <v>5</v>
      </c>
      <c r="J240">
        <f>YEAR(DATEVALUE('Customers Raw data'!B240))</f>
        <v>2024</v>
      </c>
      <c r="K240">
        <f>MONTH(DATEVALUE('Customers Raw data'!B240))</f>
        <v>5</v>
      </c>
      <c r="L240">
        <f ca="1">IF('Customers Raw data'!F240&lt;&gt;"",DATEDIF(DATEVALUE('Customers Raw data'!B240),DATEVALUE('Customers Raw data'!F240),"M"),DATEDIF(DATEVALUE('Customers Raw data'!B240),TODAY(),"M"))</f>
        <v>12</v>
      </c>
      <c r="M240">
        <f t="shared" ca="1" si="15"/>
        <v>2400</v>
      </c>
      <c r="N240">
        <f t="shared" si="16"/>
        <v>2</v>
      </c>
      <c r="O240">
        <f t="shared" ca="1" si="17"/>
        <v>0</v>
      </c>
      <c r="P240">
        <f t="shared" si="18"/>
        <v>200</v>
      </c>
      <c r="Q240" t="str">
        <f t="shared" si="19"/>
        <v>2025-05</v>
      </c>
    </row>
    <row r="241" spans="1:17" ht="15" customHeight="1" x14ac:dyDescent="0.25">
      <c r="A241">
        <f>'Customers Raw data'!A241</f>
        <v>1240</v>
      </c>
      <c r="B241" t="str">
        <f>'Customers Raw data'!B241</f>
        <v>2025-05-13</v>
      </c>
      <c r="C241" t="str">
        <f>'Customers Raw data'!C241</f>
        <v>Enterprise</v>
      </c>
      <c r="D241">
        <f>'Customers Raw data'!D241</f>
        <v>500</v>
      </c>
      <c r="E241">
        <f>'Customers Raw data'!E241</f>
        <v>200</v>
      </c>
      <c r="F241">
        <f>'Customers Raw data'!F241</f>
        <v>0</v>
      </c>
      <c r="G241">
        <f>IF('Customers Raw data'!F241&lt;&gt;"",1,0)</f>
        <v>0</v>
      </c>
      <c r="H241" t="str">
        <f>IF('Customers Raw data'!F241&lt;&gt;"",YEAR(DATEVALUE('Customers Raw data'!F241)),"")</f>
        <v/>
      </c>
      <c r="I241" t="str">
        <f>IF('Customers Raw data'!F241&lt;&gt;"",MONTH(DATEVALUE('Customers Raw data'!F241)),"")</f>
        <v/>
      </c>
      <c r="J241">
        <f>YEAR(DATEVALUE('Customers Raw data'!B241))</f>
        <v>2025</v>
      </c>
      <c r="K241">
        <f>MONTH(DATEVALUE('Customers Raw data'!B241))</f>
        <v>5</v>
      </c>
      <c r="L241">
        <f ca="1">IF('Customers Raw data'!F241&lt;&gt;"",DATEDIF(DATEVALUE('Customers Raw data'!B241),DATEVALUE('Customers Raw data'!F241),"M"),DATEDIF(DATEVALUE('Customers Raw data'!B241),TODAY(),"M"))</f>
        <v>10</v>
      </c>
      <c r="M241">
        <f t="shared" ca="1" si="15"/>
        <v>5000</v>
      </c>
      <c r="N241">
        <f t="shared" si="16"/>
        <v>3</v>
      </c>
      <c r="O241">
        <f t="shared" ca="1" si="17"/>
        <v>0</v>
      </c>
      <c r="P241">
        <f t="shared" si="18"/>
        <v>0</v>
      </c>
      <c r="Q241" t="e">
        <f t="shared" si="19"/>
        <v>#VALUE!</v>
      </c>
    </row>
    <row r="242" spans="1:17" ht="15" customHeight="1" x14ac:dyDescent="0.25">
      <c r="A242">
        <f>'Customers Raw data'!A242</f>
        <v>1241</v>
      </c>
      <c r="B242" t="str">
        <f>'Customers Raw data'!B242</f>
        <v>2024-09-06</v>
      </c>
      <c r="C242" t="str">
        <f>'Customers Raw data'!C242</f>
        <v>Pro</v>
      </c>
      <c r="D242">
        <f>'Customers Raw data'!D242</f>
        <v>200</v>
      </c>
      <c r="E242">
        <f>'Customers Raw data'!E242</f>
        <v>100</v>
      </c>
      <c r="F242" t="str">
        <f>'Customers Raw data'!F242</f>
        <v>2025-03-16</v>
      </c>
      <c r="G242">
        <f>IF('Customers Raw data'!F242&lt;&gt;"",1,0)</f>
        <v>1</v>
      </c>
      <c r="H242">
        <f>IF('Customers Raw data'!F242&lt;&gt;"",YEAR(DATEVALUE('Customers Raw data'!F242)),"")</f>
        <v>2025</v>
      </c>
      <c r="I242">
        <f>IF('Customers Raw data'!F242&lt;&gt;"",MONTH(DATEVALUE('Customers Raw data'!F242)),"")</f>
        <v>3</v>
      </c>
      <c r="J242">
        <f>YEAR(DATEVALUE('Customers Raw data'!B242))</f>
        <v>2024</v>
      </c>
      <c r="K242">
        <f>MONTH(DATEVALUE('Customers Raw data'!B242))</f>
        <v>9</v>
      </c>
      <c r="L242">
        <f ca="1">IF('Customers Raw data'!F242&lt;&gt;"",DATEDIF(DATEVALUE('Customers Raw data'!B242),DATEVALUE('Customers Raw data'!F242),"M"),DATEDIF(DATEVALUE('Customers Raw data'!B242),TODAY(),"M"))</f>
        <v>6</v>
      </c>
      <c r="M242">
        <f t="shared" ca="1" si="15"/>
        <v>1200</v>
      </c>
      <c r="N242">
        <f t="shared" si="16"/>
        <v>2</v>
      </c>
      <c r="O242">
        <f t="shared" ca="1" si="17"/>
        <v>0</v>
      </c>
      <c r="P242">
        <f t="shared" si="18"/>
        <v>200</v>
      </c>
      <c r="Q242" t="str">
        <f t="shared" si="19"/>
        <v>2025-03</v>
      </c>
    </row>
    <row r="243" spans="1:17" ht="15" customHeight="1" x14ac:dyDescent="0.25">
      <c r="A243">
        <f>'Customers Raw data'!A243</f>
        <v>1242</v>
      </c>
      <c r="B243" t="str">
        <f>'Customers Raw data'!B243</f>
        <v>2025-03-09</v>
      </c>
      <c r="C243" t="str">
        <f>'Customers Raw data'!C243</f>
        <v>Basic</v>
      </c>
      <c r="D243">
        <f>'Customers Raw data'!D243</f>
        <v>50</v>
      </c>
      <c r="E243">
        <f>'Customers Raw data'!E243</f>
        <v>30</v>
      </c>
      <c r="F243" t="str">
        <f>'Customers Raw data'!F243</f>
        <v>2025-06-19</v>
      </c>
      <c r="G243">
        <f>IF('Customers Raw data'!F243&lt;&gt;"",1,0)</f>
        <v>1</v>
      </c>
      <c r="H243">
        <f>IF('Customers Raw data'!F243&lt;&gt;"",YEAR(DATEVALUE('Customers Raw data'!F243)),"")</f>
        <v>2025</v>
      </c>
      <c r="I243">
        <f>IF('Customers Raw data'!F243&lt;&gt;"",MONTH(DATEVALUE('Customers Raw data'!F243)),"")</f>
        <v>6</v>
      </c>
      <c r="J243">
        <f>YEAR(DATEVALUE('Customers Raw data'!B243))</f>
        <v>2025</v>
      </c>
      <c r="K243">
        <f>MONTH(DATEVALUE('Customers Raw data'!B243))</f>
        <v>3</v>
      </c>
      <c r="L243">
        <f ca="1">IF('Customers Raw data'!F243&lt;&gt;"",DATEDIF(DATEVALUE('Customers Raw data'!B243),DATEVALUE('Customers Raw data'!F243),"M"),DATEDIF(DATEVALUE('Customers Raw data'!B243),TODAY(),"M"))</f>
        <v>3</v>
      </c>
      <c r="M243">
        <f t="shared" ca="1" si="15"/>
        <v>150</v>
      </c>
      <c r="N243">
        <f t="shared" si="16"/>
        <v>1</v>
      </c>
      <c r="O243">
        <f t="shared" ca="1" si="17"/>
        <v>1</v>
      </c>
      <c r="P243">
        <f t="shared" si="18"/>
        <v>50</v>
      </c>
      <c r="Q243" t="str">
        <f t="shared" si="19"/>
        <v>2025-06</v>
      </c>
    </row>
    <row r="244" spans="1:17" ht="15" customHeight="1" x14ac:dyDescent="0.25">
      <c r="A244">
        <f>'Customers Raw data'!A244</f>
        <v>1243</v>
      </c>
      <c r="B244" t="str">
        <f>'Customers Raw data'!B244</f>
        <v>2024-05-16</v>
      </c>
      <c r="C244" t="str">
        <f>'Customers Raw data'!C244</f>
        <v>Basic</v>
      </c>
      <c r="D244">
        <f>'Customers Raw data'!D244</f>
        <v>50</v>
      </c>
      <c r="E244">
        <f>'Customers Raw data'!E244</f>
        <v>30</v>
      </c>
      <c r="F244">
        <f>'Customers Raw data'!F244</f>
        <v>0</v>
      </c>
      <c r="G244">
        <f>IF('Customers Raw data'!F244&lt;&gt;"",1,0)</f>
        <v>0</v>
      </c>
      <c r="H244" t="str">
        <f>IF('Customers Raw data'!F244&lt;&gt;"",YEAR(DATEVALUE('Customers Raw data'!F244)),"")</f>
        <v/>
      </c>
      <c r="I244" t="str">
        <f>IF('Customers Raw data'!F244&lt;&gt;"",MONTH(DATEVALUE('Customers Raw data'!F244)),"")</f>
        <v/>
      </c>
      <c r="J244">
        <f>YEAR(DATEVALUE('Customers Raw data'!B244))</f>
        <v>2024</v>
      </c>
      <c r="K244">
        <f>MONTH(DATEVALUE('Customers Raw data'!B244))</f>
        <v>5</v>
      </c>
      <c r="L244">
        <f ca="1">IF('Customers Raw data'!F244&lt;&gt;"",DATEDIF(DATEVALUE('Customers Raw data'!B244),DATEVALUE('Customers Raw data'!F244),"M"),DATEDIF(DATEVALUE('Customers Raw data'!B244),TODAY(),"M"))</f>
        <v>22</v>
      </c>
      <c r="M244">
        <f t="shared" ca="1" si="15"/>
        <v>1100</v>
      </c>
      <c r="N244">
        <f t="shared" si="16"/>
        <v>1</v>
      </c>
      <c r="O244">
        <f t="shared" ca="1" si="17"/>
        <v>0</v>
      </c>
      <c r="P244">
        <f t="shared" si="18"/>
        <v>0</v>
      </c>
      <c r="Q244" t="e">
        <f t="shared" si="19"/>
        <v>#VALUE!</v>
      </c>
    </row>
    <row r="245" spans="1:17" ht="15" customHeight="1" x14ac:dyDescent="0.25">
      <c r="A245">
        <f>'Customers Raw data'!A245</f>
        <v>1244</v>
      </c>
      <c r="B245" t="str">
        <f>'Customers Raw data'!B245</f>
        <v>2024-04-22</v>
      </c>
      <c r="C245" t="str">
        <f>'Customers Raw data'!C245</f>
        <v>Enterprise</v>
      </c>
      <c r="D245">
        <f>'Customers Raw data'!D245</f>
        <v>500</v>
      </c>
      <c r="E245">
        <f>'Customers Raw data'!E245</f>
        <v>200</v>
      </c>
      <c r="F245">
        <f>'Customers Raw data'!F245</f>
        <v>0</v>
      </c>
      <c r="G245">
        <f>IF('Customers Raw data'!F245&lt;&gt;"",1,0)</f>
        <v>0</v>
      </c>
      <c r="H245" t="str">
        <f>IF('Customers Raw data'!F245&lt;&gt;"",YEAR(DATEVALUE('Customers Raw data'!F245)),"")</f>
        <v/>
      </c>
      <c r="I245" t="str">
        <f>IF('Customers Raw data'!F245&lt;&gt;"",MONTH(DATEVALUE('Customers Raw data'!F245)),"")</f>
        <v/>
      </c>
      <c r="J245">
        <f>YEAR(DATEVALUE('Customers Raw data'!B245))</f>
        <v>2024</v>
      </c>
      <c r="K245">
        <f>MONTH(DATEVALUE('Customers Raw data'!B245))</f>
        <v>4</v>
      </c>
      <c r="L245">
        <f ca="1">IF('Customers Raw data'!F245&lt;&gt;"",DATEDIF(DATEVALUE('Customers Raw data'!B245),DATEVALUE('Customers Raw data'!F245),"M"),DATEDIF(DATEVALUE('Customers Raw data'!B245),TODAY(),"M"))</f>
        <v>23</v>
      </c>
      <c r="M245">
        <f t="shared" ca="1" si="15"/>
        <v>11500</v>
      </c>
      <c r="N245">
        <f t="shared" si="16"/>
        <v>3</v>
      </c>
      <c r="O245">
        <f t="shared" ca="1" si="17"/>
        <v>0</v>
      </c>
      <c r="P245">
        <f t="shared" si="18"/>
        <v>0</v>
      </c>
      <c r="Q245" t="e">
        <f t="shared" si="19"/>
        <v>#VALUE!</v>
      </c>
    </row>
    <row r="246" spans="1:17" ht="15" customHeight="1" x14ac:dyDescent="0.25">
      <c r="A246">
        <f>'Customers Raw data'!A246</f>
        <v>1245</v>
      </c>
      <c r="B246" t="str">
        <f>'Customers Raw data'!B246</f>
        <v>2025-03-26</v>
      </c>
      <c r="C246" t="str">
        <f>'Customers Raw data'!C246</f>
        <v>Basic</v>
      </c>
      <c r="D246">
        <f>'Customers Raw data'!D246</f>
        <v>50</v>
      </c>
      <c r="E246">
        <f>'Customers Raw data'!E246</f>
        <v>30</v>
      </c>
      <c r="F246">
        <f>'Customers Raw data'!F246</f>
        <v>0</v>
      </c>
      <c r="G246">
        <f>IF('Customers Raw data'!F246&lt;&gt;"",1,0)</f>
        <v>0</v>
      </c>
      <c r="H246" t="str">
        <f>IF('Customers Raw data'!F246&lt;&gt;"",YEAR(DATEVALUE('Customers Raw data'!F246)),"")</f>
        <v/>
      </c>
      <c r="I246" t="str">
        <f>IF('Customers Raw data'!F246&lt;&gt;"",MONTH(DATEVALUE('Customers Raw data'!F246)),"")</f>
        <v/>
      </c>
      <c r="J246">
        <f>YEAR(DATEVALUE('Customers Raw data'!B246))</f>
        <v>2025</v>
      </c>
      <c r="K246">
        <f>MONTH(DATEVALUE('Customers Raw data'!B246))</f>
        <v>3</v>
      </c>
      <c r="L246">
        <f ca="1">IF('Customers Raw data'!F246&lt;&gt;"",DATEDIF(DATEVALUE('Customers Raw data'!B246),DATEVALUE('Customers Raw data'!F246),"M"),DATEDIF(DATEVALUE('Customers Raw data'!B246),TODAY(),"M"))</f>
        <v>12</v>
      </c>
      <c r="M246">
        <f t="shared" ca="1" si="15"/>
        <v>600</v>
      </c>
      <c r="N246">
        <f t="shared" si="16"/>
        <v>1</v>
      </c>
      <c r="O246">
        <f t="shared" ca="1" si="17"/>
        <v>0</v>
      </c>
      <c r="P246">
        <f t="shared" si="18"/>
        <v>0</v>
      </c>
      <c r="Q246" t="e">
        <f t="shared" si="19"/>
        <v>#VALUE!</v>
      </c>
    </row>
    <row r="247" spans="1:17" ht="15" customHeight="1" x14ac:dyDescent="0.25">
      <c r="A247">
        <f>'Customers Raw data'!A247</f>
        <v>1246</v>
      </c>
      <c r="B247" t="str">
        <f>'Customers Raw data'!B247</f>
        <v>2025-05-30</v>
      </c>
      <c r="C247" t="str">
        <f>'Customers Raw data'!C247</f>
        <v>Enterprise</v>
      </c>
      <c r="D247">
        <f>'Customers Raw data'!D247</f>
        <v>500</v>
      </c>
      <c r="E247">
        <f>'Customers Raw data'!E247</f>
        <v>200</v>
      </c>
      <c r="F247">
        <f>'Customers Raw data'!F247</f>
        <v>0</v>
      </c>
      <c r="G247">
        <f>IF('Customers Raw data'!F247&lt;&gt;"",1,0)</f>
        <v>0</v>
      </c>
      <c r="H247" t="str">
        <f>IF('Customers Raw data'!F247&lt;&gt;"",YEAR(DATEVALUE('Customers Raw data'!F247)),"")</f>
        <v/>
      </c>
      <c r="I247" t="str">
        <f>IF('Customers Raw data'!F247&lt;&gt;"",MONTH(DATEVALUE('Customers Raw data'!F247)),"")</f>
        <v/>
      </c>
      <c r="J247">
        <f>YEAR(DATEVALUE('Customers Raw data'!B247))</f>
        <v>2025</v>
      </c>
      <c r="K247">
        <f>MONTH(DATEVALUE('Customers Raw data'!B247))</f>
        <v>5</v>
      </c>
      <c r="L247">
        <f ca="1">IF('Customers Raw data'!F247&lt;&gt;"",DATEDIF(DATEVALUE('Customers Raw data'!B247),DATEVALUE('Customers Raw data'!F247),"M"),DATEDIF(DATEVALUE('Customers Raw data'!B247),TODAY(),"M"))</f>
        <v>10</v>
      </c>
      <c r="M247">
        <f t="shared" ca="1" si="15"/>
        <v>5000</v>
      </c>
      <c r="N247">
        <f t="shared" si="16"/>
        <v>3</v>
      </c>
      <c r="O247">
        <f t="shared" ca="1" si="17"/>
        <v>0</v>
      </c>
      <c r="P247">
        <f t="shared" si="18"/>
        <v>0</v>
      </c>
      <c r="Q247" t="e">
        <f t="shared" si="19"/>
        <v>#VALUE!</v>
      </c>
    </row>
    <row r="248" spans="1:17" ht="15" customHeight="1" x14ac:dyDescent="0.25">
      <c r="A248">
        <f>'Customers Raw data'!A248</f>
        <v>1247</v>
      </c>
      <c r="B248" t="str">
        <f>'Customers Raw data'!B248</f>
        <v>2024-05-28</v>
      </c>
      <c r="C248" t="str">
        <f>'Customers Raw data'!C248</f>
        <v>Pro</v>
      </c>
      <c r="D248">
        <f>'Customers Raw data'!D248</f>
        <v>200</v>
      </c>
      <c r="E248">
        <f>'Customers Raw data'!E248</f>
        <v>100</v>
      </c>
      <c r="F248" t="str">
        <f>'Customers Raw data'!F248</f>
        <v>2024-08-21</v>
      </c>
      <c r="G248">
        <f>IF('Customers Raw data'!F248&lt;&gt;"",1,0)</f>
        <v>1</v>
      </c>
      <c r="H248">
        <f>IF('Customers Raw data'!F248&lt;&gt;"",YEAR(DATEVALUE('Customers Raw data'!F248)),"")</f>
        <v>2024</v>
      </c>
      <c r="I248">
        <f>IF('Customers Raw data'!F248&lt;&gt;"",MONTH(DATEVALUE('Customers Raw data'!F248)),"")</f>
        <v>8</v>
      </c>
      <c r="J248">
        <f>YEAR(DATEVALUE('Customers Raw data'!B248))</f>
        <v>2024</v>
      </c>
      <c r="K248">
        <f>MONTH(DATEVALUE('Customers Raw data'!B248))</f>
        <v>5</v>
      </c>
      <c r="L248">
        <f ca="1">IF('Customers Raw data'!F248&lt;&gt;"",DATEDIF(DATEVALUE('Customers Raw data'!B248),DATEVALUE('Customers Raw data'!F248),"M"),DATEDIF(DATEVALUE('Customers Raw data'!B248),TODAY(),"M"))</f>
        <v>2</v>
      </c>
      <c r="M248">
        <f t="shared" ca="1" si="15"/>
        <v>400</v>
      </c>
      <c r="N248">
        <f t="shared" si="16"/>
        <v>2</v>
      </c>
      <c r="O248">
        <f t="shared" ca="1" si="17"/>
        <v>1</v>
      </c>
      <c r="P248">
        <f t="shared" si="18"/>
        <v>200</v>
      </c>
      <c r="Q248" t="str">
        <f t="shared" si="19"/>
        <v>2024-08</v>
      </c>
    </row>
    <row r="249" spans="1:17" ht="15" customHeight="1" x14ac:dyDescent="0.25">
      <c r="A249">
        <f>'Customers Raw data'!A249</f>
        <v>1248</v>
      </c>
      <c r="B249" t="str">
        <f>'Customers Raw data'!B249</f>
        <v>2025-05-29</v>
      </c>
      <c r="C249" t="str">
        <f>'Customers Raw data'!C249</f>
        <v>Enterprise</v>
      </c>
      <c r="D249">
        <f>'Customers Raw data'!D249</f>
        <v>500</v>
      </c>
      <c r="E249">
        <f>'Customers Raw data'!E249</f>
        <v>200</v>
      </c>
      <c r="F249">
        <f>'Customers Raw data'!F249</f>
        <v>0</v>
      </c>
      <c r="G249">
        <f>IF('Customers Raw data'!F249&lt;&gt;"",1,0)</f>
        <v>0</v>
      </c>
      <c r="H249" t="str">
        <f>IF('Customers Raw data'!F249&lt;&gt;"",YEAR(DATEVALUE('Customers Raw data'!F249)),"")</f>
        <v/>
      </c>
      <c r="I249" t="str">
        <f>IF('Customers Raw data'!F249&lt;&gt;"",MONTH(DATEVALUE('Customers Raw data'!F249)),"")</f>
        <v/>
      </c>
      <c r="J249">
        <f>YEAR(DATEVALUE('Customers Raw data'!B249))</f>
        <v>2025</v>
      </c>
      <c r="K249">
        <f>MONTH(DATEVALUE('Customers Raw data'!B249))</f>
        <v>5</v>
      </c>
      <c r="L249">
        <f ca="1">IF('Customers Raw data'!F249&lt;&gt;"",DATEDIF(DATEVALUE('Customers Raw data'!B249),DATEVALUE('Customers Raw data'!F249),"M"),DATEDIF(DATEVALUE('Customers Raw data'!B249),TODAY(),"M"))</f>
        <v>10</v>
      </c>
      <c r="M249">
        <f t="shared" ca="1" si="15"/>
        <v>5000</v>
      </c>
      <c r="N249">
        <f t="shared" si="16"/>
        <v>3</v>
      </c>
      <c r="O249">
        <f t="shared" ca="1" si="17"/>
        <v>0</v>
      </c>
      <c r="P249">
        <f t="shared" si="18"/>
        <v>0</v>
      </c>
      <c r="Q249" t="e">
        <f t="shared" si="19"/>
        <v>#VALUE!</v>
      </c>
    </row>
    <row r="250" spans="1:17" ht="15" customHeight="1" x14ac:dyDescent="0.25">
      <c r="A250">
        <f>'Customers Raw data'!A250</f>
        <v>1249</v>
      </c>
      <c r="B250" t="str">
        <f>'Customers Raw data'!B250</f>
        <v>2024-06-06</v>
      </c>
      <c r="C250" t="str">
        <f>'Customers Raw data'!C250</f>
        <v>Enterprise</v>
      </c>
      <c r="D250">
        <f>'Customers Raw data'!D250</f>
        <v>500</v>
      </c>
      <c r="E250">
        <f>'Customers Raw data'!E250</f>
        <v>200</v>
      </c>
      <c r="F250">
        <f>'Customers Raw data'!F250</f>
        <v>0</v>
      </c>
      <c r="G250">
        <f>IF('Customers Raw data'!F250&lt;&gt;"",1,0)</f>
        <v>0</v>
      </c>
      <c r="H250" t="str">
        <f>IF('Customers Raw data'!F250&lt;&gt;"",YEAR(DATEVALUE('Customers Raw data'!F250)),"")</f>
        <v/>
      </c>
      <c r="I250" t="str">
        <f>IF('Customers Raw data'!F250&lt;&gt;"",MONTH(DATEVALUE('Customers Raw data'!F250)),"")</f>
        <v/>
      </c>
      <c r="J250">
        <f>YEAR(DATEVALUE('Customers Raw data'!B250))</f>
        <v>2024</v>
      </c>
      <c r="K250">
        <f>MONTH(DATEVALUE('Customers Raw data'!B250))</f>
        <v>6</v>
      </c>
      <c r="L250">
        <f ca="1">IF('Customers Raw data'!F250&lt;&gt;"",DATEDIF(DATEVALUE('Customers Raw data'!B250),DATEVALUE('Customers Raw data'!F250),"M"),DATEDIF(DATEVALUE('Customers Raw data'!B250),TODAY(),"M"))</f>
        <v>22</v>
      </c>
      <c r="M250">
        <f t="shared" ca="1" si="15"/>
        <v>11000</v>
      </c>
      <c r="N250">
        <f t="shared" si="16"/>
        <v>3</v>
      </c>
      <c r="O250">
        <f t="shared" ca="1" si="17"/>
        <v>0</v>
      </c>
      <c r="P250">
        <f t="shared" si="18"/>
        <v>0</v>
      </c>
      <c r="Q250" t="e">
        <f t="shared" si="19"/>
        <v>#VALUE!</v>
      </c>
    </row>
    <row r="251" spans="1:17" ht="15" customHeight="1" x14ac:dyDescent="0.25">
      <c r="A251">
        <f>'Customers Raw data'!A251</f>
        <v>1250</v>
      </c>
      <c r="B251" t="str">
        <f>'Customers Raw data'!B251</f>
        <v>2024-10-12</v>
      </c>
      <c r="C251" t="str">
        <f>'Customers Raw data'!C251</f>
        <v>Pro</v>
      </c>
      <c r="D251">
        <f>'Customers Raw data'!D251</f>
        <v>200</v>
      </c>
      <c r="E251">
        <f>'Customers Raw data'!E251</f>
        <v>100</v>
      </c>
      <c r="F251">
        <f>'Customers Raw data'!F251</f>
        <v>0</v>
      </c>
      <c r="G251">
        <f>IF('Customers Raw data'!F251&lt;&gt;"",1,0)</f>
        <v>0</v>
      </c>
      <c r="H251" t="str">
        <f>IF('Customers Raw data'!F251&lt;&gt;"",YEAR(DATEVALUE('Customers Raw data'!F251)),"")</f>
        <v/>
      </c>
      <c r="I251" t="str">
        <f>IF('Customers Raw data'!F251&lt;&gt;"",MONTH(DATEVALUE('Customers Raw data'!F251)),"")</f>
        <v/>
      </c>
      <c r="J251">
        <f>YEAR(DATEVALUE('Customers Raw data'!B251))</f>
        <v>2024</v>
      </c>
      <c r="K251">
        <f>MONTH(DATEVALUE('Customers Raw data'!B251))</f>
        <v>10</v>
      </c>
      <c r="L251">
        <f ca="1">IF('Customers Raw data'!F251&lt;&gt;"",DATEDIF(DATEVALUE('Customers Raw data'!B251),DATEVALUE('Customers Raw data'!F251),"M"),DATEDIF(DATEVALUE('Customers Raw data'!B251),TODAY(),"M"))</f>
        <v>17</v>
      </c>
      <c r="M251">
        <f t="shared" ca="1" si="15"/>
        <v>3400</v>
      </c>
      <c r="N251">
        <f t="shared" si="16"/>
        <v>2</v>
      </c>
      <c r="O251">
        <f t="shared" ca="1" si="17"/>
        <v>0</v>
      </c>
      <c r="P251">
        <f t="shared" si="18"/>
        <v>0</v>
      </c>
      <c r="Q251" t="e">
        <f t="shared" si="19"/>
        <v>#VALUE!</v>
      </c>
    </row>
    <row r="252" spans="1:17" ht="15" customHeight="1" x14ac:dyDescent="0.25">
      <c r="A252">
        <f>'Customers Raw data'!A252</f>
        <v>1251</v>
      </c>
      <c r="B252" t="str">
        <f>'Customers Raw data'!B252</f>
        <v>2025-03-02</v>
      </c>
      <c r="C252" t="str">
        <f>'Customers Raw data'!C252</f>
        <v>Basic</v>
      </c>
      <c r="D252">
        <f>'Customers Raw data'!D252</f>
        <v>50</v>
      </c>
      <c r="E252">
        <f>'Customers Raw data'!E252</f>
        <v>30</v>
      </c>
      <c r="F252">
        <f>'Customers Raw data'!F252</f>
        <v>0</v>
      </c>
      <c r="G252">
        <f>IF('Customers Raw data'!F252&lt;&gt;"",1,0)</f>
        <v>0</v>
      </c>
      <c r="H252" t="str">
        <f>IF('Customers Raw data'!F252&lt;&gt;"",YEAR(DATEVALUE('Customers Raw data'!F252)),"")</f>
        <v/>
      </c>
      <c r="I252" t="str">
        <f>IF('Customers Raw data'!F252&lt;&gt;"",MONTH(DATEVALUE('Customers Raw data'!F252)),"")</f>
        <v/>
      </c>
      <c r="J252">
        <f>YEAR(DATEVALUE('Customers Raw data'!B252))</f>
        <v>2025</v>
      </c>
      <c r="K252">
        <f>MONTH(DATEVALUE('Customers Raw data'!B252))</f>
        <v>3</v>
      </c>
      <c r="L252">
        <f ca="1">IF('Customers Raw data'!F252&lt;&gt;"",DATEDIF(DATEVALUE('Customers Raw data'!B252),DATEVALUE('Customers Raw data'!F252),"M"),DATEDIF(DATEVALUE('Customers Raw data'!B252),TODAY(),"M"))</f>
        <v>13</v>
      </c>
      <c r="M252">
        <f t="shared" ca="1" si="15"/>
        <v>650</v>
      </c>
      <c r="N252">
        <f t="shared" si="16"/>
        <v>1</v>
      </c>
      <c r="O252">
        <f t="shared" ca="1" si="17"/>
        <v>0</v>
      </c>
      <c r="P252">
        <f t="shared" si="18"/>
        <v>0</v>
      </c>
      <c r="Q252" t="e">
        <f t="shared" si="19"/>
        <v>#VALUE!</v>
      </c>
    </row>
    <row r="253" spans="1:17" ht="15" customHeight="1" x14ac:dyDescent="0.25">
      <c r="A253">
        <f>'Customers Raw data'!A253</f>
        <v>1252</v>
      </c>
      <c r="B253" t="str">
        <f>'Customers Raw data'!B253</f>
        <v>2024-02-21</v>
      </c>
      <c r="C253" t="str">
        <f>'Customers Raw data'!C253</f>
        <v>Basic</v>
      </c>
      <c r="D253">
        <f>'Customers Raw data'!D253</f>
        <v>50</v>
      </c>
      <c r="E253">
        <f>'Customers Raw data'!E253</f>
        <v>30</v>
      </c>
      <c r="F253">
        <f>'Customers Raw data'!F253</f>
        <v>0</v>
      </c>
      <c r="G253">
        <f>IF('Customers Raw data'!F253&lt;&gt;"",1,0)</f>
        <v>0</v>
      </c>
      <c r="H253" t="str">
        <f>IF('Customers Raw data'!F253&lt;&gt;"",YEAR(DATEVALUE('Customers Raw data'!F253)),"")</f>
        <v/>
      </c>
      <c r="I253" t="str">
        <f>IF('Customers Raw data'!F253&lt;&gt;"",MONTH(DATEVALUE('Customers Raw data'!F253)),"")</f>
        <v/>
      </c>
      <c r="J253">
        <f>YEAR(DATEVALUE('Customers Raw data'!B253))</f>
        <v>2024</v>
      </c>
      <c r="K253">
        <f>MONTH(DATEVALUE('Customers Raw data'!B253))</f>
        <v>2</v>
      </c>
      <c r="L253">
        <f ca="1">IF('Customers Raw data'!F253&lt;&gt;"",DATEDIF(DATEVALUE('Customers Raw data'!B253),DATEVALUE('Customers Raw data'!F253),"M"),DATEDIF(DATEVALUE('Customers Raw data'!B253),TODAY(),"M"))</f>
        <v>25</v>
      </c>
      <c r="M253">
        <f t="shared" ca="1" si="15"/>
        <v>1250</v>
      </c>
      <c r="N253">
        <f t="shared" si="16"/>
        <v>1</v>
      </c>
      <c r="O253">
        <f t="shared" ca="1" si="17"/>
        <v>0</v>
      </c>
      <c r="P253">
        <f t="shared" si="18"/>
        <v>0</v>
      </c>
      <c r="Q253" t="e">
        <f t="shared" si="19"/>
        <v>#VALUE!</v>
      </c>
    </row>
    <row r="254" spans="1:17" ht="15" customHeight="1" x14ac:dyDescent="0.25">
      <c r="A254">
        <f>'Customers Raw data'!A254</f>
        <v>1253</v>
      </c>
      <c r="B254" t="str">
        <f>'Customers Raw data'!B254</f>
        <v>2024-12-09</v>
      </c>
      <c r="C254" t="str">
        <f>'Customers Raw data'!C254</f>
        <v>Pro</v>
      </c>
      <c r="D254">
        <f>'Customers Raw data'!D254</f>
        <v>200</v>
      </c>
      <c r="E254">
        <f>'Customers Raw data'!E254</f>
        <v>100</v>
      </c>
      <c r="F254">
        <f>'Customers Raw data'!F254</f>
        <v>0</v>
      </c>
      <c r="G254">
        <f>IF('Customers Raw data'!F254&lt;&gt;"",1,0)</f>
        <v>0</v>
      </c>
      <c r="H254" t="str">
        <f>IF('Customers Raw data'!F254&lt;&gt;"",YEAR(DATEVALUE('Customers Raw data'!F254)),"")</f>
        <v/>
      </c>
      <c r="I254" t="str">
        <f>IF('Customers Raw data'!F254&lt;&gt;"",MONTH(DATEVALUE('Customers Raw data'!F254)),"")</f>
        <v/>
      </c>
      <c r="J254">
        <f>YEAR(DATEVALUE('Customers Raw data'!B254))</f>
        <v>2024</v>
      </c>
      <c r="K254">
        <f>MONTH(DATEVALUE('Customers Raw data'!B254))</f>
        <v>12</v>
      </c>
      <c r="L254">
        <f ca="1">IF('Customers Raw data'!F254&lt;&gt;"",DATEDIF(DATEVALUE('Customers Raw data'!B254),DATEVALUE('Customers Raw data'!F254),"M"),DATEDIF(DATEVALUE('Customers Raw data'!B254),TODAY(),"M"))</f>
        <v>15</v>
      </c>
      <c r="M254">
        <f t="shared" ca="1" si="15"/>
        <v>3000</v>
      </c>
      <c r="N254">
        <f t="shared" si="16"/>
        <v>2</v>
      </c>
      <c r="O254">
        <f t="shared" ca="1" si="17"/>
        <v>0</v>
      </c>
      <c r="P254">
        <f t="shared" si="18"/>
        <v>0</v>
      </c>
      <c r="Q254" t="e">
        <f t="shared" si="19"/>
        <v>#VALUE!</v>
      </c>
    </row>
    <row r="255" spans="1:17" ht="15" customHeight="1" x14ac:dyDescent="0.25">
      <c r="A255">
        <f>'Customers Raw data'!A255</f>
        <v>1254</v>
      </c>
      <c r="B255" t="str">
        <f>'Customers Raw data'!B255</f>
        <v>2024-04-15</v>
      </c>
      <c r="C255" t="str">
        <f>'Customers Raw data'!C255</f>
        <v>Enterprise</v>
      </c>
      <c r="D255">
        <f>'Customers Raw data'!D255</f>
        <v>500</v>
      </c>
      <c r="E255">
        <f>'Customers Raw data'!E255</f>
        <v>200</v>
      </c>
      <c r="F255">
        <f>'Customers Raw data'!F255</f>
        <v>0</v>
      </c>
      <c r="G255">
        <f>IF('Customers Raw data'!F255&lt;&gt;"",1,0)</f>
        <v>0</v>
      </c>
      <c r="H255" t="str">
        <f>IF('Customers Raw data'!F255&lt;&gt;"",YEAR(DATEVALUE('Customers Raw data'!F255)),"")</f>
        <v/>
      </c>
      <c r="I255" t="str">
        <f>IF('Customers Raw data'!F255&lt;&gt;"",MONTH(DATEVALUE('Customers Raw data'!F255)),"")</f>
        <v/>
      </c>
      <c r="J255">
        <f>YEAR(DATEVALUE('Customers Raw data'!B255))</f>
        <v>2024</v>
      </c>
      <c r="K255">
        <f>MONTH(DATEVALUE('Customers Raw data'!B255))</f>
        <v>4</v>
      </c>
      <c r="L255">
        <f ca="1">IF('Customers Raw data'!F255&lt;&gt;"",DATEDIF(DATEVALUE('Customers Raw data'!B255),DATEVALUE('Customers Raw data'!F255),"M"),DATEDIF(DATEVALUE('Customers Raw data'!B255),TODAY(),"M"))</f>
        <v>23</v>
      </c>
      <c r="M255">
        <f t="shared" ca="1" si="15"/>
        <v>11500</v>
      </c>
      <c r="N255">
        <f t="shared" si="16"/>
        <v>3</v>
      </c>
      <c r="O255">
        <f t="shared" ca="1" si="17"/>
        <v>0</v>
      </c>
      <c r="P255">
        <f t="shared" si="18"/>
        <v>0</v>
      </c>
      <c r="Q255" t="e">
        <f t="shared" si="19"/>
        <v>#VALUE!</v>
      </c>
    </row>
    <row r="256" spans="1:17" ht="15" customHeight="1" x14ac:dyDescent="0.25">
      <c r="A256">
        <f>'Customers Raw data'!A256</f>
        <v>1255</v>
      </c>
      <c r="B256" t="str">
        <f>'Customers Raw data'!B256</f>
        <v>2024-01-29</v>
      </c>
      <c r="C256" t="str">
        <f>'Customers Raw data'!C256</f>
        <v>Pro</v>
      </c>
      <c r="D256">
        <f>'Customers Raw data'!D256</f>
        <v>200</v>
      </c>
      <c r="E256">
        <f>'Customers Raw data'!E256</f>
        <v>100</v>
      </c>
      <c r="F256">
        <f>'Customers Raw data'!F256</f>
        <v>0</v>
      </c>
      <c r="G256">
        <f>IF('Customers Raw data'!F256&lt;&gt;"",1,0)</f>
        <v>0</v>
      </c>
      <c r="H256" t="str">
        <f>IF('Customers Raw data'!F256&lt;&gt;"",YEAR(DATEVALUE('Customers Raw data'!F256)),"")</f>
        <v/>
      </c>
      <c r="I256" t="str">
        <f>IF('Customers Raw data'!F256&lt;&gt;"",MONTH(DATEVALUE('Customers Raw data'!F256)),"")</f>
        <v/>
      </c>
      <c r="J256">
        <f>YEAR(DATEVALUE('Customers Raw data'!B256))</f>
        <v>2024</v>
      </c>
      <c r="K256">
        <f>MONTH(DATEVALUE('Customers Raw data'!B256))</f>
        <v>1</v>
      </c>
      <c r="L256">
        <f ca="1">IF('Customers Raw data'!F256&lt;&gt;"",DATEDIF(DATEVALUE('Customers Raw data'!B256),DATEVALUE('Customers Raw data'!F256),"M"),DATEDIF(DATEVALUE('Customers Raw data'!B256),TODAY(),"M"))</f>
        <v>26</v>
      </c>
      <c r="M256">
        <f t="shared" ca="1" si="15"/>
        <v>5200</v>
      </c>
      <c r="N256">
        <f t="shared" si="16"/>
        <v>2</v>
      </c>
      <c r="O256">
        <f t="shared" ca="1" si="17"/>
        <v>0</v>
      </c>
      <c r="P256">
        <f t="shared" si="18"/>
        <v>0</v>
      </c>
      <c r="Q256" t="e">
        <f t="shared" si="19"/>
        <v>#VALUE!</v>
      </c>
    </row>
    <row r="257" spans="1:17" ht="15" customHeight="1" x14ac:dyDescent="0.25">
      <c r="A257">
        <f>'Customers Raw data'!A257</f>
        <v>1256</v>
      </c>
      <c r="B257" t="str">
        <f>'Customers Raw data'!B257</f>
        <v>2025-02-14</v>
      </c>
      <c r="C257" t="str">
        <f>'Customers Raw data'!C257</f>
        <v>Basic</v>
      </c>
      <c r="D257">
        <f>'Customers Raw data'!D257</f>
        <v>50</v>
      </c>
      <c r="E257">
        <f>'Customers Raw data'!E257</f>
        <v>30</v>
      </c>
      <c r="F257">
        <f>'Customers Raw data'!F257</f>
        <v>0</v>
      </c>
      <c r="G257">
        <f>IF('Customers Raw data'!F257&lt;&gt;"",1,0)</f>
        <v>0</v>
      </c>
      <c r="H257" t="str">
        <f>IF('Customers Raw data'!F257&lt;&gt;"",YEAR(DATEVALUE('Customers Raw data'!F257)),"")</f>
        <v/>
      </c>
      <c r="I257" t="str">
        <f>IF('Customers Raw data'!F257&lt;&gt;"",MONTH(DATEVALUE('Customers Raw data'!F257)),"")</f>
        <v/>
      </c>
      <c r="J257">
        <f>YEAR(DATEVALUE('Customers Raw data'!B257))</f>
        <v>2025</v>
      </c>
      <c r="K257">
        <f>MONTH(DATEVALUE('Customers Raw data'!B257))</f>
        <v>2</v>
      </c>
      <c r="L257">
        <f ca="1">IF('Customers Raw data'!F257&lt;&gt;"",DATEDIF(DATEVALUE('Customers Raw data'!B257),DATEVALUE('Customers Raw data'!F257),"M"),DATEDIF(DATEVALUE('Customers Raw data'!B257),TODAY(),"M"))</f>
        <v>13</v>
      </c>
      <c r="M257">
        <f t="shared" ca="1" si="15"/>
        <v>650</v>
      </c>
      <c r="N257">
        <f t="shared" si="16"/>
        <v>1</v>
      </c>
      <c r="O257">
        <f t="shared" ca="1" si="17"/>
        <v>0</v>
      </c>
      <c r="P257">
        <f t="shared" si="18"/>
        <v>0</v>
      </c>
      <c r="Q257" t="e">
        <f t="shared" si="19"/>
        <v>#VALUE!</v>
      </c>
    </row>
    <row r="258" spans="1:17" ht="15" customHeight="1" x14ac:dyDescent="0.25">
      <c r="A258">
        <f>'Customers Raw data'!A258</f>
        <v>1257</v>
      </c>
      <c r="B258" t="str">
        <f>'Customers Raw data'!B258</f>
        <v>2024-03-28</v>
      </c>
      <c r="C258" t="str">
        <f>'Customers Raw data'!C258</f>
        <v>Enterprise</v>
      </c>
      <c r="D258">
        <f>'Customers Raw data'!D258</f>
        <v>500</v>
      </c>
      <c r="E258">
        <f>'Customers Raw data'!E258</f>
        <v>200</v>
      </c>
      <c r="F258" t="str">
        <f>'Customers Raw data'!F258</f>
        <v>2024-06-20</v>
      </c>
      <c r="G258">
        <f>IF('Customers Raw data'!F258&lt;&gt;"",1,0)</f>
        <v>1</v>
      </c>
      <c r="H258">
        <f>IF('Customers Raw data'!F258&lt;&gt;"",YEAR(DATEVALUE('Customers Raw data'!F258)),"")</f>
        <v>2024</v>
      </c>
      <c r="I258">
        <f>IF('Customers Raw data'!F258&lt;&gt;"",MONTH(DATEVALUE('Customers Raw data'!F258)),"")</f>
        <v>6</v>
      </c>
      <c r="J258">
        <f>YEAR(DATEVALUE('Customers Raw data'!B258))</f>
        <v>2024</v>
      </c>
      <c r="K258">
        <f>MONTH(DATEVALUE('Customers Raw data'!B258))</f>
        <v>3</v>
      </c>
      <c r="L258">
        <f ca="1">IF('Customers Raw data'!F258&lt;&gt;"",DATEDIF(DATEVALUE('Customers Raw data'!B258),DATEVALUE('Customers Raw data'!F258),"M"),DATEDIF(DATEVALUE('Customers Raw data'!B258),TODAY(),"M"))</f>
        <v>2</v>
      </c>
      <c r="M258">
        <f t="shared" ref="M258:M321" ca="1" si="20">D258*L258</f>
        <v>1000</v>
      </c>
      <c r="N258">
        <f t="shared" ref="N258:N321" si="21">IF(C258="Basic",1,IF(C258="Pro",2,IF(C258="Enterprise",3,0)))</f>
        <v>3</v>
      </c>
      <c r="O258">
        <f t="shared" ref="O258:O321" ca="1" si="22">IF(AND(G258=1,L258&lt;6),1,0)</f>
        <v>1</v>
      </c>
      <c r="P258">
        <f t="shared" ref="P258:P321" si="23">IF(G258=1,D258,0)</f>
        <v>500</v>
      </c>
      <c r="Q258" t="str">
        <f t="shared" ref="Q258:Q321" si="24">IF(F258&lt;&gt;"",TEXT(DATEVALUE(F258),"YYYY-MM"),"")</f>
        <v>2024-06</v>
      </c>
    </row>
    <row r="259" spans="1:17" ht="15" customHeight="1" x14ac:dyDescent="0.25">
      <c r="A259">
        <f>'Customers Raw data'!A259</f>
        <v>1258</v>
      </c>
      <c r="B259" t="str">
        <f>'Customers Raw data'!B259</f>
        <v>2024-02-26</v>
      </c>
      <c r="C259" t="str">
        <f>'Customers Raw data'!C259</f>
        <v>Pro</v>
      </c>
      <c r="D259">
        <f>'Customers Raw data'!D259</f>
        <v>200</v>
      </c>
      <c r="E259">
        <f>'Customers Raw data'!E259</f>
        <v>100</v>
      </c>
      <c r="F259">
        <f>'Customers Raw data'!F259</f>
        <v>0</v>
      </c>
      <c r="G259">
        <f>IF('Customers Raw data'!F259&lt;&gt;"",1,0)</f>
        <v>0</v>
      </c>
      <c r="H259" t="str">
        <f>IF('Customers Raw data'!F259&lt;&gt;"",YEAR(DATEVALUE('Customers Raw data'!F259)),"")</f>
        <v/>
      </c>
      <c r="I259" t="str">
        <f>IF('Customers Raw data'!F259&lt;&gt;"",MONTH(DATEVALUE('Customers Raw data'!F259)),"")</f>
        <v/>
      </c>
      <c r="J259">
        <f>YEAR(DATEVALUE('Customers Raw data'!B259))</f>
        <v>2024</v>
      </c>
      <c r="K259">
        <f>MONTH(DATEVALUE('Customers Raw data'!B259))</f>
        <v>2</v>
      </c>
      <c r="L259">
        <f ca="1">IF('Customers Raw data'!F259&lt;&gt;"",DATEDIF(DATEVALUE('Customers Raw data'!B259),DATEVALUE('Customers Raw data'!F259),"M"),DATEDIF(DATEVALUE('Customers Raw data'!B259),TODAY(),"M"))</f>
        <v>25</v>
      </c>
      <c r="M259">
        <f t="shared" ca="1" si="20"/>
        <v>5000</v>
      </c>
      <c r="N259">
        <f t="shared" si="21"/>
        <v>2</v>
      </c>
      <c r="O259">
        <f t="shared" ca="1" si="22"/>
        <v>0</v>
      </c>
      <c r="P259">
        <f t="shared" si="23"/>
        <v>0</v>
      </c>
      <c r="Q259" t="e">
        <f t="shared" si="24"/>
        <v>#VALUE!</v>
      </c>
    </row>
    <row r="260" spans="1:17" ht="15" customHeight="1" x14ac:dyDescent="0.25">
      <c r="A260">
        <f>'Customers Raw data'!A260</f>
        <v>1259</v>
      </c>
      <c r="B260" t="str">
        <f>'Customers Raw data'!B260</f>
        <v>2024-05-10</v>
      </c>
      <c r="C260" t="str">
        <f>'Customers Raw data'!C260</f>
        <v>Basic</v>
      </c>
      <c r="D260">
        <f>'Customers Raw data'!D260</f>
        <v>50</v>
      </c>
      <c r="E260">
        <f>'Customers Raw data'!E260</f>
        <v>30</v>
      </c>
      <c r="F260">
        <f>'Customers Raw data'!F260</f>
        <v>0</v>
      </c>
      <c r="G260">
        <f>IF('Customers Raw data'!F260&lt;&gt;"",1,0)</f>
        <v>0</v>
      </c>
      <c r="H260" t="str">
        <f>IF('Customers Raw data'!F260&lt;&gt;"",YEAR(DATEVALUE('Customers Raw data'!F260)),"")</f>
        <v/>
      </c>
      <c r="I260" t="str">
        <f>IF('Customers Raw data'!F260&lt;&gt;"",MONTH(DATEVALUE('Customers Raw data'!F260)),"")</f>
        <v/>
      </c>
      <c r="J260">
        <f>YEAR(DATEVALUE('Customers Raw data'!B260))</f>
        <v>2024</v>
      </c>
      <c r="K260">
        <f>MONTH(DATEVALUE('Customers Raw data'!B260))</f>
        <v>5</v>
      </c>
      <c r="L260">
        <f ca="1">IF('Customers Raw data'!F260&lt;&gt;"",DATEDIF(DATEVALUE('Customers Raw data'!B260),DATEVALUE('Customers Raw data'!F260),"M"),DATEDIF(DATEVALUE('Customers Raw data'!B260),TODAY(),"M"))</f>
        <v>22</v>
      </c>
      <c r="M260">
        <f t="shared" ca="1" si="20"/>
        <v>1100</v>
      </c>
      <c r="N260">
        <f t="shared" si="21"/>
        <v>1</v>
      </c>
      <c r="O260">
        <f t="shared" ca="1" si="22"/>
        <v>0</v>
      </c>
      <c r="P260">
        <f t="shared" si="23"/>
        <v>0</v>
      </c>
      <c r="Q260" t="e">
        <f t="shared" si="24"/>
        <v>#VALUE!</v>
      </c>
    </row>
    <row r="261" spans="1:17" ht="15" customHeight="1" x14ac:dyDescent="0.25">
      <c r="A261">
        <f>'Customers Raw data'!A261</f>
        <v>1260</v>
      </c>
      <c r="B261" t="str">
        <f>'Customers Raw data'!B261</f>
        <v>2025-06-19</v>
      </c>
      <c r="C261" t="str">
        <f>'Customers Raw data'!C261</f>
        <v>Pro</v>
      </c>
      <c r="D261">
        <f>'Customers Raw data'!D261</f>
        <v>200</v>
      </c>
      <c r="E261">
        <f>'Customers Raw data'!E261</f>
        <v>100</v>
      </c>
      <c r="F261">
        <f>'Customers Raw data'!F261</f>
        <v>0</v>
      </c>
      <c r="G261">
        <f>IF('Customers Raw data'!F261&lt;&gt;"",1,0)</f>
        <v>0</v>
      </c>
      <c r="H261" t="str">
        <f>IF('Customers Raw data'!F261&lt;&gt;"",YEAR(DATEVALUE('Customers Raw data'!F261)),"")</f>
        <v/>
      </c>
      <c r="I261" t="str">
        <f>IF('Customers Raw data'!F261&lt;&gt;"",MONTH(DATEVALUE('Customers Raw data'!F261)),"")</f>
        <v/>
      </c>
      <c r="J261">
        <f>YEAR(DATEVALUE('Customers Raw data'!B261))</f>
        <v>2025</v>
      </c>
      <c r="K261">
        <f>MONTH(DATEVALUE('Customers Raw data'!B261))</f>
        <v>6</v>
      </c>
      <c r="L261">
        <f ca="1">IF('Customers Raw data'!F261&lt;&gt;"",DATEDIF(DATEVALUE('Customers Raw data'!B261),DATEVALUE('Customers Raw data'!F261),"M"),DATEDIF(DATEVALUE('Customers Raw data'!B261),TODAY(),"M"))</f>
        <v>9</v>
      </c>
      <c r="M261">
        <f t="shared" ca="1" si="20"/>
        <v>1800</v>
      </c>
      <c r="N261">
        <f t="shared" si="21"/>
        <v>2</v>
      </c>
      <c r="O261">
        <f t="shared" ca="1" si="22"/>
        <v>0</v>
      </c>
      <c r="P261">
        <f t="shared" si="23"/>
        <v>0</v>
      </c>
      <c r="Q261" t="e">
        <f t="shared" si="24"/>
        <v>#VALUE!</v>
      </c>
    </row>
    <row r="262" spans="1:17" ht="15" customHeight="1" x14ac:dyDescent="0.25">
      <c r="A262">
        <f>'Customers Raw data'!A262</f>
        <v>1261</v>
      </c>
      <c r="B262" t="str">
        <f>'Customers Raw data'!B262</f>
        <v>2025-05-06</v>
      </c>
      <c r="C262" t="str">
        <f>'Customers Raw data'!C262</f>
        <v>Pro</v>
      </c>
      <c r="D262">
        <f>'Customers Raw data'!D262</f>
        <v>200</v>
      </c>
      <c r="E262">
        <f>'Customers Raw data'!E262</f>
        <v>100</v>
      </c>
      <c r="F262">
        <f>'Customers Raw data'!F262</f>
        <v>0</v>
      </c>
      <c r="G262">
        <f>IF('Customers Raw data'!F262&lt;&gt;"",1,0)</f>
        <v>0</v>
      </c>
      <c r="H262" t="str">
        <f>IF('Customers Raw data'!F262&lt;&gt;"",YEAR(DATEVALUE('Customers Raw data'!F262)),"")</f>
        <v/>
      </c>
      <c r="I262" t="str">
        <f>IF('Customers Raw data'!F262&lt;&gt;"",MONTH(DATEVALUE('Customers Raw data'!F262)),"")</f>
        <v/>
      </c>
      <c r="J262">
        <f>YEAR(DATEVALUE('Customers Raw data'!B262))</f>
        <v>2025</v>
      </c>
      <c r="K262">
        <f>MONTH(DATEVALUE('Customers Raw data'!B262))</f>
        <v>5</v>
      </c>
      <c r="L262">
        <f ca="1">IF('Customers Raw data'!F262&lt;&gt;"",DATEDIF(DATEVALUE('Customers Raw data'!B262),DATEVALUE('Customers Raw data'!F262),"M"),DATEDIF(DATEVALUE('Customers Raw data'!B262),TODAY(),"M"))</f>
        <v>11</v>
      </c>
      <c r="M262">
        <f t="shared" ca="1" si="20"/>
        <v>2200</v>
      </c>
      <c r="N262">
        <f t="shared" si="21"/>
        <v>2</v>
      </c>
      <c r="O262">
        <f t="shared" ca="1" si="22"/>
        <v>0</v>
      </c>
      <c r="P262">
        <f t="shared" si="23"/>
        <v>0</v>
      </c>
      <c r="Q262" t="e">
        <f t="shared" si="24"/>
        <v>#VALUE!</v>
      </c>
    </row>
    <row r="263" spans="1:17" ht="15" customHeight="1" x14ac:dyDescent="0.25">
      <c r="A263">
        <f>'Customers Raw data'!A263</f>
        <v>1262</v>
      </c>
      <c r="B263" t="str">
        <f>'Customers Raw data'!B263</f>
        <v>2025-05-07</v>
      </c>
      <c r="C263" t="str">
        <f>'Customers Raw data'!C263</f>
        <v>Enterprise</v>
      </c>
      <c r="D263">
        <f>'Customers Raw data'!D263</f>
        <v>500</v>
      </c>
      <c r="E263">
        <f>'Customers Raw data'!E263</f>
        <v>200</v>
      </c>
      <c r="F263">
        <f>'Customers Raw data'!F263</f>
        <v>0</v>
      </c>
      <c r="G263">
        <f>IF('Customers Raw data'!F263&lt;&gt;"",1,0)</f>
        <v>0</v>
      </c>
      <c r="H263" t="str">
        <f>IF('Customers Raw data'!F263&lt;&gt;"",YEAR(DATEVALUE('Customers Raw data'!F263)),"")</f>
        <v/>
      </c>
      <c r="I263" t="str">
        <f>IF('Customers Raw data'!F263&lt;&gt;"",MONTH(DATEVALUE('Customers Raw data'!F263)),"")</f>
        <v/>
      </c>
      <c r="J263">
        <f>YEAR(DATEVALUE('Customers Raw data'!B263))</f>
        <v>2025</v>
      </c>
      <c r="K263">
        <f>MONTH(DATEVALUE('Customers Raw data'!B263))</f>
        <v>5</v>
      </c>
      <c r="L263">
        <f ca="1">IF('Customers Raw data'!F263&lt;&gt;"",DATEDIF(DATEVALUE('Customers Raw data'!B263),DATEVALUE('Customers Raw data'!F263),"M"),DATEDIF(DATEVALUE('Customers Raw data'!B263),TODAY(),"M"))</f>
        <v>11</v>
      </c>
      <c r="M263">
        <f t="shared" ca="1" si="20"/>
        <v>5500</v>
      </c>
      <c r="N263">
        <f t="shared" si="21"/>
        <v>3</v>
      </c>
      <c r="O263">
        <f t="shared" ca="1" si="22"/>
        <v>0</v>
      </c>
      <c r="P263">
        <f t="shared" si="23"/>
        <v>0</v>
      </c>
      <c r="Q263" t="e">
        <f t="shared" si="24"/>
        <v>#VALUE!</v>
      </c>
    </row>
    <row r="264" spans="1:17" ht="15" customHeight="1" x14ac:dyDescent="0.25">
      <c r="A264">
        <f>'Customers Raw data'!A264</f>
        <v>1263</v>
      </c>
      <c r="B264" t="str">
        <f>'Customers Raw data'!B264</f>
        <v>2025-01-12</v>
      </c>
      <c r="C264" t="str">
        <f>'Customers Raw data'!C264</f>
        <v>Basic</v>
      </c>
      <c r="D264">
        <f>'Customers Raw data'!D264</f>
        <v>50</v>
      </c>
      <c r="E264">
        <f>'Customers Raw data'!E264</f>
        <v>30</v>
      </c>
      <c r="F264" t="str">
        <f>'Customers Raw data'!F264</f>
        <v>2025-06-20</v>
      </c>
      <c r="G264">
        <f>IF('Customers Raw data'!F264&lt;&gt;"",1,0)</f>
        <v>1</v>
      </c>
      <c r="H264">
        <f>IF('Customers Raw data'!F264&lt;&gt;"",YEAR(DATEVALUE('Customers Raw data'!F264)),"")</f>
        <v>2025</v>
      </c>
      <c r="I264">
        <f>IF('Customers Raw data'!F264&lt;&gt;"",MONTH(DATEVALUE('Customers Raw data'!F264)),"")</f>
        <v>6</v>
      </c>
      <c r="J264">
        <f>YEAR(DATEVALUE('Customers Raw data'!B264))</f>
        <v>2025</v>
      </c>
      <c r="K264">
        <f>MONTH(DATEVALUE('Customers Raw data'!B264))</f>
        <v>1</v>
      </c>
      <c r="L264">
        <f ca="1">IF('Customers Raw data'!F264&lt;&gt;"",DATEDIF(DATEVALUE('Customers Raw data'!B264),DATEVALUE('Customers Raw data'!F264),"M"),DATEDIF(DATEVALUE('Customers Raw data'!B264),TODAY(),"M"))</f>
        <v>5</v>
      </c>
      <c r="M264">
        <f t="shared" ca="1" si="20"/>
        <v>250</v>
      </c>
      <c r="N264">
        <f t="shared" si="21"/>
        <v>1</v>
      </c>
      <c r="O264">
        <f t="shared" ca="1" si="22"/>
        <v>1</v>
      </c>
      <c r="P264">
        <f t="shared" si="23"/>
        <v>50</v>
      </c>
      <c r="Q264" t="str">
        <f t="shared" si="24"/>
        <v>2025-06</v>
      </c>
    </row>
    <row r="265" spans="1:17" ht="15" customHeight="1" x14ac:dyDescent="0.25">
      <c r="A265">
        <f>'Customers Raw data'!A265</f>
        <v>1264</v>
      </c>
      <c r="B265" t="str">
        <f>'Customers Raw data'!B265</f>
        <v>2024-12-13</v>
      </c>
      <c r="C265" t="str">
        <f>'Customers Raw data'!C265</f>
        <v>Pro</v>
      </c>
      <c r="D265">
        <f>'Customers Raw data'!D265</f>
        <v>200</v>
      </c>
      <c r="E265">
        <f>'Customers Raw data'!E265</f>
        <v>100</v>
      </c>
      <c r="F265">
        <f>'Customers Raw data'!F265</f>
        <v>0</v>
      </c>
      <c r="G265">
        <f>IF('Customers Raw data'!F265&lt;&gt;"",1,0)</f>
        <v>0</v>
      </c>
      <c r="H265" t="str">
        <f>IF('Customers Raw data'!F265&lt;&gt;"",YEAR(DATEVALUE('Customers Raw data'!F265)),"")</f>
        <v/>
      </c>
      <c r="I265" t="str">
        <f>IF('Customers Raw data'!F265&lt;&gt;"",MONTH(DATEVALUE('Customers Raw data'!F265)),"")</f>
        <v/>
      </c>
      <c r="J265">
        <f>YEAR(DATEVALUE('Customers Raw data'!B265))</f>
        <v>2024</v>
      </c>
      <c r="K265">
        <f>MONTH(DATEVALUE('Customers Raw data'!B265))</f>
        <v>12</v>
      </c>
      <c r="L265">
        <f ca="1">IF('Customers Raw data'!F265&lt;&gt;"",DATEDIF(DATEVALUE('Customers Raw data'!B265),DATEVALUE('Customers Raw data'!F265),"M"),DATEDIF(DATEVALUE('Customers Raw data'!B265),TODAY(),"M"))</f>
        <v>15</v>
      </c>
      <c r="M265">
        <f t="shared" ca="1" si="20"/>
        <v>3000</v>
      </c>
      <c r="N265">
        <f t="shared" si="21"/>
        <v>2</v>
      </c>
      <c r="O265">
        <f t="shared" ca="1" si="22"/>
        <v>0</v>
      </c>
      <c r="P265">
        <f t="shared" si="23"/>
        <v>0</v>
      </c>
      <c r="Q265" t="e">
        <f t="shared" si="24"/>
        <v>#VALUE!</v>
      </c>
    </row>
    <row r="266" spans="1:17" ht="15" customHeight="1" x14ac:dyDescent="0.25">
      <c r="A266">
        <f>'Customers Raw data'!A266</f>
        <v>1265</v>
      </c>
      <c r="B266" t="str">
        <f>'Customers Raw data'!B266</f>
        <v>2024-03-18</v>
      </c>
      <c r="C266" t="str">
        <f>'Customers Raw data'!C266</f>
        <v>Basic</v>
      </c>
      <c r="D266">
        <f>'Customers Raw data'!D266</f>
        <v>50</v>
      </c>
      <c r="E266">
        <f>'Customers Raw data'!E266</f>
        <v>30</v>
      </c>
      <c r="F266" t="str">
        <f>'Customers Raw data'!F266</f>
        <v>2024-06-23</v>
      </c>
      <c r="G266">
        <f>IF('Customers Raw data'!F266&lt;&gt;"",1,0)</f>
        <v>1</v>
      </c>
      <c r="H266">
        <f>IF('Customers Raw data'!F266&lt;&gt;"",YEAR(DATEVALUE('Customers Raw data'!F266)),"")</f>
        <v>2024</v>
      </c>
      <c r="I266">
        <f>IF('Customers Raw data'!F266&lt;&gt;"",MONTH(DATEVALUE('Customers Raw data'!F266)),"")</f>
        <v>6</v>
      </c>
      <c r="J266">
        <f>YEAR(DATEVALUE('Customers Raw data'!B266))</f>
        <v>2024</v>
      </c>
      <c r="K266">
        <f>MONTH(DATEVALUE('Customers Raw data'!B266))</f>
        <v>3</v>
      </c>
      <c r="L266">
        <f ca="1">IF('Customers Raw data'!F266&lt;&gt;"",DATEDIF(DATEVALUE('Customers Raw data'!B266),DATEVALUE('Customers Raw data'!F266),"M"),DATEDIF(DATEVALUE('Customers Raw data'!B266),TODAY(),"M"))</f>
        <v>3</v>
      </c>
      <c r="M266">
        <f t="shared" ca="1" si="20"/>
        <v>150</v>
      </c>
      <c r="N266">
        <f t="shared" si="21"/>
        <v>1</v>
      </c>
      <c r="O266">
        <f t="shared" ca="1" si="22"/>
        <v>1</v>
      </c>
      <c r="P266">
        <f t="shared" si="23"/>
        <v>50</v>
      </c>
      <c r="Q266" t="str">
        <f t="shared" si="24"/>
        <v>2024-06</v>
      </c>
    </row>
    <row r="267" spans="1:17" ht="15" customHeight="1" x14ac:dyDescent="0.25">
      <c r="A267">
        <f>'Customers Raw data'!A267</f>
        <v>1266</v>
      </c>
      <c r="B267" t="str">
        <f>'Customers Raw data'!B267</f>
        <v>2024-04-01</v>
      </c>
      <c r="C267" t="str">
        <f>'Customers Raw data'!C267</f>
        <v>Enterprise</v>
      </c>
      <c r="D267">
        <f>'Customers Raw data'!D267</f>
        <v>500</v>
      </c>
      <c r="E267">
        <f>'Customers Raw data'!E267</f>
        <v>200</v>
      </c>
      <c r="F267">
        <f>'Customers Raw data'!F267</f>
        <v>0</v>
      </c>
      <c r="G267">
        <f>IF('Customers Raw data'!F267&lt;&gt;"",1,0)</f>
        <v>0</v>
      </c>
      <c r="H267" t="str">
        <f>IF('Customers Raw data'!F267&lt;&gt;"",YEAR(DATEVALUE('Customers Raw data'!F267)),"")</f>
        <v/>
      </c>
      <c r="I267" t="str">
        <f>IF('Customers Raw data'!F267&lt;&gt;"",MONTH(DATEVALUE('Customers Raw data'!F267)),"")</f>
        <v/>
      </c>
      <c r="J267">
        <f>YEAR(DATEVALUE('Customers Raw data'!B267))</f>
        <v>2024</v>
      </c>
      <c r="K267">
        <f>MONTH(DATEVALUE('Customers Raw data'!B267))</f>
        <v>4</v>
      </c>
      <c r="L267">
        <f ca="1">IF('Customers Raw data'!F267&lt;&gt;"",DATEDIF(DATEVALUE('Customers Raw data'!B267),DATEVALUE('Customers Raw data'!F267),"M"),DATEDIF(DATEVALUE('Customers Raw data'!B267),TODAY(),"M"))</f>
        <v>24</v>
      </c>
      <c r="M267">
        <f t="shared" ca="1" si="20"/>
        <v>12000</v>
      </c>
      <c r="N267">
        <f t="shared" si="21"/>
        <v>3</v>
      </c>
      <c r="O267">
        <f t="shared" ca="1" si="22"/>
        <v>0</v>
      </c>
      <c r="P267">
        <f t="shared" si="23"/>
        <v>0</v>
      </c>
      <c r="Q267" t="e">
        <f t="shared" si="24"/>
        <v>#VALUE!</v>
      </c>
    </row>
    <row r="268" spans="1:17" ht="15" customHeight="1" x14ac:dyDescent="0.25">
      <c r="A268">
        <f>'Customers Raw data'!A268</f>
        <v>1267</v>
      </c>
      <c r="B268" t="str">
        <f>'Customers Raw data'!B268</f>
        <v>2024-05-27</v>
      </c>
      <c r="C268" t="str">
        <f>'Customers Raw data'!C268</f>
        <v>Enterprise</v>
      </c>
      <c r="D268">
        <f>'Customers Raw data'!D268</f>
        <v>500</v>
      </c>
      <c r="E268">
        <f>'Customers Raw data'!E268</f>
        <v>200</v>
      </c>
      <c r="F268">
        <f>'Customers Raw data'!F268</f>
        <v>0</v>
      </c>
      <c r="G268">
        <f>IF('Customers Raw data'!F268&lt;&gt;"",1,0)</f>
        <v>0</v>
      </c>
      <c r="H268" t="str">
        <f>IF('Customers Raw data'!F268&lt;&gt;"",YEAR(DATEVALUE('Customers Raw data'!F268)),"")</f>
        <v/>
      </c>
      <c r="I268" t="str">
        <f>IF('Customers Raw data'!F268&lt;&gt;"",MONTH(DATEVALUE('Customers Raw data'!F268)),"")</f>
        <v/>
      </c>
      <c r="J268">
        <f>YEAR(DATEVALUE('Customers Raw data'!B268))</f>
        <v>2024</v>
      </c>
      <c r="K268">
        <f>MONTH(DATEVALUE('Customers Raw data'!B268))</f>
        <v>5</v>
      </c>
      <c r="L268">
        <f ca="1">IF('Customers Raw data'!F268&lt;&gt;"",DATEDIF(DATEVALUE('Customers Raw data'!B268),DATEVALUE('Customers Raw data'!F268),"M"),DATEDIF(DATEVALUE('Customers Raw data'!B268),TODAY(),"M"))</f>
        <v>22</v>
      </c>
      <c r="M268">
        <f t="shared" ca="1" si="20"/>
        <v>11000</v>
      </c>
      <c r="N268">
        <f t="shared" si="21"/>
        <v>3</v>
      </c>
      <c r="O268">
        <f t="shared" ca="1" si="22"/>
        <v>0</v>
      </c>
      <c r="P268">
        <f t="shared" si="23"/>
        <v>0</v>
      </c>
      <c r="Q268" t="e">
        <f t="shared" si="24"/>
        <v>#VALUE!</v>
      </c>
    </row>
    <row r="269" spans="1:17" ht="15" customHeight="1" x14ac:dyDescent="0.25">
      <c r="A269">
        <f>'Customers Raw data'!A269</f>
        <v>1268</v>
      </c>
      <c r="B269" t="str">
        <f>'Customers Raw data'!B269</f>
        <v>2024-05-22</v>
      </c>
      <c r="C269" t="str">
        <f>'Customers Raw data'!C269</f>
        <v>Enterprise</v>
      </c>
      <c r="D269">
        <f>'Customers Raw data'!D269</f>
        <v>500</v>
      </c>
      <c r="E269">
        <f>'Customers Raw data'!E269</f>
        <v>200</v>
      </c>
      <c r="F269" t="str">
        <f>'Customers Raw data'!F269</f>
        <v>2025-06-05</v>
      </c>
      <c r="G269">
        <f>IF('Customers Raw data'!F269&lt;&gt;"",1,0)</f>
        <v>1</v>
      </c>
      <c r="H269">
        <f>IF('Customers Raw data'!F269&lt;&gt;"",YEAR(DATEVALUE('Customers Raw data'!F269)),"")</f>
        <v>2025</v>
      </c>
      <c r="I269">
        <f>IF('Customers Raw data'!F269&lt;&gt;"",MONTH(DATEVALUE('Customers Raw data'!F269)),"")</f>
        <v>6</v>
      </c>
      <c r="J269">
        <f>YEAR(DATEVALUE('Customers Raw data'!B269))</f>
        <v>2024</v>
      </c>
      <c r="K269">
        <f>MONTH(DATEVALUE('Customers Raw data'!B269))</f>
        <v>5</v>
      </c>
      <c r="L269">
        <f ca="1">IF('Customers Raw data'!F269&lt;&gt;"",DATEDIF(DATEVALUE('Customers Raw data'!B269),DATEVALUE('Customers Raw data'!F269),"M"),DATEDIF(DATEVALUE('Customers Raw data'!B269),TODAY(),"M"))</f>
        <v>12</v>
      </c>
      <c r="M269">
        <f t="shared" ca="1" si="20"/>
        <v>6000</v>
      </c>
      <c r="N269">
        <f t="shared" si="21"/>
        <v>3</v>
      </c>
      <c r="O269">
        <f t="shared" ca="1" si="22"/>
        <v>0</v>
      </c>
      <c r="P269">
        <f t="shared" si="23"/>
        <v>500</v>
      </c>
      <c r="Q269" t="str">
        <f t="shared" si="24"/>
        <v>2025-06</v>
      </c>
    </row>
    <row r="270" spans="1:17" ht="15" customHeight="1" x14ac:dyDescent="0.25">
      <c r="A270">
        <f>'Customers Raw data'!A270</f>
        <v>1269</v>
      </c>
      <c r="B270" t="str">
        <f>'Customers Raw data'!B270</f>
        <v>2025-01-28</v>
      </c>
      <c r="C270" t="str">
        <f>'Customers Raw data'!C270</f>
        <v>Pro</v>
      </c>
      <c r="D270">
        <f>'Customers Raw data'!D270</f>
        <v>200</v>
      </c>
      <c r="E270">
        <f>'Customers Raw data'!E270</f>
        <v>100</v>
      </c>
      <c r="F270">
        <f>'Customers Raw data'!F270</f>
        <v>0</v>
      </c>
      <c r="G270">
        <f>IF('Customers Raw data'!F270&lt;&gt;"",1,0)</f>
        <v>0</v>
      </c>
      <c r="H270" t="str">
        <f>IF('Customers Raw data'!F270&lt;&gt;"",YEAR(DATEVALUE('Customers Raw data'!F270)),"")</f>
        <v/>
      </c>
      <c r="I270" t="str">
        <f>IF('Customers Raw data'!F270&lt;&gt;"",MONTH(DATEVALUE('Customers Raw data'!F270)),"")</f>
        <v/>
      </c>
      <c r="J270">
        <f>YEAR(DATEVALUE('Customers Raw data'!B270))</f>
        <v>2025</v>
      </c>
      <c r="K270">
        <f>MONTH(DATEVALUE('Customers Raw data'!B270))</f>
        <v>1</v>
      </c>
      <c r="L270">
        <f ca="1">IF('Customers Raw data'!F270&lt;&gt;"",DATEDIF(DATEVALUE('Customers Raw data'!B270),DATEVALUE('Customers Raw data'!F270),"M"),DATEDIF(DATEVALUE('Customers Raw data'!B270),TODAY(),"M"))</f>
        <v>14</v>
      </c>
      <c r="M270">
        <f t="shared" ca="1" si="20"/>
        <v>2800</v>
      </c>
      <c r="N270">
        <f t="shared" si="21"/>
        <v>2</v>
      </c>
      <c r="O270">
        <f t="shared" ca="1" si="22"/>
        <v>0</v>
      </c>
      <c r="P270">
        <f t="shared" si="23"/>
        <v>0</v>
      </c>
      <c r="Q270" t="e">
        <f t="shared" si="24"/>
        <v>#VALUE!</v>
      </c>
    </row>
    <row r="271" spans="1:17" ht="15" customHeight="1" x14ac:dyDescent="0.25">
      <c r="A271">
        <f>'Customers Raw data'!A271</f>
        <v>1270</v>
      </c>
      <c r="B271" t="str">
        <f>'Customers Raw data'!B271</f>
        <v>2025-05-03</v>
      </c>
      <c r="C271" t="str">
        <f>'Customers Raw data'!C271</f>
        <v>Enterprise</v>
      </c>
      <c r="D271">
        <f>'Customers Raw data'!D271</f>
        <v>500</v>
      </c>
      <c r="E271">
        <f>'Customers Raw data'!E271</f>
        <v>200</v>
      </c>
      <c r="F271">
        <f>'Customers Raw data'!F271</f>
        <v>0</v>
      </c>
      <c r="G271">
        <f>IF('Customers Raw data'!F271&lt;&gt;"",1,0)</f>
        <v>0</v>
      </c>
      <c r="H271" t="str">
        <f>IF('Customers Raw data'!F271&lt;&gt;"",YEAR(DATEVALUE('Customers Raw data'!F271)),"")</f>
        <v/>
      </c>
      <c r="I271" t="str">
        <f>IF('Customers Raw data'!F271&lt;&gt;"",MONTH(DATEVALUE('Customers Raw data'!F271)),"")</f>
        <v/>
      </c>
      <c r="J271">
        <f>YEAR(DATEVALUE('Customers Raw data'!B271))</f>
        <v>2025</v>
      </c>
      <c r="K271">
        <f>MONTH(DATEVALUE('Customers Raw data'!B271))</f>
        <v>5</v>
      </c>
      <c r="L271">
        <f ca="1">IF('Customers Raw data'!F271&lt;&gt;"",DATEDIF(DATEVALUE('Customers Raw data'!B271),DATEVALUE('Customers Raw data'!F271),"M"),DATEDIF(DATEVALUE('Customers Raw data'!B271),TODAY(),"M"))</f>
        <v>11</v>
      </c>
      <c r="M271">
        <f t="shared" ca="1" si="20"/>
        <v>5500</v>
      </c>
      <c r="N271">
        <f t="shared" si="21"/>
        <v>3</v>
      </c>
      <c r="O271">
        <f t="shared" ca="1" si="22"/>
        <v>0</v>
      </c>
      <c r="P271">
        <f t="shared" si="23"/>
        <v>0</v>
      </c>
      <c r="Q271" t="e">
        <f t="shared" si="24"/>
        <v>#VALUE!</v>
      </c>
    </row>
    <row r="272" spans="1:17" ht="15" customHeight="1" x14ac:dyDescent="0.25">
      <c r="A272">
        <f>'Customers Raw data'!A272</f>
        <v>1271</v>
      </c>
      <c r="B272" t="str">
        <f>'Customers Raw data'!B272</f>
        <v>2024-11-23</v>
      </c>
      <c r="C272" t="str">
        <f>'Customers Raw data'!C272</f>
        <v>Pro</v>
      </c>
      <c r="D272">
        <f>'Customers Raw data'!D272</f>
        <v>200</v>
      </c>
      <c r="E272">
        <f>'Customers Raw data'!E272</f>
        <v>100</v>
      </c>
      <c r="F272">
        <f>'Customers Raw data'!F272</f>
        <v>0</v>
      </c>
      <c r="G272">
        <f>IF('Customers Raw data'!F272&lt;&gt;"",1,0)</f>
        <v>0</v>
      </c>
      <c r="H272" t="str">
        <f>IF('Customers Raw data'!F272&lt;&gt;"",YEAR(DATEVALUE('Customers Raw data'!F272)),"")</f>
        <v/>
      </c>
      <c r="I272" t="str">
        <f>IF('Customers Raw data'!F272&lt;&gt;"",MONTH(DATEVALUE('Customers Raw data'!F272)),"")</f>
        <v/>
      </c>
      <c r="J272">
        <f>YEAR(DATEVALUE('Customers Raw data'!B272))</f>
        <v>2024</v>
      </c>
      <c r="K272">
        <f>MONTH(DATEVALUE('Customers Raw data'!B272))</f>
        <v>11</v>
      </c>
      <c r="L272">
        <f ca="1">IF('Customers Raw data'!F272&lt;&gt;"",DATEDIF(DATEVALUE('Customers Raw data'!B272),DATEVALUE('Customers Raw data'!F272),"M"),DATEDIF(DATEVALUE('Customers Raw data'!B272),TODAY(),"M"))</f>
        <v>16</v>
      </c>
      <c r="M272">
        <f t="shared" ca="1" si="20"/>
        <v>3200</v>
      </c>
      <c r="N272">
        <f t="shared" si="21"/>
        <v>2</v>
      </c>
      <c r="O272">
        <f t="shared" ca="1" si="22"/>
        <v>0</v>
      </c>
      <c r="P272">
        <f t="shared" si="23"/>
        <v>0</v>
      </c>
      <c r="Q272" t="e">
        <f t="shared" si="24"/>
        <v>#VALUE!</v>
      </c>
    </row>
    <row r="273" spans="1:17" ht="15" customHeight="1" x14ac:dyDescent="0.25">
      <c r="A273">
        <f>'Customers Raw data'!A273</f>
        <v>1272</v>
      </c>
      <c r="B273" t="str">
        <f>'Customers Raw data'!B273</f>
        <v>2025-04-09</v>
      </c>
      <c r="C273" t="str">
        <f>'Customers Raw data'!C273</f>
        <v>Basic</v>
      </c>
      <c r="D273">
        <f>'Customers Raw data'!D273</f>
        <v>50</v>
      </c>
      <c r="E273">
        <f>'Customers Raw data'!E273</f>
        <v>30</v>
      </c>
      <c r="F273">
        <f>'Customers Raw data'!F273</f>
        <v>0</v>
      </c>
      <c r="G273">
        <f>IF('Customers Raw data'!F273&lt;&gt;"",1,0)</f>
        <v>0</v>
      </c>
      <c r="H273" t="str">
        <f>IF('Customers Raw data'!F273&lt;&gt;"",YEAR(DATEVALUE('Customers Raw data'!F273)),"")</f>
        <v/>
      </c>
      <c r="I273" t="str">
        <f>IF('Customers Raw data'!F273&lt;&gt;"",MONTH(DATEVALUE('Customers Raw data'!F273)),"")</f>
        <v/>
      </c>
      <c r="J273">
        <f>YEAR(DATEVALUE('Customers Raw data'!B273))</f>
        <v>2025</v>
      </c>
      <c r="K273">
        <f>MONTH(DATEVALUE('Customers Raw data'!B273))</f>
        <v>4</v>
      </c>
      <c r="L273">
        <f ca="1">IF('Customers Raw data'!F273&lt;&gt;"",DATEDIF(DATEVALUE('Customers Raw data'!B273),DATEVALUE('Customers Raw data'!F273),"M"),DATEDIF(DATEVALUE('Customers Raw data'!B273),TODAY(),"M"))</f>
        <v>11</v>
      </c>
      <c r="M273">
        <f t="shared" ca="1" si="20"/>
        <v>550</v>
      </c>
      <c r="N273">
        <f t="shared" si="21"/>
        <v>1</v>
      </c>
      <c r="O273">
        <f t="shared" ca="1" si="22"/>
        <v>0</v>
      </c>
      <c r="P273">
        <f t="shared" si="23"/>
        <v>0</v>
      </c>
      <c r="Q273" t="e">
        <f t="shared" si="24"/>
        <v>#VALUE!</v>
      </c>
    </row>
    <row r="274" spans="1:17" ht="15" customHeight="1" x14ac:dyDescent="0.25">
      <c r="A274">
        <f>'Customers Raw data'!A274</f>
        <v>1273</v>
      </c>
      <c r="B274" t="str">
        <f>'Customers Raw data'!B274</f>
        <v>2024-10-24</v>
      </c>
      <c r="C274" t="str">
        <f>'Customers Raw data'!C274</f>
        <v>Pro</v>
      </c>
      <c r="D274">
        <f>'Customers Raw data'!D274</f>
        <v>200</v>
      </c>
      <c r="E274">
        <f>'Customers Raw data'!E274</f>
        <v>100</v>
      </c>
      <c r="F274" t="str">
        <f>'Customers Raw data'!F274</f>
        <v>2025-05-17</v>
      </c>
      <c r="G274">
        <f>IF('Customers Raw data'!F274&lt;&gt;"",1,0)</f>
        <v>1</v>
      </c>
      <c r="H274">
        <f>IF('Customers Raw data'!F274&lt;&gt;"",YEAR(DATEVALUE('Customers Raw data'!F274)),"")</f>
        <v>2025</v>
      </c>
      <c r="I274">
        <f>IF('Customers Raw data'!F274&lt;&gt;"",MONTH(DATEVALUE('Customers Raw data'!F274)),"")</f>
        <v>5</v>
      </c>
      <c r="J274">
        <f>YEAR(DATEVALUE('Customers Raw data'!B274))</f>
        <v>2024</v>
      </c>
      <c r="K274">
        <f>MONTH(DATEVALUE('Customers Raw data'!B274))</f>
        <v>10</v>
      </c>
      <c r="L274">
        <f ca="1">IF('Customers Raw data'!F274&lt;&gt;"",DATEDIF(DATEVALUE('Customers Raw data'!B274),DATEVALUE('Customers Raw data'!F274),"M"),DATEDIF(DATEVALUE('Customers Raw data'!B274),TODAY(),"M"))</f>
        <v>6</v>
      </c>
      <c r="M274">
        <f t="shared" ca="1" si="20"/>
        <v>1200</v>
      </c>
      <c r="N274">
        <f t="shared" si="21"/>
        <v>2</v>
      </c>
      <c r="O274">
        <f t="shared" ca="1" si="22"/>
        <v>0</v>
      </c>
      <c r="P274">
        <f t="shared" si="23"/>
        <v>200</v>
      </c>
      <c r="Q274" t="str">
        <f t="shared" si="24"/>
        <v>2025-05</v>
      </c>
    </row>
    <row r="275" spans="1:17" ht="15" customHeight="1" x14ac:dyDescent="0.25">
      <c r="A275">
        <f>'Customers Raw data'!A275</f>
        <v>1274</v>
      </c>
      <c r="B275" t="str">
        <f>'Customers Raw data'!B275</f>
        <v>2025-01-12</v>
      </c>
      <c r="C275" t="str">
        <f>'Customers Raw data'!C275</f>
        <v>Pro</v>
      </c>
      <c r="D275">
        <f>'Customers Raw data'!D275</f>
        <v>200</v>
      </c>
      <c r="E275">
        <f>'Customers Raw data'!E275</f>
        <v>100</v>
      </c>
      <c r="F275">
        <f>'Customers Raw data'!F275</f>
        <v>0</v>
      </c>
      <c r="G275">
        <f>IF('Customers Raw data'!F275&lt;&gt;"",1,0)</f>
        <v>0</v>
      </c>
      <c r="H275" t="str">
        <f>IF('Customers Raw data'!F275&lt;&gt;"",YEAR(DATEVALUE('Customers Raw data'!F275)),"")</f>
        <v/>
      </c>
      <c r="I275" t="str">
        <f>IF('Customers Raw data'!F275&lt;&gt;"",MONTH(DATEVALUE('Customers Raw data'!F275)),"")</f>
        <v/>
      </c>
      <c r="J275">
        <f>YEAR(DATEVALUE('Customers Raw data'!B275))</f>
        <v>2025</v>
      </c>
      <c r="K275">
        <f>MONTH(DATEVALUE('Customers Raw data'!B275))</f>
        <v>1</v>
      </c>
      <c r="L275">
        <f ca="1">IF('Customers Raw data'!F275&lt;&gt;"",DATEDIF(DATEVALUE('Customers Raw data'!B275),DATEVALUE('Customers Raw data'!F275),"M"),DATEDIF(DATEVALUE('Customers Raw data'!B275),TODAY(),"M"))</f>
        <v>14</v>
      </c>
      <c r="M275">
        <f t="shared" ca="1" si="20"/>
        <v>2800</v>
      </c>
      <c r="N275">
        <f t="shared" si="21"/>
        <v>2</v>
      </c>
      <c r="O275">
        <f t="shared" ca="1" si="22"/>
        <v>0</v>
      </c>
      <c r="P275">
        <f t="shared" si="23"/>
        <v>0</v>
      </c>
      <c r="Q275" t="e">
        <f t="shared" si="24"/>
        <v>#VALUE!</v>
      </c>
    </row>
    <row r="276" spans="1:17" ht="15" customHeight="1" x14ac:dyDescent="0.25">
      <c r="A276">
        <f>'Customers Raw data'!A276</f>
        <v>1275</v>
      </c>
      <c r="B276" t="str">
        <f>'Customers Raw data'!B276</f>
        <v>2024-11-05</v>
      </c>
      <c r="C276" t="str">
        <f>'Customers Raw data'!C276</f>
        <v>Enterprise</v>
      </c>
      <c r="D276">
        <f>'Customers Raw data'!D276</f>
        <v>500</v>
      </c>
      <c r="E276">
        <f>'Customers Raw data'!E276</f>
        <v>200</v>
      </c>
      <c r="F276">
        <f>'Customers Raw data'!F276</f>
        <v>0</v>
      </c>
      <c r="G276">
        <f>IF('Customers Raw data'!F276&lt;&gt;"",1,0)</f>
        <v>0</v>
      </c>
      <c r="H276" t="str">
        <f>IF('Customers Raw data'!F276&lt;&gt;"",YEAR(DATEVALUE('Customers Raw data'!F276)),"")</f>
        <v/>
      </c>
      <c r="I276" t="str">
        <f>IF('Customers Raw data'!F276&lt;&gt;"",MONTH(DATEVALUE('Customers Raw data'!F276)),"")</f>
        <v/>
      </c>
      <c r="J276">
        <f>YEAR(DATEVALUE('Customers Raw data'!B276))</f>
        <v>2024</v>
      </c>
      <c r="K276">
        <f>MONTH(DATEVALUE('Customers Raw data'!B276))</f>
        <v>11</v>
      </c>
      <c r="L276">
        <f ca="1">IF('Customers Raw data'!F276&lt;&gt;"",DATEDIF(DATEVALUE('Customers Raw data'!B276),DATEVALUE('Customers Raw data'!F276),"M"),DATEDIF(DATEVALUE('Customers Raw data'!B276),TODAY(),"M"))</f>
        <v>17</v>
      </c>
      <c r="M276">
        <f t="shared" ca="1" si="20"/>
        <v>8500</v>
      </c>
      <c r="N276">
        <f t="shared" si="21"/>
        <v>3</v>
      </c>
      <c r="O276">
        <f t="shared" ca="1" si="22"/>
        <v>0</v>
      </c>
      <c r="P276">
        <f t="shared" si="23"/>
        <v>0</v>
      </c>
      <c r="Q276" t="e">
        <f t="shared" si="24"/>
        <v>#VALUE!</v>
      </c>
    </row>
    <row r="277" spans="1:17" ht="15" customHeight="1" x14ac:dyDescent="0.25">
      <c r="A277">
        <f>'Customers Raw data'!A277</f>
        <v>1276</v>
      </c>
      <c r="B277" t="str">
        <f>'Customers Raw data'!B277</f>
        <v>2025-02-13</v>
      </c>
      <c r="C277" t="str">
        <f>'Customers Raw data'!C277</f>
        <v>Pro</v>
      </c>
      <c r="D277">
        <f>'Customers Raw data'!D277</f>
        <v>200</v>
      </c>
      <c r="E277">
        <f>'Customers Raw data'!E277</f>
        <v>100</v>
      </c>
      <c r="F277" t="str">
        <f>'Customers Raw data'!F277</f>
        <v>2025-04-07</v>
      </c>
      <c r="G277">
        <f>IF('Customers Raw data'!F277&lt;&gt;"",1,0)</f>
        <v>1</v>
      </c>
      <c r="H277">
        <f>IF('Customers Raw data'!F277&lt;&gt;"",YEAR(DATEVALUE('Customers Raw data'!F277)),"")</f>
        <v>2025</v>
      </c>
      <c r="I277">
        <f>IF('Customers Raw data'!F277&lt;&gt;"",MONTH(DATEVALUE('Customers Raw data'!F277)),"")</f>
        <v>4</v>
      </c>
      <c r="J277">
        <f>YEAR(DATEVALUE('Customers Raw data'!B277))</f>
        <v>2025</v>
      </c>
      <c r="K277">
        <f>MONTH(DATEVALUE('Customers Raw data'!B277))</f>
        <v>2</v>
      </c>
      <c r="L277">
        <f ca="1">IF('Customers Raw data'!F277&lt;&gt;"",DATEDIF(DATEVALUE('Customers Raw data'!B277),DATEVALUE('Customers Raw data'!F277),"M"),DATEDIF(DATEVALUE('Customers Raw data'!B277),TODAY(),"M"))</f>
        <v>1</v>
      </c>
      <c r="M277">
        <f t="shared" ca="1" si="20"/>
        <v>200</v>
      </c>
      <c r="N277">
        <f t="shared" si="21"/>
        <v>2</v>
      </c>
      <c r="O277">
        <f t="shared" ca="1" si="22"/>
        <v>1</v>
      </c>
      <c r="P277">
        <f t="shared" si="23"/>
        <v>200</v>
      </c>
      <c r="Q277" t="str">
        <f t="shared" si="24"/>
        <v>2025-04</v>
      </c>
    </row>
    <row r="278" spans="1:17" ht="15" customHeight="1" x14ac:dyDescent="0.25">
      <c r="A278">
        <f>'Customers Raw data'!A278</f>
        <v>1277</v>
      </c>
      <c r="B278" t="str">
        <f>'Customers Raw data'!B278</f>
        <v>2025-06-23</v>
      </c>
      <c r="C278" t="str">
        <f>'Customers Raw data'!C278</f>
        <v>Enterprise</v>
      </c>
      <c r="D278">
        <f>'Customers Raw data'!D278</f>
        <v>500</v>
      </c>
      <c r="E278">
        <f>'Customers Raw data'!E278</f>
        <v>200</v>
      </c>
      <c r="F278" t="str">
        <f>'Customers Raw data'!F278</f>
        <v>2025-06-30</v>
      </c>
      <c r="G278">
        <f>IF('Customers Raw data'!F278&lt;&gt;"",1,0)</f>
        <v>1</v>
      </c>
      <c r="H278">
        <f>IF('Customers Raw data'!F278&lt;&gt;"",YEAR(DATEVALUE('Customers Raw data'!F278)),"")</f>
        <v>2025</v>
      </c>
      <c r="I278">
        <f>IF('Customers Raw data'!F278&lt;&gt;"",MONTH(DATEVALUE('Customers Raw data'!F278)),"")</f>
        <v>6</v>
      </c>
      <c r="J278">
        <f>YEAR(DATEVALUE('Customers Raw data'!B278))</f>
        <v>2025</v>
      </c>
      <c r="K278">
        <f>MONTH(DATEVALUE('Customers Raw data'!B278))</f>
        <v>6</v>
      </c>
      <c r="L278">
        <f ca="1">IF('Customers Raw data'!F278&lt;&gt;"",DATEDIF(DATEVALUE('Customers Raw data'!B278),DATEVALUE('Customers Raw data'!F278),"M"),DATEDIF(DATEVALUE('Customers Raw data'!B278),TODAY(),"M"))</f>
        <v>0</v>
      </c>
      <c r="M278">
        <f t="shared" ca="1" si="20"/>
        <v>0</v>
      </c>
      <c r="N278">
        <f t="shared" si="21"/>
        <v>3</v>
      </c>
      <c r="O278">
        <f t="shared" ca="1" si="22"/>
        <v>1</v>
      </c>
      <c r="P278">
        <f t="shared" si="23"/>
        <v>500</v>
      </c>
      <c r="Q278" t="str">
        <f t="shared" si="24"/>
        <v>2025-06</v>
      </c>
    </row>
    <row r="279" spans="1:17" ht="15" customHeight="1" x14ac:dyDescent="0.25">
      <c r="A279">
        <f>'Customers Raw data'!A279</f>
        <v>1278</v>
      </c>
      <c r="B279" t="str">
        <f>'Customers Raw data'!B279</f>
        <v>2025-04-23</v>
      </c>
      <c r="C279" t="str">
        <f>'Customers Raw data'!C279</f>
        <v>Enterprise</v>
      </c>
      <c r="D279">
        <f>'Customers Raw data'!D279</f>
        <v>500</v>
      </c>
      <c r="E279">
        <f>'Customers Raw data'!E279</f>
        <v>200</v>
      </c>
      <c r="F279" t="str">
        <f>'Customers Raw data'!F279</f>
        <v>2025-06-05</v>
      </c>
      <c r="G279">
        <f>IF('Customers Raw data'!F279&lt;&gt;"",1,0)</f>
        <v>1</v>
      </c>
      <c r="H279">
        <f>IF('Customers Raw data'!F279&lt;&gt;"",YEAR(DATEVALUE('Customers Raw data'!F279)),"")</f>
        <v>2025</v>
      </c>
      <c r="I279">
        <f>IF('Customers Raw data'!F279&lt;&gt;"",MONTH(DATEVALUE('Customers Raw data'!F279)),"")</f>
        <v>6</v>
      </c>
      <c r="J279">
        <f>YEAR(DATEVALUE('Customers Raw data'!B279))</f>
        <v>2025</v>
      </c>
      <c r="K279">
        <f>MONTH(DATEVALUE('Customers Raw data'!B279))</f>
        <v>4</v>
      </c>
      <c r="L279">
        <f ca="1">IF('Customers Raw data'!F279&lt;&gt;"",DATEDIF(DATEVALUE('Customers Raw data'!B279),DATEVALUE('Customers Raw data'!F279),"M"),DATEDIF(DATEVALUE('Customers Raw data'!B279),TODAY(),"M"))</f>
        <v>1</v>
      </c>
      <c r="M279">
        <f t="shared" ca="1" si="20"/>
        <v>500</v>
      </c>
      <c r="N279">
        <f t="shared" si="21"/>
        <v>3</v>
      </c>
      <c r="O279">
        <f t="shared" ca="1" si="22"/>
        <v>1</v>
      </c>
      <c r="P279">
        <f t="shared" si="23"/>
        <v>500</v>
      </c>
      <c r="Q279" t="str">
        <f t="shared" si="24"/>
        <v>2025-06</v>
      </c>
    </row>
    <row r="280" spans="1:17" ht="15" customHeight="1" x14ac:dyDescent="0.25">
      <c r="A280">
        <f>'Customers Raw data'!A280</f>
        <v>1279</v>
      </c>
      <c r="B280" t="str">
        <f>'Customers Raw data'!B280</f>
        <v>2024-09-09</v>
      </c>
      <c r="C280" t="str">
        <f>'Customers Raw data'!C280</f>
        <v>Enterprise</v>
      </c>
      <c r="D280">
        <f>'Customers Raw data'!D280</f>
        <v>500</v>
      </c>
      <c r="E280">
        <f>'Customers Raw data'!E280</f>
        <v>200</v>
      </c>
      <c r="F280">
        <f>'Customers Raw data'!F280</f>
        <v>0</v>
      </c>
      <c r="G280">
        <f>IF('Customers Raw data'!F280&lt;&gt;"",1,0)</f>
        <v>0</v>
      </c>
      <c r="H280" t="str">
        <f>IF('Customers Raw data'!F280&lt;&gt;"",YEAR(DATEVALUE('Customers Raw data'!F280)),"")</f>
        <v/>
      </c>
      <c r="I280" t="str">
        <f>IF('Customers Raw data'!F280&lt;&gt;"",MONTH(DATEVALUE('Customers Raw data'!F280)),"")</f>
        <v/>
      </c>
      <c r="J280">
        <f>YEAR(DATEVALUE('Customers Raw data'!B280))</f>
        <v>2024</v>
      </c>
      <c r="K280">
        <f>MONTH(DATEVALUE('Customers Raw data'!B280))</f>
        <v>9</v>
      </c>
      <c r="L280">
        <f ca="1">IF('Customers Raw data'!F280&lt;&gt;"",DATEDIF(DATEVALUE('Customers Raw data'!B280),DATEVALUE('Customers Raw data'!F280),"M"),DATEDIF(DATEVALUE('Customers Raw data'!B280),TODAY(),"M"))</f>
        <v>18</v>
      </c>
      <c r="M280">
        <f t="shared" ca="1" si="20"/>
        <v>9000</v>
      </c>
      <c r="N280">
        <f t="shared" si="21"/>
        <v>3</v>
      </c>
      <c r="O280">
        <f t="shared" ca="1" si="22"/>
        <v>0</v>
      </c>
      <c r="P280">
        <f t="shared" si="23"/>
        <v>0</v>
      </c>
      <c r="Q280" t="e">
        <f t="shared" si="24"/>
        <v>#VALUE!</v>
      </c>
    </row>
    <row r="281" spans="1:17" ht="15" customHeight="1" x14ac:dyDescent="0.25">
      <c r="A281">
        <f>'Customers Raw data'!A281</f>
        <v>1280</v>
      </c>
      <c r="B281" t="str">
        <f>'Customers Raw data'!B281</f>
        <v>2025-04-28</v>
      </c>
      <c r="C281" t="str">
        <f>'Customers Raw data'!C281</f>
        <v>Basic</v>
      </c>
      <c r="D281">
        <f>'Customers Raw data'!D281</f>
        <v>50</v>
      </c>
      <c r="E281">
        <f>'Customers Raw data'!E281</f>
        <v>30</v>
      </c>
      <c r="F281">
        <f>'Customers Raw data'!F281</f>
        <v>0</v>
      </c>
      <c r="G281">
        <f>IF('Customers Raw data'!F281&lt;&gt;"",1,0)</f>
        <v>0</v>
      </c>
      <c r="H281" t="str">
        <f>IF('Customers Raw data'!F281&lt;&gt;"",YEAR(DATEVALUE('Customers Raw data'!F281)),"")</f>
        <v/>
      </c>
      <c r="I281" t="str">
        <f>IF('Customers Raw data'!F281&lt;&gt;"",MONTH(DATEVALUE('Customers Raw data'!F281)),"")</f>
        <v/>
      </c>
      <c r="J281">
        <f>YEAR(DATEVALUE('Customers Raw data'!B281))</f>
        <v>2025</v>
      </c>
      <c r="K281">
        <f>MONTH(DATEVALUE('Customers Raw data'!B281))</f>
        <v>4</v>
      </c>
      <c r="L281">
        <f ca="1">IF('Customers Raw data'!F281&lt;&gt;"",DATEDIF(DATEVALUE('Customers Raw data'!B281),DATEVALUE('Customers Raw data'!F281),"M"),DATEDIF(DATEVALUE('Customers Raw data'!B281),TODAY(),"M"))</f>
        <v>11</v>
      </c>
      <c r="M281">
        <f t="shared" ca="1" si="20"/>
        <v>550</v>
      </c>
      <c r="N281">
        <f t="shared" si="21"/>
        <v>1</v>
      </c>
      <c r="O281">
        <f t="shared" ca="1" si="22"/>
        <v>0</v>
      </c>
      <c r="P281">
        <f t="shared" si="23"/>
        <v>0</v>
      </c>
      <c r="Q281" t="e">
        <f t="shared" si="24"/>
        <v>#VALUE!</v>
      </c>
    </row>
    <row r="282" spans="1:17" ht="15" customHeight="1" x14ac:dyDescent="0.25">
      <c r="A282">
        <f>'Customers Raw data'!A282</f>
        <v>1281</v>
      </c>
      <c r="B282" t="str">
        <f>'Customers Raw data'!B282</f>
        <v>2024-06-22</v>
      </c>
      <c r="C282" t="str">
        <f>'Customers Raw data'!C282</f>
        <v>Basic</v>
      </c>
      <c r="D282">
        <f>'Customers Raw data'!D282</f>
        <v>50</v>
      </c>
      <c r="E282">
        <f>'Customers Raw data'!E282</f>
        <v>30</v>
      </c>
      <c r="F282">
        <f>'Customers Raw data'!F282</f>
        <v>0</v>
      </c>
      <c r="G282">
        <f>IF('Customers Raw data'!F282&lt;&gt;"",1,0)</f>
        <v>0</v>
      </c>
      <c r="H282" t="str">
        <f>IF('Customers Raw data'!F282&lt;&gt;"",YEAR(DATEVALUE('Customers Raw data'!F282)),"")</f>
        <v/>
      </c>
      <c r="I282" t="str">
        <f>IF('Customers Raw data'!F282&lt;&gt;"",MONTH(DATEVALUE('Customers Raw data'!F282)),"")</f>
        <v/>
      </c>
      <c r="J282">
        <f>YEAR(DATEVALUE('Customers Raw data'!B282))</f>
        <v>2024</v>
      </c>
      <c r="K282">
        <f>MONTH(DATEVALUE('Customers Raw data'!B282))</f>
        <v>6</v>
      </c>
      <c r="L282">
        <f ca="1">IF('Customers Raw data'!F282&lt;&gt;"",DATEDIF(DATEVALUE('Customers Raw data'!B282),DATEVALUE('Customers Raw data'!F282),"M"),DATEDIF(DATEVALUE('Customers Raw data'!B282),TODAY(),"M"))</f>
        <v>21</v>
      </c>
      <c r="M282">
        <f t="shared" ca="1" si="20"/>
        <v>1050</v>
      </c>
      <c r="N282">
        <f t="shared" si="21"/>
        <v>1</v>
      </c>
      <c r="O282">
        <f t="shared" ca="1" si="22"/>
        <v>0</v>
      </c>
      <c r="P282">
        <f t="shared" si="23"/>
        <v>0</v>
      </c>
      <c r="Q282" t="e">
        <f t="shared" si="24"/>
        <v>#VALUE!</v>
      </c>
    </row>
    <row r="283" spans="1:17" ht="15" customHeight="1" x14ac:dyDescent="0.25">
      <c r="A283">
        <f>'Customers Raw data'!A283</f>
        <v>1282</v>
      </c>
      <c r="B283" t="str">
        <f>'Customers Raw data'!B283</f>
        <v>2024-03-24</v>
      </c>
      <c r="C283" t="str">
        <f>'Customers Raw data'!C283</f>
        <v>Pro</v>
      </c>
      <c r="D283">
        <f>'Customers Raw data'!D283</f>
        <v>200</v>
      </c>
      <c r="E283">
        <f>'Customers Raw data'!E283</f>
        <v>100</v>
      </c>
      <c r="F283" t="str">
        <f>'Customers Raw data'!F283</f>
        <v>2025-06-24</v>
      </c>
      <c r="G283">
        <f>IF('Customers Raw data'!F283&lt;&gt;"",1,0)</f>
        <v>1</v>
      </c>
      <c r="H283">
        <f>IF('Customers Raw data'!F283&lt;&gt;"",YEAR(DATEVALUE('Customers Raw data'!F283)),"")</f>
        <v>2025</v>
      </c>
      <c r="I283">
        <f>IF('Customers Raw data'!F283&lt;&gt;"",MONTH(DATEVALUE('Customers Raw data'!F283)),"")</f>
        <v>6</v>
      </c>
      <c r="J283">
        <f>YEAR(DATEVALUE('Customers Raw data'!B283))</f>
        <v>2024</v>
      </c>
      <c r="K283">
        <f>MONTH(DATEVALUE('Customers Raw data'!B283))</f>
        <v>3</v>
      </c>
      <c r="L283">
        <f ca="1">IF('Customers Raw data'!F283&lt;&gt;"",DATEDIF(DATEVALUE('Customers Raw data'!B283),DATEVALUE('Customers Raw data'!F283),"M"),DATEDIF(DATEVALUE('Customers Raw data'!B283),TODAY(),"M"))</f>
        <v>15</v>
      </c>
      <c r="M283">
        <f t="shared" ca="1" si="20"/>
        <v>3000</v>
      </c>
      <c r="N283">
        <f t="shared" si="21"/>
        <v>2</v>
      </c>
      <c r="O283">
        <f t="shared" ca="1" si="22"/>
        <v>0</v>
      </c>
      <c r="P283">
        <f t="shared" si="23"/>
        <v>200</v>
      </c>
      <c r="Q283" t="str">
        <f t="shared" si="24"/>
        <v>2025-06</v>
      </c>
    </row>
    <row r="284" spans="1:17" ht="15" customHeight="1" x14ac:dyDescent="0.25">
      <c r="A284">
        <f>'Customers Raw data'!A284</f>
        <v>1283</v>
      </c>
      <c r="B284" t="str">
        <f>'Customers Raw data'!B284</f>
        <v>2024-05-10</v>
      </c>
      <c r="C284" t="str">
        <f>'Customers Raw data'!C284</f>
        <v>Enterprise</v>
      </c>
      <c r="D284">
        <f>'Customers Raw data'!D284</f>
        <v>500</v>
      </c>
      <c r="E284">
        <f>'Customers Raw data'!E284</f>
        <v>200</v>
      </c>
      <c r="F284">
        <f>'Customers Raw data'!F284</f>
        <v>0</v>
      </c>
      <c r="G284">
        <f>IF('Customers Raw data'!F284&lt;&gt;"",1,0)</f>
        <v>0</v>
      </c>
      <c r="H284" t="str">
        <f>IF('Customers Raw data'!F284&lt;&gt;"",YEAR(DATEVALUE('Customers Raw data'!F284)),"")</f>
        <v/>
      </c>
      <c r="I284" t="str">
        <f>IF('Customers Raw data'!F284&lt;&gt;"",MONTH(DATEVALUE('Customers Raw data'!F284)),"")</f>
        <v/>
      </c>
      <c r="J284">
        <f>YEAR(DATEVALUE('Customers Raw data'!B284))</f>
        <v>2024</v>
      </c>
      <c r="K284">
        <f>MONTH(DATEVALUE('Customers Raw data'!B284))</f>
        <v>5</v>
      </c>
      <c r="L284">
        <f ca="1">IF('Customers Raw data'!F284&lt;&gt;"",DATEDIF(DATEVALUE('Customers Raw data'!B284),DATEVALUE('Customers Raw data'!F284),"M"),DATEDIF(DATEVALUE('Customers Raw data'!B284),TODAY(),"M"))</f>
        <v>22</v>
      </c>
      <c r="M284">
        <f t="shared" ca="1" si="20"/>
        <v>11000</v>
      </c>
      <c r="N284">
        <f t="shared" si="21"/>
        <v>3</v>
      </c>
      <c r="O284">
        <f t="shared" ca="1" si="22"/>
        <v>0</v>
      </c>
      <c r="P284">
        <f t="shared" si="23"/>
        <v>0</v>
      </c>
      <c r="Q284" t="e">
        <f t="shared" si="24"/>
        <v>#VALUE!</v>
      </c>
    </row>
    <row r="285" spans="1:17" ht="15" customHeight="1" x14ac:dyDescent="0.25">
      <c r="A285">
        <f>'Customers Raw data'!A285</f>
        <v>1284</v>
      </c>
      <c r="B285" t="str">
        <f>'Customers Raw data'!B285</f>
        <v>2025-03-10</v>
      </c>
      <c r="C285" t="str">
        <f>'Customers Raw data'!C285</f>
        <v>Basic</v>
      </c>
      <c r="D285">
        <f>'Customers Raw data'!D285</f>
        <v>50</v>
      </c>
      <c r="E285">
        <f>'Customers Raw data'!E285</f>
        <v>30</v>
      </c>
      <c r="F285">
        <f>'Customers Raw data'!F285</f>
        <v>0</v>
      </c>
      <c r="G285">
        <f>IF('Customers Raw data'!F285&lt;&gt;"",1,0)</f>
        <v>0</v>
      </c>
      <c r="H285" t="str">
        <f>IF('Customers Raw data'!F285&lt;&gt;"",YEAR(DATEVALUE('Customers Raw data'!F285)),"")</f>
        <v/>
      </c>
      <c r="I285" t="str">
        <f>IF('Customers Raw data'!F285&lt;&gt;"",MONTH(DATEVALUE('Customers Raw data'!F285)),"")</f>
        <v/>
      </c>
      <c r="J285">
        <f>YEAR(DATEVALUE('Customers Raw data'!B285))</f>
        <v>2025</v>
      </c>
      <c r="K285">
        <f>MONTH(DATEVALUE('Customers Raw data'!B285))</f>
        <v>3</v>
      </c>
      <c r="L285">
        <f ca="1">IF('Customers Raw data'!F285&lt;&gt;"",DATEDIF(DATEVALUE('Customers Raw data'!B285),DATEVALUE('Customers Raw data'!F285),"M"),DATEDIF(DATEVALUE('Customers Raw data'!B285),TODAY(),"M"))</f>
        <v>12</v>
      </c>
      <c r="M285">
        <f t="shared" ca="1" si="20"/>
        <v>600</v>
      </c>
      <c r="N285">
        <f t="shared" si="21"/>
        <v>1</v>
      </c>
      <c r="O285">
        <f t="shared" ca="1" si="22"/>
        <v>0</v>
      </c>
      <c r="P285">
        <f t="shared" si="23"/>
        <v>0</v>
      </c>
      <c r="Q285" t="e">
        <f t="shared" si="24"/>
        <v>#VALUE!</v>
      </c>
    </row>
    <row r="286" spans="1:17" ht="15" customHeight="1" x14ac:dyDescent="0.25">
      <c r="A286">
        <f>'Customers Raw data'!A286</f>
        <v>1285</v>
      </c>
      <c r="B286" t="str">
        <f>'Customers Raw data'!B286</f>
        <v>2025-05-15</v>
      </c>
      <c r="C286" t="str">
        <f>'Customers Raw data'!C286</f>
        <v>Enterprise</v>
      </c>
      <c r="D286">
        <f>'Customers Raw data'!D286</f>
        <v>500</v>
      </c>
      <c r="E286">
        <f>'Customers Raw data'!E286</f>
        <v>200</v>
      </c>
      <c r="F286">
        <f>'Customers Raw data'!F286</f>
        <v>0</v>
      </c>
      <c r="G286">
        <f>IF('Customers Raw data'!F286&lt;&gt;"",1,0)</f>
        <v>0</v>
      </c>
      <c r="H286" t="str">
        <f>IF('Customers Raw data'!F286&lt;&gt;"",YEAR(DATEVALUE('Customers Raw data'!F286)),"")</f>
        <v/>
      </c>
      <c r="I286" t="str">
        <f>IF('Customers Raw data'!F286&lt;&gt;"",MONTH(DATEVALUE('Customers Raw data'!F286)),"")</f>
        <v/>
      </c>
      <c r="J286">
        <f>YEAR(DATEVALUE('Customers Raw data'!B286))</f>
        <v>2025</v>
      </c>
      <c r="K286">
        <f>MONTH(DATEVALUE('Customers Raw data'!B286))</f>
        <v>5</v>
      </c>
      <c r="L286">
        <f ca="1">IF('Customers Raw data'!F286&lt;&gt;"",DATEDIF(DATEVALUE('Customers Raw data'!B286),DATEVALUE('Customers Raw data'!F286),"M"),DATEDIF(DATEVALUE('Customers Raw data'!B286),TODAY(),"M"))</f>
        <v>10</v>
      </c>
      <c r="M286">
        <f t="shared" ca="1" si="20"/>
        <v>5000</v>
      </c>
      <c r="N286">
        <f t="shared" si="21"/>
        <v>3</v>
      </c>
      <c r="O286">
        <f t="shared" ca="1" si="22"/>
        <v>0</v>
      </c>
      <c r="P286">
        <f t="shared" si="23"/>
        <v>0</v>
      </c>
      <c r="Q286" t="e">
        <f t="shared" si="24"/>
        <v>#VALUE!</v>
      </c>
    </row>
    <row r="287" spans="1:17" ht="15" customHeight="1" x14ac:dyDescent="0.25">
      <c r="A287">
        <f>'Customers Raw data'!A287</f>
        <v>1286</v>
      </c>
      <c r="B287" t="str">
        <f>'Customers Raw data'!B287</f>
        <v>2024-08-23</v>
      </c>
      <c r="C287" t="str">
        <f>'Customers Raw data'!C287</f>
        <v>Enterprise</v>
      </c>
      <c r="D287">
        <f>'Customers Raw data'!D287</f>
        <v>500</v>
      </c>
      <c r="E287">
        <f>'Customers Raw data'!E287</f>
        <v>200</v>
      </c>
      <c r="F287">
        <f>'Customers Raw data'!F287</f>
        <v>0</v>
      </c>
      <c r="G287">
        <f>IF('Customers Raw data'!F287&lt;&gt;"",1,0)</f>
        <v>0</v>
      </c>
      <c r="H287" t="str">
        <f>IF('Customers Raw data'!F287&lt;&gt;"",YEAR(DATEVALUE('Customers Raw data'!F287)),"")</f>
        <v/>
      </c>
      <c r="I287" t="str">
        <f>IF('Customers Raw data'!F287&lt;&gt;"",MONTH(DATEVALUE('Customers Raw data'!F287)),"")</f>
        <v/>
      </c>
      <c r="J287">
        <f>YEAR(DATEVALUE('Customers Raw data'!B287))</f>
        <v>2024</v>
      </c>
      <c r="K287">
        <f>MONTH(DATEVALUE('Customers Raw data'!B287))</f>
        <v>8</v>
      </c>
      <c r="L287">
        <f ca="1">IF('Customers Raw data'!F287&lt;&gt;"",DATEDIF(DATEVALUE('Customers Raw data'!B287),DATEVALUE('Customers Raw data'!F287),"M"),DATEDIF(DATEVALUE('Customers Raw data'!B287),TODAY(),"M"))</f>
        <v>19</v>
      </c>
      <c r="M287">
        <f t="shared" ca="1" si="20"/>
        <v>9500</v>
      </c>
      <c r="N287">
        <f t="shared" si="21"/>
        <v>3</v>
      </c>
      <c r="O287">
        <f t="shared" ca="1" si="22"/>
        <v>0</v>
      </c>
      <c r="P287">
        <f t="shared" si="23"/>
        <v>0</v>
      </c>
      <c r="Q287" t="e">
        <f t="shared" si="24"/>
        <v>#VALUE!</v>
      </c>
    </row>
    <row r="288" spans="1:17" ht="15" customHeight="1" x14ac:dyDescent="0.25">
      <c r="A288">
        <f>'Customers Raw data'!A288</f>
        <v>1287</v>
      </c>
      <c r="B288" t="str">
        <f>'Customers Raw data'!B288</f>
        <v>2025-02-23</v>
      </c>
      <c r="C288" t="str">
        <f>'Customers Raw data'!C288</f>
        <v>Basic</v>
      </c>
      <c r="D288">
        <f>'Customers Raw data'!D288</f>
        <v>50</v>
      </c>
      <c r="E288">
        <f>'Customers Raw data'!E288</f>
        <v>30</v>
      </c>
      <c r="F288" t="str">
        <f>'Customers Raw data'!F288</f>
        <v>2025-04-26</v>
      </c>
      <c r="G288">
        <f>IF('Customers Raw data'!F288&lt;&gt;"",1,0)</f>
        <v>1</v>
      </c>
      <c r="H288">
        <f>IF('Customers Raw data'!F288&lt;&gt;"",YEAR(DATEVALUE('Customers Raw data'!F288)),"")</f>
        <v>2025</v>
      </c>
      <c r="I288">
        <f>IF('Customers Raw data'!F288&lt;&gt;"",MONTH(DATEVALUE('Customers Raw data'!F288)),"")</f>
        <v>4</v>
      </c>
      <c r="J288">
        <f>YEAR(DATEVALUE('Customers Raw data'!B288))</f>
        <v>2025</v>
      </c>
      <c r="K288">
        <f>MONTH(DATEVALUE('Customers Raw data'!B288))</f>
        <v>2</v>
      </c>
      <c r="L288">
        <f ca="1">IF('Customers Raw data'!F288&lt;&gt;"",DATEDIF(DATEVALUE('Customers Raw data'!B288),DATEVALUE('Customers Raw data'!F288),"M"),DATEDIF(DATEVALUE('Customers Raw data'!B288),TODAY(),"M"))</f>
        <v>2</v>
      </c>
      <c r="M288">
        <f t="shared" ca="1" si="20"/>
        <v>100</v>
      </c>
      <c r="N288">
        <f t="shared" si="21"/>
        <v>1</v>
      </c>
      <c r="O288">
        <f t="shared" ca="1" si="22"/>
        <v>1</v>
      </c>
      <c r="P288">
        <f t="shared" si="23"/>
        <v>50</v>
      </c>
      <c r="Q288" t="str">
        <f t="shared" si="24"/>
        <v>2025-04</v>
      </c>
    </row>
    <row r="289" spans="1:17" ht="15" customHeight="1" x14ac:dyDescent="0.25">
      <c r="A289">
        <f>'Customers Raw data'!A289</f>
        <v>1288</v>
      </c>
      <c r="B289" t="str">
        <f>'Customers Raw data'!B289</f>
        <v>2024-09-22</v>
      </c>
      <c r="C289" t="str">
        <f>'Customers Raw data'!C289</f>
        <v>Pro</v>
      </c>
      <c r="D289">
        <f>'Customers Raw data'!D289</f>
        <v>200</v>
      </c>
      <c r="E289">
        <f>'Customers Raw data'!E289</f>
        <v>100</v>
      </c>
      <c r="F289">
        <f>'Customers Raw data'!F289</f>
        <v>0</v>
      </c>
      <c r="G289">
        <f>IF('Customers Raw data'!F289&lt;&gt;"",1,0)</f>
        <v>0</v>
      </c>
      <c r="H289" t="str">
        <f>IF('Customers Raw data'!F289&lt;&gt;"",YEAR(DATEVALUE('Customers Raw data'!F289)),"")</f>
        <v/>
      </c>
      <c r="I289" t="str">
        <f>IF('Customers Raw data'!F289&lt;&gt;"",MONTH(DATEVALUE('Customers Raw data'!F289)),"")</f>
        <v/>
      </c>
      <c r="J289">
        <f>YEAR(DATEVALUE('Customers Raw data'!B289))</f>
        <v>2024</v>
      </c>
      <c r="K289">
        <f>MONTH(DATEVALUE('Customers Raw data'!B289))</f>
        <v>9</v>
      </c>
      <c r="L289">
        <f ca="1">IF('Customers Raw data'!F289&lt;&gt;"",DATEDIF(DATEVALUE('Customers Raw data'!B289),DATEVALUE('Customers Raw data'!F289),"M"),DATEDIF(DATEVALUE('Customers Raw data'!B289),TODAY(),"M"))</f>
        <v>18</v>
      </c>
      <c r="M289">
        <f t="shared" ca="1" si="20"/>
        <v>3600</v>
      </c>
      <c r="N289">
        <f t="shared" si="21"/>
        <v>2</v>
      </c>
      <c r="O289">
        <f t="shared" ca="1" si="22"/>
        <v>0</v>
      </c>
      <c r="P289">
        <f t="shared" si="23"/>
        <v>0</v>
      </c>
      <c r="Q289" t="e">
        <f t="shared" si="24"/>
        <v>#VALUE!</v>
      </c>
    </row>
    <row r="290" spans="1:17" ht="15" customHeight="1" x14ac:dyDescent="0.25">
      <c r="A290">
        <f>'Customers Raw data'!A290</f>
        <v>1289</v>
      </c>
      <c r="B290" t="str">
        <f>'Customers Raw data'!B290</f>
        <v>2024-08-02</v>
      </c>
      <c r="C290" t="str">
        <f>'Customers Raw data'!C290</f>
        <v>Enterprise</v>
      </c>
      <c r="D290">
        <f>'Customers Raw data'!D290</f>
        <v>500</v>
      </c>
      <c r="E290">
        <f>'Customers Raw data'!E290</f>
        <v>200</v>
      </c>
      <c r="F290">
        <f>'Customers Raw data'!F290</f>
        <v>0</v>
      </c>
      <c r="G290">
        <f>IF('Customers Raw data'!F290&lt;&gt;"",1,0)</f>
        <v>0</v>
      </c>
      <c r="H290" t="str">
        <f>IF('Customers Raw data'!F290&lt;&gt;"",YEAR(DATEVALUE('Customers Raw data'!F290)),"")</f>
        <v/>
      </c>
      <c r="I290" t="str">
        <f>IF('Customers Raw data'!F290&lt;&gt;"",MONTH(DATEVALUE('Customers Raw data'!F290)),"")</f>
        <v/>
      </c>
      <c r="J290">
        <f>YEAR(DATEVALUE('Customers Raw data'!B290))</f>
        <v>2024</v>
      </c>
      <c r="K290">
        <f>MONTH(DATEVALUE('Customers Raw data'!B290))</f>
        <v>8</v>
      </c>
      <c r="L290">
        <f ca="1">IF('Customers Raw data'!F290&lt;&gt;"",DATEDIF(DATEVALUE('Customers Raw data'!B290),DATEVALUE('Customers Raw data'!F290),"M"),DATEDIF(DATEVALUE('Customers Raw data'!B290),TODAY(),"M"))</f>
        <v>20</v>
      </c>
      <c r="M290">
        <f t="shared" ca="1" si="20"/>
        <v>10000</v>
      </c>
      <c r="N290">
        <f t="shared" si="21"/>
        <v>3</v>
      </c>
      <c r="O290">
        <f t="shared" ca="1" si="22"/>
        <v>0</v>
      </c>
      <c r="P290">
        <f t="shared" si="23"/>
        <v>0</v>
      </c>
      <c r="Q290" t="e">
        <f t="shared" si="24"/>
        <v>#VALUE!</v>
      </c>
    </row>
    <row r="291" spans="1:17" ht="15" customHeight="1" x14ac:dyDescent="0.25">
      <c r="A291">
        <f>'Customers Raw data'!A291</f>
        <v>1290</v>
      </c>
      <c r="B291" t="str">
        <f>'Customers Raw data'!B291</f>
        <v>2024-09-06</v>
      </c>
      <c r="C291" t="str">
        <f>'Customers Raw data'!C291</f>
        <v>Pro</v>
      </c>
      <c r="D291">
        <f>'Customers Raw data'!D291</f>
        <v>200</v>
      </c>
      <c r="E291">
        <f>'Customers Raw data'!E291</f>
        <v>100</v>
      </c>
      <c r="F291">
        <f>'Customers Raw data'!F291</f>
        <v>0</v>
      </c>
      <c r="G291">
        <f>IF('Customers Raw data'!F291&lt;&gt;"",1,0)</f>
        <v>0</v>
      </c>
      <c r="H291" t="str">
        <f>IF('Customers Raw data'!F291&lt;&gt;"",YEAR(DATEVALUE('Customers Raw data'!F291)),"")</f>
        <v/>
      </c>
      <c r="I291" t="str">
        <f>IF('Customers Raw data'!F291&lt;&gt;"",MONTH(DATEVALUE('Customers Raw data'!F291)),"")</f>
        <v/>
      </c>
      <c r="J291">
        <f>YEAR(DATEVALUE('Customers Raw data'!B291))</f>
        <v>2024</v>
      </c>
      <c r="K291">
        <f>MONTH(DATEVALUE('Customers Raw data'!B291))</f>
        <v>9</v>
      </c>
      <c r="L291">
        <f ca="1">IF('Customers Raw data'!F291&lt;&gt;"",DATEDIF(DATEVALUE('Customers Raw data'!B291),DATEVALUE('Customers Raw data'!F291),"M"),DATEDIF(DATEVALUE('Customers Raw data'!B291),TODAY(),"M"))</f>
        <v>19</v>
      </c>
      <c r="M291">
        <f t="shared" ca="1" si="20"/>
        <v>3800</v>
      </c>
      <c r="N291">
        <f t="shared" si="21"/>
        <v>2</v>
      </c>
      <c r="O291">
        <f t="shared" ca="1" si="22"/>
        <v>0</v>
      </c>
      <c r="P291">
        <f t="shared" si="23"/>
        <v>0</v>
      </c>
      <c r="Q291" t="e">
        <f t="shared" si="24"/>
        <v>#VALUE!</v>
      </c>
    </row>
    <row r="292" spans="1:17" ht="15" customHeight="1" x14ac:dyDescent="0.25">
      <c r="A292">
        <f>'Customers Raw data'!A292</f>
        <v>1291</v>
      </c>
      <c r="B292" t="str">
        <f>'Customers Raw data'!B292</f>
        <v>2024-07-13</v>
      </c>
      <c r="C292" t="str">
        <f>'Customers Raw data'!C292</f>
        <v>Basic</v>
      </c>
      <c r="D292">
        <f>'Customers Raw data'!D292</f>
        <v>50</v>
      </c>
      <c r="E292">
        <f>'Customers Raw data'!E292</f>
        <v>30</v>
      </c>
      <c r="F292" t="str">
        <f>'Customers Raw data'!F292</f>
        <v>2024-08-31</v>
      </c>
      <c r="G292">
        <f>IF('Customers Raw data'!F292&lt;&gt;"",1,0)</f>
        <v>1</v>
      </c>
      <c r="H292">
        <f>IF('Customers Raw data'!F292&lt;&gt;"",YEAR(DATEVALUE('Customers Raw data'!F292)),"")</f>
        <v>2024</v>
      </c>
      <c r="I292">
        <f>IF('Customers Raw data'!F292&lt;&gt;"",MONTH(DATEVALUE('Customers Raw data'!F292)),"")</f>
        <v>8</v>
      </c>
      <c r="J292">
        <f>YEAR(DATEVALUE('Customers Raw data'!B292))</f>
        <v>2024</v>
      </c>
      <c r="K292">
        <f>MONTH(DATEVALUE('Customers Raw data'!B292))</f>
        <v>7</v>
      </c>
      <c r="L292">
        <f ca="1">IF('Customers Raw data'!F292&lt;&gt;"",DATEDIF(DATEVALUE('Customers Raw data'!B292),DATEVALUE('Customers Raw data'!F292),"M"),DATEDIF(DATEVALUE('Customers Raw data'!B292),TODAY(),"M"))</f>
        <v>1</v>
      </c>
      <c r="M292">
        <f t="shared" ca="1" si="20"/>
        <v>50</v>
      </c>
      <c r="N292">
        <f t="shared" si="21"/>
        <v>1</v>
      </c>
      <c r="O292">
        <f t="shared" ca="1" si="22"/>
        <v>1</v>
      </c>
      <c r="P292">
        <f t="shared" si="23"/>
        <v>50</v>
      </c>
      <c r="Q292" t="str">
        <f t="shared" si="24"/>
        <v>2024-08</v>
      </c>
    </row>
    <row r="293" spans="1:17" ht="15" customHeight="1" x14ac:dyDescent="0.25">
      <c r="A293">
        <f>'Customers Raw data'!A293</f>
        <v>1292</v>
      </c>
      <c r="B293" t="str">
        <f>'Customers Raw data'!B293</f>
        <v>2024-04-02</v>
      </c>
      <c r="C293" t="str">
        <f>'Customers Raw data'!C293</f>
        <v>Basic</v>
      </c>
      <c r="D293">
        <f>'Customers Raw data'!D293</f>
        <v>50</v>
      </c>
      <c r="E293">
        <f>'Customers Raw data'!E293</f>
        <v>30</v>
      </c>
      <c r="F293" t="str">
        <f>'Customers Raw data'!F293</f>
        <v>2024-07-25</v>
      </c>
      <c r="G293">
        <f>IF('Customers Raw data'!F293&lt;&gt;"",1,0)</f>
        <v>1</v>
      </c>
      <c r="H293">
        <f>IF('Customers Raw data'!F293&lt;&gt;"",YEAR(DATEVALUE('Customers Raw data'!F293)),"")</f>
        <v>2024</v>
      </c>
      <c r="I293">
        <f>IF('Customers Raw data'!F293&lt;&gt;"",MONTH(DATEVALUE('Customers Raw data'!F293)),"")</f>
        <v>7</v>
      </c>
      <c r="J293">
        <f>YEAR(DATEVALUE('Customers Raw data'!B293))</f>
        <v>2024</v>
      </c>
      <c r="K293">
        <f>MONTH(DATEVALUE('Customers Raw data'!B293))</f>
        <v>4</v>
      </c>
      <c r="L293">
        <f ca="1">IF('Customers Raw data'!F293&lt;&gt;"",DATEDIF(DATEVALUE('Customers Raw data'!B293),DATEVALUE('Customers Raw data'!F293),"M"),DATEDIF(DATEVALUE('Customers Raw data'!B293),TODAY(),"M"))</f>
        <v>3</v>
      </c>
      <c r="M293">
        <f t="shared" ca="1" si="20"/>
        <v>150</v>
      </c>
      <c r="N293">
        <f t="shared" si="21"/>
        <v>1</v>
      </c>
      <c r="O293">
        <f t="shared" ca="1" si="22"/>
        <v>1</v>
      </c>
      <c r="P293">
        <f t="shared" si="23"/>
        <v>50</v>
      </c>
      <c r="Q293" t="str">
        <f t="shared" si="24"/>
        <v>2024-07</v>
      </c>
    </row>
    <row r="294" spans="1:17" ht="15" customHeight="1" x14ac:dyDescent="0.25">
      <c r="A294">
        <f>'Customers Raw data'!A294</f>
        <v>1293</v>
      </c>
      <c r="B294" t="str">
        <f>'Customers Raw data'!B294</f>
        <v>2025-01-29</v>
      </c>
      <c r="C294" t="str">
        <f>'Customers Raw data'!C294</f>
        <v>Basic</v>
      </c>
      <c r="D294">
        <f>'Customers Raw data'!D294</f>
        <v>50</v>
      </c>
      <c r="E294">
        <f>'Customers Raw data'!E294</f>
        <v>30</v>
      </c>
      <c r="F294">
        <f>'Customers Raw data'!F294</f>
        <v>0</v>
      </c>
      <c r="G294">
        <f>IF('Customers Raw data'!F294&lt;&gt;"",1,0)</f>
        <v>0</v>
      </c>
      <c r="H294" t="str">
        <f>IF('Customers Raw data'!F294&lt;&gt;"",YEAR(DATEVALUE('Customers Raw data'!F294)),"")</f>
        <v/>
      </c>
      <c r="I294" t="str">
        <f>IF('Customers Raw data'!F294&lt;&gt;"",MONTH(DATEVALUE('Customers Raw data'!F294)),"")</f>
        <v/>
      </c>
      <c r="J294">
        <f>YEAR(DATEVALUE('Customers Raw data'!B294))</f>
        <v>2025</v>
      </c>
      <c r="K294">
        <f>MONTH(DATEVALUE('Customers Raw data'!B294))</f>
        <v>1</v>
      </c>
      <c r="L294">
        <f ca="1">IF('Customers Raw data'!F294&lt;&gt;"",DATEDIF(DATEVALUE('Customers Raw data'!B294),DATEVALUE('Customers Raw data'!F294),"M"),DATEDIF(DATEVALUE('Customers Raw data'!B294),TODAY(),"M"))</f>
        <v>14</v>
      </c>
      <c r="M294">
        <f t="shared" ca="1" si="20"/>
        <v>700</v>
      </c>
      <c r="N294">
        <f t="shared" si="21"/>
        <v>1</v>
      </c>
      <c r="O294">
        <f t="shared" ca="1" si="22"/>
        <v>0</v>
      </c>
      <c r="P294">
        <f t="shared" si="23"/>
        <v>0</v>
      </c>
      <c r="Q294" t="e">
        <f t="shared" si="24"/>
        <v>#VALUE!</v>
      </c>
    </row>
    <row r="295" spans="1:17" ht="15" customHeight="1" x14ac:dyDescent="0.25">
      <c r="A295">
        <f>'Customers Raw data'!A295</f>
        <v>1294</v>
      </c>
      <c r="B295" t="str">
        <f>'Customers Raw data'!B295</f>
        <v>2024-03-25</v>
      </c>
      <c r="C295" t="str">
        <f>'Customers Raw data'!C295</f>
        <v>Enterprise</v>
      </c>
      <c r="D295">
        <f>'Customers Raw data'!D295</f>
        <v>500</v>
      </c>
      <c r="E295">
        <f>'Customers Raw data'!E295</f>
        <v>200</v>
      </c>
      <c r="F295" t="str">
        <f>'Customers Raw data'!F295</f>
        <v>2025-05-26</v>
      </c>
      <c r="G295">
        <f>IF('Customers Raw data'!F295&lt;&gt;"",1,0)</f>
        <v>1</v>
      </c>
      <c r="H295">
        <f>IF('Customers Raw data'!F295&lt;&gt;"",YEAR(DATEVALUE('Customers Raw data'!F295)),"")</f>
        <v>2025</v>
      </c>
      <c r="I295">
        <f>IF('Customers Raw data'!F295&lt;&gt;"",MONTH(DATEVALUE('Customers Raw data'!F295)),"")</f>
        <v>5</v>
      </c>
      <c r="J295">
        <f>YEAR(DATEVALUE('Customers Raw data'!B295))</f>
        <v>2024</v>
      </c>
      <c r="K295">
        <f>MONTH(DATEVALUE('Customers Raw data'!B295))</f>
        <v>3</v>
      </c>
      <c r="L295">
        <f ca="1">IF('Customers Raw data'!F295&lt;&gt;"",DATEDIF(DATEVALUE('Customers Raw data'!B295),DATEVALUE('Customers Raw data'!F295),"M"),DATEDIF(DATEVALUE('Customers Raw data'!B295),TODAY(),"M"))</f>
        <v>14</v>
      </c>
      <c r="M295">
        <f t="shared" ca="1" si="20"/>
        <v>7000</v>
      </c>
      <c r="N295">
        <f t="shared" si="21"/>
        <v>3</v>
      </c>
      <c r="O295">
        <f t="shared" ca="1" si="22"/>
        <v>0</v>
      </c>
      <c r="P295">
        <f t="shared" si="23"/>
        <v>500</v>
      </c>
      <c r="Q295" t="str">
        <f t="shared" si="24"/>
        <v>2025-05</v>
      </c>
    </row>
    <row r="296" spans="1:17" ht="15" customHeight="1" x14ac:dyDescent="0.25">
      <c r="A296">
        <f>'Customers Raw data'!A296</f>
        <v>1295</v>
      </c>
      <c r="B296" t="str">
        <f>'Customers Raw data'!B296</f>
        <v>2025-04-08</v>
      </c>
      <c r="C296" t="str">
        <f>'Customers Raw data'!C296</f>
        <v>Pro</v>
      </c>
      <c r="D296">
        <f>'Customers Raw data'!D296</f>
        <v>200</v>
      </c>
      <c r="E296">
        <f>'Customers Raw data'!E296</f>
        <v>100</v>
      </c>
      <c r="F296">
        <f>'Customers Raw data'!F296</f>
        <v>0</v>
      </c>
      <c r="G296">
        <f>IF('Customers Raw data'!F296&lt;&gt;"",1,0)</f>
        <v>0</v>
      </c>
      <c r="H296" t="str">
        <f>IF('Customers Raw data'!F296&lt;&gt;"",YEAR(DATEVALUE('Customers Raw data'!F296)),"")</f>
        <v/>
      </c>
      <c r="I296" t="str">
        <f>IF('Customers Raw data'!F296&lt;&gt;"",MONTH(DATEVALUE('Customers Raw data'!F296)),"")</f>
        <v/>
      </c>
      <c r="J296">
        <f>YEAR(DATEVALUE('Customers Raw data'!B296))</f>
        <v>2025</v>
      </c>
      <c r="K296">
        <f>MONTH(DATEVALUE('Customers Raw data'!B296))</f>
        <v>4</v>
      </c>
      <c r="L296">
        <f ca="1">IF('Customers Raw data'!F296&lt;&gt;"",DATEDIF(DATEVALUE('Customers Raw data'!B296),DATEVALUE('Customers Raw data'!F296),"M"),DATEDIF(DATEVALUE('Customers Raw data'!B296),TODAY(),"M"))</f>
        <v>11</v>
      </c>
      <c r="M296">
        <f t="shared" ca="1" si="20"/>
        <v>2200</v>
      </c>
      <c r="N296">
        <f t="shared" si="21"/>
        <v>2</v>
      </c>
      <c r="O296">
        <f t="shared" ca="1" si="22"/>
        <v>0</v>
      </c>
      <c r="P296">
        <f t="shared" si="23"/>
        <v>0</v>
      </c>
      <c r="Q296" t="e">
        <f t="shared" si="24"/>
        <v>#VALUE!</v>
      </c>
    </row>
    <row r="297" spans="1:17" ht="15" customHeight="1" x14ac:dyDescent="0.25">
      <c r="A297">
        <f>'Customers Raw data'!A297</f>
        <v>1296</v>
      </c>
      <c r="B297" t="str">
        <f>'Customers Raw data'!B297</f>
        <v>2025-06-06</v>
      </c>
      <c r="C297" t="str">
        <f>'Customers Raw data'!C297</f>
        <v>Basic</v>
      </c>
      <c r="D297">
        <f>'Customers Raw data'!D297</f>
        <v>50</v>
      </c>
      <c r="E297">
        <f>'Customers Raw data'!E297</f>
        <v>30</v>
      </c>
      <c r="F297">
        <f>'Customers Raw data'!F297</f>
        <v>0</v>
      </c>
      <c r="G297">
        <f>IF('Customers Raw data'!F297&lt;&gt;"",1,0)</f>
        <v>0</v>
      </c>
      <c r="H297" t="str">
        <f>IF('Customers Raw data'!F297&lt;&gt;"",YEAR(DATEVALUE('Customers Raw data'!F297)),"")</f>
        <v/>
      </c>
      <c r="I297" t="str">
        <f>IF('Customers Raw data'!F297&lt;&gt;"",MONTH(DATEVALUE('Customers Raw data'!F297)),"")</f>
        <v/>
      </c>
      <c r="J297">
        <f>YEAR(DATEVALUE('Customers Raw data'!B297))</f>
        <v>2025</v>
      </c>
      <c r="K297">
        <f>MONTH(DATEVALUE('Customers Raw data'!B297))</f>
        <v>6</v>
      </c>
      <c r="L297">
        <f ca="1">IF('Customers Raw data'!F297&lt;&gt;"",DATEDIF(DATEVALUE('Customers Raw data'!B297),DATEVALUE('Customers Raw data'!F297),"M"),DATEDIF(DATEVALUE('Customers Raw data'!B297),TODAY(),"M"))</f>
        <v>10</v>
      </c>
      <c r="M297">
        <f t="shared" ca="1" si="20"/>
        <v>500</v>
      </c>
      <c r="N297">
        <f t="shared" si="21"/>
        <v>1</v>
      </c>
      <c r="O297">
        <f t="shared" ca="1" si="22"/>
        <v>0</v>
      </c>
      <c r="P297">
        <f t="shared" si="23"/>
        <v>0</v>
      </c>
      <c r="Q297" t="e">
        <f t="shared" si="24"/>
        <v>#VALUE!</v>
      </c>
    </row>
    <row r="298" spans="1:17" ht="15" customHeight="1" x14ac:dyDescent="0.25">
      <c r="A298">
        <f>'Customers Raw data'!A298</f>
        <v>1297</v>
      </c>
      <c r="B298" t="str">
        <f>'Customers Raw data'!B298</f>
        <v>2024-01-09</v>
      </c>
      <c r="C298" t="str">
        <f>'Customers Raw data'!C298</f>
        <v>Basic</v>
      </c>
      <c r="D298">
        <f>'Customers Raw data'!D298</f>
        <v>50</v>
      </c>
      <c r="E298">
        <f>'Customers Raw data'!E298</f>
        <v>30</v>
      </c>
      <c r="F298">
        <f>'Customers Raw data'!F298</f>
        <v>0</v>
      </c>
      <c r="G298">
        <f>IF('Customers Raw data'!F298&lt;&gt;"",1,0)</f>
        <v>0</v>
      </c>
      <c r="H298" t="str">
        <f>IF('Customers Raw data'!F298&lt;&gt;"",YEAR(DATEVALUE('Customers Raw data'!F298)),"")</f>
        <v/>
      </c>
      <c r="I298" t="str">
        <f>IF('Customers Raw data'!F298&lt;&gt;"",MONTH(DATEVALUE('Customers Raw data'!F298)),"")</f>
        <v/>
      </c>
      <c r="J298">
        <f>YEAR(DATEVALUE('Customers Raw data'!B298))</f>
        <v>2024</v>
      </c>
      <c r="K298">
        <f>MONTH(DATEVALUE('Customers Raw data'!B298))</f>
        <v>1</v>
      </c>
      <c r="L298">
        <f ca="1">IF('Customers Raw data'!F298&lt;&gt;"",DATEDIF(DATEVALUE('Customers Raw data'!B298),DATEVALUE('Customers Raw data'!F298),"M"),DATEDIF(DATEVALUE('Customers Raw data'!B298),TODAY(),"M"))</f>
        <v>26</v>
      </c>
      <c r="M298">
        <f t="shared" ca="1" si="20"/>
        <v>1300</v>
      </c>
      <c r="N298">
        <f t="shared" si="21"/>
        <v>1</v>
      </c>
      <c r="O298">
        <f t="shared" ca="1" si="22"/>
        <v>0</v>
      </c>
      <c r="P298">
        <f t="shared" si="23"/>
        <v>0</v>
      </c>
      <c r="Q298" t="e">
        <f t="shared" si="24"/>
        <v>#VALUE!</v>
      </c>
    </row>
    <row r="299" spans="1:17" ht="15" customHeight="1" x14ac:dyDescent="0.25">
      <c r="A299">
        <f>'Customers Raw data'!A299</f>
        <v>1298</v>
      </c>
      <c r="B299" t="str">
        <f>'Customers Raw data'!B299</f>
        <v>2024-12-24</v>
      </c>
      <c r="C299" t="str">
        <f>'Customers Raw data'!C299</f>
        <v>Pro</v>
      </c>
      <c r="D299">
        <f>'Customers Raw data'!D299</f>
        <v>200</v>
      </c>
      <c r="E299">
        <f>'Customers Raw data'!E299</f>
        <v>100</v>
      </c>
      <c r="F299">
        <f>'Customers Raw data'!F299</f>
        <v>0</v>
      </c>
      <c r="G299">
        <f>IF('Customers Raw data'!F299&lt;&gt;"",1,0)</f>
        <v>0</v>
      </c>
      <c r="H299" t="str">
        <f>IF('Customers Raw data'!F299&lt;&gt;"",YEAR(DATEVALUE('Customers Raw data'!F299)),"")</f>
        <v/>
      </c>
      <c r="I299" t="str">
        <f>IF('Customers Raw data'!F299&lt;&gt;"",MONTH(DATEVALUE('Customers Raw data'!F299)),"")</f>
        <v/>
      </c>
      <c r="J299">
        <f>YEAR(DATEVALUE('Customers Raw data'!B299))</f>
        <v>2024</v>
      </c>
      <c r="K299">
        <f>MONTH(DATEVALUE('Customers Raw data'!B299))</f>
        <v>12</v>
      </c>
      <c r="L299">
        <f ca="1">IF('Customers Raw data'!F299&lt;&gt;"",DATEDIF(DATEVALUE('Customers Raw data'!B299),DATEVALUE('Customers Raw data'!F299),"M"),DATEDIF(DATEVALUE('Customers Raw data'!B299),TODAY(),"M"))</f>
        <v>15</v>
      </c>
      <c r="M299">
        <f t="shared" ca="1" si="20"/>
        <v>3000</v>
      </c>
      <c r="N299">
        <f t="shared" si="21"/>
        <v>2</v>
      </c>
      <c r="O299">
        <f t="shared" ca="1" si="22"/>
        <v>0</v>
      </c>
      <c r="P299">
        <f t="shared" si="23"/>
        <v>0</v>
      </c>
      <c r="Q299" t="e">
        <f t="shared" si="24"/>
        <v>#VALUE!</v>
      </c>
    </row>
    <row r="300" spans="1:17" ht="15" customHeight="1" x14ac:dyDescent="0.25">
      <c r="A300">
        <f>'Customers Raw data'!A300</f>
        <v>1299</v>
      </c>
      <c r="B300" t="str">
        <f>'Customers Raw data'!B300</f>
        <v>2025-04-27</v>
      </c>
      <c r="C300" t="str">
        <f>'Customers Raw data'!C300</f>
        <v>Enterprise</v>
      </c>
      <c r="D300">
        <f>'Customers Raw data'!D300</f>
        <v>500</v>
      </c>
      <c r="E300">
        <f>'Customers Raw data'!E300</f>
        <v>200</v>
      </c>
      <c r="F300">
        <f>'Customers Raw data'!F300</f>
        <v>0</v>
      </c>
      <c r="G300">
        <f>IF('Customers Raw data'!F300&lt;&gt;"",1,0)</f>
        <v>0</v>
      </c>
      <c r="H300" t="str">
        <f>IF('Customers Raw data'!F300&lt;&gt;"",YEAR(DATEVALUE('Customers Raw data'!F300)),"")</f>
        <v/>
      </c>
      <c r="I300" t="str">
        <f>IF('Customers Raw data'!F300&lt;&gt;"",MONTH(DATEVALUE('Customers Raw data'!F300)),"")</f>
        <v/>
      </c>
      <c r="J300">
        <f>YEAR(DATEVALUE('Customers Raw data'!B300))</f>
        <v>2025</v>
      </c>
      <c r="K300">
        <f>MONTH(DATEVALUE('Customers Raw data'!B300))</f>
        <v>4</v>
      </c>
      <c r="L300">
        <f ca="1">IF('Customers Raw data'!F300&lt;&gt;"",DATEDIF(DATEVALUE('Customers Raw data'!B300),DATEVALUE('Customers Raw data'!F300),"M"),DATEDIF(DATEVALUE('Customers Raw data'!B300),TODAY(),"M"))</f>
        <v>11</v>
      </c>
      <c r="M300">
        <f t="shared" ca="1" si="20"/>
        <v>5500</v>
      </c>
      <c r="N300">
        <f t="shared" si="21"/>
        <v>3</v>
      </c>
      <c r="O300">
        <f t="shared" ca="1" si="22"/>
        <v>0</v>
      </c>
      <c r="P300">
        <f t="shared" si="23"/>
        <v>0</v>
      </c>
      <c r="Q300" t="e">
        <f t="shared" si="24"/>
        <v>#VALUE!</v>
      </c>
    </row>
    <row r="301" spans="1:17" ht="15" customHeight="1" x14ac:dyDescent="0.25">
      <c r="A301">
        <f>'Customers Raw data'!A301</f>
        <v>1300</v>
      </c>
      <c r="B301" t="str">
        <f>'Customers Raw data'!B301</f>
        <v>2024-02-14</v>
      </c>
      <c r="C301" t="str">
        <f>'Customers Raw data'!C301</f>
        <v>Enterprise</v>
      </c>
      <c r="D301">
        <f>'Customers Raw data'!D301</f>
        <v>500</v>
      </c>
      <c r="E301">
        <f>'Customers Raw data'!E301</f>
        <v>200</v>
      </c>
      <c r="F301">
        <f>'Customers Raw data'!F301</f>
        <v>0</v>
      </c>
      <c r="G301">
        <f>IF('Customers Raw data'!F301&lt;&gt;"",1,0)</f>
        <v>0</v>
      </c>
      <c r="H301" t="str">
        <f>IF('Customers Raw data'!F301&lt;&gt;"",YEAR(DATEVALUE('Customers Raw data'!F301)),"")</f>
        <v/>
      </c>
      <c r="I301" t="str">
        <f>IF('Customers Raw data'!F301&lt;&gt;"",MONTH(DATEVALUE('Customers Raw data'!F301)),"")</f>
        <v/>
      </c>
      <c r="J301">
        <f>YEAR(DATEVALUE('Customers Raw data'!B301))</f>
        <v>2024</v>
      </c>
      <c r="K301">
        <f>MONTH(DATEVALUE('Customers Raw data'!B301))</f>
        <v>2</v>
      </c>
      <c r="L301">
        <f ca="1">IF('Customers Raw data'!F301&lt;&gt;"",DATEDIF(DATEVALUE('Customers Raw data'!B301),DATEVALUE('Customers Raw data'!F301),"M"),DATEDIF(DATEVALUE('Customers Raw data'!B301),TODAY(),"M"))</f>
        <v>25</v>
      </c>
      <c r="M301">
        <f t="shared" ca="1" si="20"/>
        <v>12500</v>
      </c>
      <c r="N301">
        <f t="shared" si="21"/>
        <v>3</v>
      </c>
      <c r="O301">
        <f t="shared" ca="1" si="22"/>
        <v>0</v>
      </c>
      <c r="P301">
        <f t="shared" si="23"/>
        <v>0</v>
      </c>
      <c r="Q301" t="e">
        <f t="shared" si="24"/>
        <v>#VALUE!</v>
      </c>
    </row>
    <row r="302" spans="1:17" ht="15" customHeight="1" x14ac:dyDescent="0.25">
      <c r="A302">
        <f>'Customers Raw data'!A302</f>
        <v>1301</v>
      </c>
      <c r="B302" t="str">
        <f>'Customers Raw data'!B302</f>
        <v>2025-02-04</v>
      </c>
      <c r="C302" t="str">
        <f>'Customers Raw data'!C302</f>
        <v>Basic</v>
      </c>
      <c r="D302">
        <f>'Customers Raw data'!D302</f>
        <v>50</v>
      </c>
      <c r="E302">
        <f>'Customers Raw data'!E302</f>
        <v>30</v>
      </c>
      <c r="F302">
        <f>'Customers Raw data'!F302</f>
        <v>0</v>
      </c>
      <c r="G302">
        <f>IF('Customers Raw data'!F302&lt;&gt;"",1,0)</f>
        <v>0</v>
      </c>
      <c r="H302" t="str">
        <f>IF('Customers Raw data'!F302&lt;&gt;"",YEAR(DATEVALUE('Customers Raw data'!F302)),"")</f>
        <v/>
      </c>
      <c r="I302" t="str">
        <f>IF('Customers Raw data'!F302&lt;&gt;"",MONTH(DATEVALUE('Customers Raw data'!F302)),"")</f>
        <v/>
      </c>
      <c r="J302">
        <f>YEAR(DATEVALUE('Customers Raw data'!B302))</f>
        <v>2025</v>
      </c>
      <c r="K302">
        <f>MONTH(DATEVALUE('Customers Raw data'!B302))</f>
        <v>2</v>
      </c>
      <c r="L302">
        <f ca="1">IF('Customers Raw data'!F302&lt;&gt;"",DATEDIF(DATEVALUE('Customers Raw data'!B302),DATEVALUE('Customers Raw data'!F302),"M"),DATEDIF(DATEVALUE('Customers Raw data'!B302),TODAY(),"M"))</f>
        <v>14</v>
      </c>
      <c r="M302">
        <f t="shared" ca="1" si="20"/>
        <v>700</v>
      </c>
      <c r="N302">
        <f t="shared" si="21"/>
        <v>1</v>
      </c>
      <c r="O302">
        <f t="shared" ca="1" si="22"/>
        <v>0</v>
      </c>
      <c r="P302">
        <f t="shared" si="23"/>
        <v>0</v>
      </c>
      <c r="Q302" t="e">
        <f t="shared" si="24"/>
        <v>#VALUE!</v>
      </c>
    </row>
    <row r="303" spans="1:17" ht="15" customHeight="1" x14ac:dyDescent="0.25">
      <c r="A303">
        <f>'Customers Raw data'!A303</f>
        <v>1302</v>
      </c>
      <c r="B303" t="str">
        <f>'Customers Raw data'!B303</f>
        <v>2025-01-01</v>
      </c>
      <c r="C303" t="str">
        <f>'Customers Raw data'!C303</f>
        <v>Pro</v>
      </c>
      <c r="D303">
        <f>'Customers Raw data'!D303</f>
        <v>200</v>
      </c>
      <c r="E303">
        <f>'Customers Raw data'!E303</f>
        <v>100</v>
      </c>
      <c r="F303">
        <f>'Customers Raw data'!F303</f>
        <v>0</v>
      </c>
      <c r="G303">
        <f>IF('Customers Raw data'!F303&lt;&gt;"",1,0)</f>
        <v>0</v>
      </c>
      <c r="H303" t="str">
        <f>IF('Customers Raw data'!F303&lt;&gt;"",YEAR(DATEVALUE('Customers Raw data'!F303)),"")</f>
        <v/>
      </c>
      <c r="I303" t="str">
        <f>IF('Customers Raw data'!F303&lt;&gt;"",MONTH(DATEVALUE('Customers Raw data'!F303)),"")</f>
        <v/>
      </c>
      <c r="J303">
        <f>YEAR(DATEVALUE('Customers Raw data'!B303))</f>
        <v>2025</v>
      </c>
      <c r="K303">
        <f>MONTH(DATEVALUE('Customers Raw data'!B303))</f>
        <v>1</v>
      </c>
      <c r="L303">
        <f ca="1">IF('Customers Raw data'!F303&lt;&gt;"",DATEDIF(DATEVALUE('Customers Raw data'!B303),DATEVALUE('Customers Raw data'!F303),"M"),DATEDIF(DATEVALUE('Customers Raw data'!B303),TODAY(),"M"))</f>
        <v>15</v>
      </c>
      <c r="M303">
        <f t="shared" ca="1" si="20"/>
        <v>3000</v>
      </c>
      <c r="N303">
        <f t="shared" si="21"/>
        <v>2</v>
      </c>
      <c r="O303">
        <f t="shared" ca="1" si="22"/>
        <v>0</v>
      </c>
      <c r="P303">
        <f t="shared" si="23"/>
        <v>0</v>
      </c>
      <c r="Q303" t="e">
        <f t="shared" si="24"/>
        <v>#VALUE!</v>
      </c>
    </row>
    <row r="304" spans="1:17" ht="15" customHeight="1" x14ac:dyDescent="0.25">
      <c r="A304">
        <f>'Customers Raw data'!A304</f>
        <v>1303</v>
      </c>
      <c r="B304" t="str">
        <f>'Customers Raw data'!B304</f>
        <v>2024-12-07</v>
      </c>
      <c r="C304" t="str">
        <f>'Customers Raw data'!C304</f>
        <v>Enterprise</v>
      </c>
      <c r="D304">
        <f>'Customers Raw data'!D304</f>
        <v>500</v>
      </c>
      <c r="E304">
        <f>'Customers Raw data'!E304</f>
        <v>200</v>
      </c>
      <c r="F304">
        <f>'Customers Raw data'!F304</f>
        <v>0</v>
      </c>
      <c r="G304">
        <f>IF('Customers Raw data'!F304&lt;&gt;"",1,0)</f>
        <v>0</v>
      </c>
      <c r="H304" t="str">
        <f>IF('Customers Raw data'!F304&lt;&gt;"",YEAR(DATEVALUE('Customers Raw data'!F304)),"")</f>
        <v/>
      </c>
      <c r="I304" t="str">
        <f>IF('Customers Raw data'!F304&lt;&gt;"",MONTH(DATEVALUE('Customers Raw data'!F304)),"")</f>
        <v/>
      </c>
      <c r="J304">
        <f>YEAR(DATEVALUE('Customers Raw data'!B304))</f>
        <v>2024</v>
      </c>
      <c r="K304">
        <f>MONTH(DATEVALUE('Customers Raw data'!B304))</f>
        <v>12</v>
      </c>
      <c r="L304">
        <f ca="1">IF('Customers Raw data'!F304&lt;&gt;"",DATEDIF(DATEVALUE('Customers Raw data'!B304),DATEVALUE('Customers Raw data'!F304),"M"),DATEDIF(DATEVALUE('Customers Raw data'!B304),TODAY(),"M"))</f>
        <v>16</v>
      </c>
      <c r="M304">
        <f t="shared" ca="1" si="20"/>
        <v>8000</v>
      </c>
      <c r="N304">
        <f t="shared" si="21"/>
        <v>3</v>
      </c>
      <c r="O304">
        <f t="shared" ca="1" si="22"/>
        <v>0</v>
      </c>
      <c r="P304">
        <f t="shared" si="23"/>
        <v>0</v>
      </c>
      <c r="Q304" t="e">
        <f t="shared" si="24"/>
        <v>#VALUE!</v>
      </c>
    </row>
    <row r="305" spans="1:17" ht="15" customHeight="1" x14ac:dyDescent="0.25">
      <c r="A305">
        <f>'Customers Raw data'!A305</f>
        <v>1304</v>
      </c>
      <c r="B305" t="str">
        <f>'Customers Raw data'!B305</f>
        <v>2025-03-08</v>
      </c>
      <c r="C305" t="str">
        <f>'Customers Raw data'!C305</f>
        <v>Basic</v>
      </c>
      <c r="D305">
        <f>'Customers Raw data'!D305</f>
        <v>50</v>
      </c>
      <c r="E305">
        <f>'Customers Raw data'!E305</f>
        <v>30</v>
      </c>
      <c r="F305">
        <f>'Customers Raw data'!F305</f>
        <v>0</v>
      </c>
      <c r="G305">
        <f>IF('Customers Raw data'!F305&lt;&gt;"",1,0)</f>
        <v>0</v>
      </c>
      <c r="H305" t="str">
        <f>IF('Customers Raw data'!F305&lt;&gt;"",YEAR(DATEVALUE('Customers Raw data'!F305)),"")</f>
        <v/>
      </c>
      <c r="I305" t="str">
        <f>IF('Customers Raw data'!F305&lt;&gt;"",MONTH(DATEVALUE('Customers Raw data'!F305)),"")</f>
        <v/>
      </c>
      <c r="J305">
        <f>YEAR(DATEVALUE('Customers Raw data'!B305))</f>
        <v>2025</v>
      </c>
      <c r="K305">
        <f>MONTH(DATEVALUE('Customers Raw data'!B305))</f>
        <v>3</v>
      </c>
      <c r="L305">
        <f ca="1">IF('Customers Raw data'!F305&lt;&gt;"",DATEDIF(DATEVALUE('Customers Raw data'!B305),DATEVALUE('Customers Raw data'!F305),"M"),DATEDIF(DATEVALUE('Customers Raw data'!B305),TODAY(),"M"))</f>
        <v>12</v>
      </c>
      <c r="M305">
        <f t="shared" ca="1" si="20"/>
        <v>600</v>
      </c>
      <c r="N305">
        <f t="shared" si="21"/>
        <v>1</v>
      </c>
      <c r="O305">
        <f t="shared" ca="1" si="22"/>
        <v>0</v>
      </c>
      <c r="P305">
        <f t="shared" si="23"/>
        <v>0</v>
      </c>
      <c r="Q305" t="e">
        <f t="shared" si="24"/>
        <v>#VALUE!</v>
      </c>
    </row>
    <row r="306" spans="1:17" ht="15" customHeight="1" x14ac:dyDescent="0.25">
      <c r="A306">
        <f>'Customers Raw data'!A306</f>
        <v>1305</v>
      </c>
      <c r="B306" t="str">
        <f>'Customers Raw data'!B306</f>
        <v>2024-04-12</v>
      </c>
      <c r="C306" t="str">
        <f>'Customers Raw data'!C306</f>
        <v>Basic</v>
      </c>
      <c r="D306">
        <f>'Customers Raw data'!D306</f>
        <v>50</v>
      </c>
      <c r="E306">
        <f>'Customers Raw data'!E306</f>
        <v>30</v>
      </c>
      <c r="F306">
        <f>'Customers Raw data'!F306</f>
        <v>0</v>
      </c>
      <c r="G306">
        <f>IF('Customers Raw data'!F306&lt;&gt;"",1,0)</f>
        <v>0</v>
      </c>
      <c r="H306" t="str">
        <f>IF('Customers Raw data'!F306&lt;&gt;"",YEAR(DATEVALUE('Customers Raw data'!F306)),"")</f>
        <v/>
      </c>
      <c r="I306" t="str">
        <f>IF('Customers Raw data'!F306&lt;&gt;"",MONTH(DATEVALUE('Customers Raw data'!F306)),"")</f>
        <v/>
      </c>
      <c r="J306">
        <f>YEAR(DATEVALUE('Customers Raw data'!B306))</f>
        <v>2024</v>
      </c>
      <c r="K306">
        <f>MONTH(DATEVALUE('Customers Raw data'!B306))</f>
        <v>4</v>
      </c>
      <c r="L306">
        <f ca="1">IF('Customers Raw data'!F306&lt;&gt;"",DATEDIF(DATEVALUE('Customers Raw data'!B306),DATEVALUE('Customers Raw data'!F306),"M"),DATEDIF(DATEVALUE('Customers Raw data'!B306),TODAY(),"M"))</f>
        <v>23</v>
      </c>
      <c r="M306">
        <f t="shared" ca="1" si="20"/>
        <v>1150</v>
      </c>
      <c r="N306">
        <f t="shared" si="21"/>
        <v>1</v>
      </c>
      <c r="O306">
        <f t="shared" ca="1" si="22"/>
        <v>0</v>
      </c>
      <c r="P306">
        <f t="shared" si="23"/>
        <v>0</v>
      </c>
      <c r="Q306" t="e">
        <f t="shared" si="24"/>
        <v>#VALUE!</v>
      </c>
    </row>
    <row r="307" spans="1:17" ht="15" customHeight="1" x14ac:dyDescent="0.25">
      <c r="A307">
        <f>'Customers Raw data'!A307</f>
        <v>1306</v>
      </c>
      <c r="B307" t="str">
        <f>'Customers Raw data'!B307</f>
        <v>2025-05-20</v>
      </c>
      <c r="C307" t="str">
        <f>'Customers Raw data'!C307</f>
        <v>Pro</v>
      </c>
      <c r="D307">
        <f>'Customers Raw data'!D307</f>
        <v>200</v>
      </c>
      <c r="E307">
        <f>'Customers Raw data'!E307</f>
        <v>100</v>
      </c>
      <c r="F307">
        <f>'Customers Raw data'!F307</f>
        <v>0</v>
      </c>
      <c r="G307">
        <f>IF('Customers Raw data'!F307&lt;&gt;"",1,0)</f>
        <v>0</v>
      </c>
      <c r="H307" t="str">
        <f>IF('Customers Raw data'!F307&lt;&gt;"",YEAR(DATEVALUE('Customers Raw data'!F307)),"")</f>
        <v/>
      </c>
      <c r="I307" t="str">
        <f>IF('Customers Raw data'!F307&lt;&gt;"",MONTH(DATEVALUE('Customers Raw data'!F307)),"")</f>
        <v/>
      </c>
      <c r="J307">
        <f>YEAR(DATEVALUE('Customers Raw data'!B307))</f>
        <v>2025</v>
      </c>
      <c r="K307">
        <f>MONTH(DATEVALUE('Customers Raw data'!B307))</f>
        <v>5</v>
      </c>
      <c r="L307">
        <f ca="1">IF('Customers Raw data'!F307&lt;&gt;"",DATEDIF(DATEVALUE('Customers Raw data'!B307),DATEVALUE('Customers Raw data'!F307),"M"),DATEDIF(DATEVALUE('Customers Raw data'!B307),TODAY(),"M"))</f>
        <v>10</v>
      </c>
      <c r="M307">
        <f t="shared" ca="1" si="20"/>
        <v>2000</v>
      </c>
      <c r="N307">
        <f t="shared" si="21"/>
        <v>2</v>
      </c>
      <c r="O307">
        <f t="shared" ca="1" si="22"/>
        <v>0</v>
      </c>
      <c r="P307">
        <f t="shared" si="23"/>
        <v>0</v>
      </c>
      <c r="Q307" t="e">
        <f t="shared" si="24"/>
        <v>#VALUE!</v>
      </c>
    </row>
    <row r="308" spans="1:17" ht="15" customHeight="1" x14ac:dyDescent="0.25">
      <c r="A308">
        <f>'Customers Raw data'!A308</f>
        <v>1307</v>
      </c>
      <c r="B308" t="str">
        <f>'Customers Raw data'!B308</f>
        <v>2025-03-26</v>
      </c>
      <c r="C308" t="str">
        <f>'Customers Raw data'!C308</f>
        <v>Enterprise</v>
      </c>
      <c r="D308">
        <f>'Customers Raw data'!D308</f>
        <v>500</v>
      </c>
      <c r="E308">
        <f>'Customers Raw data'!E308</f>
        <v>200</v>
      </c>
      <c r="F308">
        <f>'Customers Raw data'!F308</f>
        <v>0</v>
      </c>
      <c r="G308">
        <f>IF('Customers Raw data'!F308&lt;&gt;"",1,0)</f>
        <v>0</v>
      </c>
      <c r="H308" t="str">
        <f>IF('Customers Raw data'!F308&lt;&gt;"",YEAR(DATEVALUE('Customers Raw data'!F308)),"")</f>
        <v/>
      </c>
      <c r="I308" t="str">
        <f>IF('Customers Raw data'!F308&lt;&gt;"",MONTH(DATEVALUE('Customers Raw data'!F308)),"")</f>
        <v/>
      </c>
      <c r="J308">
        <f>YEAR(DATEVALUE('Customers Raw data'!B308))</f>
        <v>2025</v>
      </c>
      <c r="K308">
        <f>MONTH(DATEVALUE('Customers Raw data'!B308))</f>
        <v>3</v>
      </c>
      <c r="L308">
        <f ca="1">IF('Customers Raw data'!F308&lt;&gt;"",DATEDIF(DATEVALUE('Customers Raw data'!B308),DATEVALUE('Customers Raw data'!F308),"M"),DATEDIF(DATEVALUE('Customers Raw data'!B308),TODAY(),"M"))</f>
        <v>12</v>
      </c>
      <c r="M308">
        <f t="shared" ca="1" si="20"/>
        <v>6000</v>
      </c>
      <c r="N308">
        <f t="shared" si="21"/>
        <v>3</v>
      </c>
      <c r="O308">
        <f t="shared" ca="1" si="22"/>
        <v>0</v>
      </c>
      <c r="P308">
        <f t="shared" si="23"/>
        <v>0</v>
      </c>
      <c r="Q308" t="e">
        <f t="shared" si="24"/>
        <v>#VALUE!</v>
      </c>
    </row>
    <row r="309" spans="1:17" ht="15" customHeight="1" x14ac:dyDescent="0.25">
      <c r="A309">
        <f>'Customers Raw data'!A309</f>
        <v>1308</v>
      </c>
      <c r="B309" t="str">
        <f>'Customers Raw data'!B309</f>
        <v>2024-05-18</v>
      </c>
      <c r="C309" t="str">
        <f>'Customers Raw data'!C309</f>
        <v>Basic</v>
      </c>
      <c r="D309">
        <f>'Customers Raw data'!D309</f>
        <v>50</v>
      </c>
      <c r="E309">
        <f>'Customers Raw data'!E309</f>
        <v>30</v>
      </c>
      <c r="F309" t="str">
        <f>'Customers Raw data'!F309</f>
        <v>2025-04-02</v>
      </c>
      <c r="G309">
        <f>IF('Customers Raw data'!F309&lt;&gt;"",1,0)</f>
        <v>1</v>
      </c>
      <c r="H309">
        <f>IF('Customers Raw data'!F309&lt;&gt;"",YEAR(DATEVALUE('Customers Raw data'!F309)),"")</f>
        <v>2025</v>
      </c>
      <c r="I309">
        <f>IF('Customers Raw data'!F309&lt;&gt;"",MONTH(DATEVALUE('Customers Raw data'!F309)),"")</f>
        <v>4</v>
      </c>
      <c r="J309">
        <f>YEAR(DATEVALUE('Customers Raw data'!B309))</f>
        <v>2024</v>
      </c>
      <c r="K309">
        <f>MONTH(DATEVALUE('Customers Raw data'!B309))</f>
        <v>5</v>
      </c>
      <c r="L309">
        <f ca="1">IF('Customers Raw data'!F309&lt;&gt;"",DATEDIF(DATEVALUE('Customers Raw data'!B309),DATEVALUE('Customers Raw data'!F309),"M"),DATEDIF(DATEVALUE('Customers Raw data'!B309),TODAY(),"M"))</f>
        <v>10</v>
      </c>
      <c r="M309">
        <f t="shared" ca="1" si="20"/>
        <v>500</v>
      </c>
      <c r="N309">
        <f t="shared" si="21"/>
        <v>1</v>
      </c>
      <c r="O309">
        <f t="shared" ca="1" si="22"/>
        <v>0</v>
      </c>
      <c r="P309">
        <f t="shared" si="23"/>
        <v>50</v>
      </c>
      <c r="Q309" t="str">
        <f t="shared" si="24"/>
        <v>2025-04</v>
      </c>
    </row>
    <row r="310" spans="1:17" ht="15" customHeight="1" x14ac:dyDescent="0.25">
      <c r="A310">
        <f>'Customers Raw data'!A310</f>
        <v>1309</v>
      </c>
      <c r="B310" t="str">
        <f>'Customers Raw data'!B310</f>
        <v>2024-08-28</v>
      </c>
      <c r="C310" t="str">
        <f>'Customers Raw data'!C310</f>
        <v>Basic</v>
      </c>
      <c r="D310">
        <f>'Customers Raw data'!D310</f>
        <v>50</v>
      </c>
      <c r="E310">
        <f>'Customers Raw data'!E310</f>
        <v>30</v>
      </c>
      <c r="F310" t="str">
        <f>'Customers Raw data'!F310</f>
        <v>2024-11-02</v>
      </c>
      <c r="G310">
        <f>IF('Customers Raw data'!F310&lt;&gt;"",1,0)</f>
        <v>1</v>
      </c>
      <c r="H310">
        <f>IF('Customers Raw data'!F310&lt;&gt;"",YEAR(DATEVALUE('Customers Raw data'!F310)),"")</f>
        <v>2024</v>
      </c>
      <c r="I310">
        <f>IF('Customers Raw data'!F310&lt;&gt;"",MONTH(DATEVALUE('Customers Raw data'!F310)),"")</f>
        <v>11</v>
      </c>
      <c r="J310">
        <f>YEAR(DATEVALUE('Customers Raw data'!B310))</f>
        <v>2024</v>
      </c>
      <c r="K310">
        <f>MONTH(DATEVALUE('Customers Raw data'!B310))</f>
        <v>8</v>
      </c>
      <c r="L310">
        <f ca="1">IF('Customers Raw data'!F310&lt;&gt;"",DATEDIF(DATEVALUE('Customers Raw data'!B310),DATEVALUE('Customers Raw data'!F310),"M"),DATEDIF(DATEVALUE('Customers Raw data'!B310),TODAY(),"M"))</f>
        <v>2</v>
      </c>
      <c r="M310">
        <f t="shared" ca="1" si="20"/>
        <v>100</v>
      </c>
      <c r="N310">
        <f t="shared" si="21"/>
        <v>1</v>
      </c>
      <c r="O310">
        <f t="shared" ca="1" si="22"/>
        <v>1</v>
      </c>
      <c r="P310">
        <f t="shared" si="23"/>
        <v>50</v>
      </c>
      <c r="Q310" t="str">
        <f t="shared" si="24"/>
        <v>2024-11</v>
      </c>
    </row>
    <row r="311" spans="1:17" ht="15" customHeight="1" x14ac:dyDescent="0.25">
      <c r="A311">
        <f>'Customers Raw data'!A311</f>
        <v>1310</v>
      </c>
      <c r="B311" t="str">
        <f>'Customers Raw data'!B311</f>
        <v>2024-08-05</v>
      </c>
      <c r="C311" t="str">
        <f>'Customers Raw data'!C311</f>
        <v>Basic</v>
      </c>
      <c r="D311">
        <f>'Customers Raw data'!D311</f>
        <v>50</v>
      </c>
      <c r="E311">
        <f>'Customers Raw data'!E311</f>
        <v>30</v>
      </c>
      <c r="F311">
        <f>'Customers Raw data'!F311</f>
        <v>0</v>
      </c>
      <c r="G311">
        <f>IF('Customers Raw data'!F311&lt;&gt;"",1,0)</f>
        <v>0</v>
      </c>
      <c r="H311" t="str">
        <f>IF('Customers Raw data'!F311&lt;&gt;"",YEAR(DATEVALUE('Customers Raw data'!F311)),"")</f>
        <v/>
      </c>
      <c r="I311" t="str">
        <f>IF('Customers Raw data'!F311&lt;&gt;"",MONTH(DATEVALUE('Customers Raw data'!F311)),"")</f>
        <v/>
      </c>
      <c r="J311">
        <f>YEAR(DATEVALUE('Customers Raw data'!B311))</f>
        <v>2024</v>
      </c>
      <c r="K311">
        <f>MONTH(DATEVALUE('Customers Raw data'!B311))</f>
        <v>8</v>
      </c>
      <c r="L311">
        <f ca="1">IF('Customers Raw data'!F311&lt;&gt;"",DATEDIF(DATEVALUE('Customers Raw data'!B311),DATEVALUE('Customers Raw data'!F311),"M"),DATEDIF(DATEVALUE('Customers Raw data'!B311),TODAY(),"M"))</f>
        <v>20</v>
      </c>
      <c r="M311">
        <f t="shared" ca="1" si="20"/>
        <v>1000</v>
      </c>
      <c r="N311">
        <f t="shared" si="21"/>
        <v>1</v>
      </c>
      <c r="O311">
        <f t="shared" ca="1" si="22"/>
        <v>0</v>
      </c>
      <c r="P311">
        <f t="shared" si="23"/>
        <v>0</v>
      </c>
      <c r="Q311" t="e">
        <f t="shared" si="24"/>
        <v>#VALUE!</v>
      </c>
    </row>
    <row r="312" spans="1:17" ht="15" customHeight="1" x14ac:dyDescent="0.25">
      <c r="A312">
        <f>'Customers Raw data'!A312</f>
        <v>1311</v>
      </c>
      <c r="B312" t="str">
        <f>'Customers Raw data'!B312</f>
        <v>2024-09-07</v>
      </c>
      <c r="C312" t="str">
        <f>'Customers Raw data'!C312</f>
        <v>Basic</v>
      </c>
      <c r="D312">
        <f>'Customers Raw data'!D312</f>
        <v>50</v>
      </c>
      <c r="E312">
        <f>'Customers Raw data'!E312</f>
        <v>30</v>
      </c>
      <c r="F312">
        <f>'Customers Raw data'!F312</f>
        <v>0</v>
      </c>
      <c r="G312">
        <f>IF('Customers Raw data'!F312&lt;&gt;"",1,0)</f>
        <v>0</v>
      </c>
      <c r="H312" t="str">
        <f>IF('Customers Raw data'!F312&lt;&gt;"",YEAR(DATEVALUE('Customers Raw data'!F312)),"")</f>
        <v/>
      </c>
      <c r="I312" t="str">
        <f>IF('Customers Raw data'!F312&lt;&gt;"",MONTH(DATEVALUE('Customers Raw data'!F312)),"")</f>
        <v/>
      </c>
      <c r="J312">
        <f>YEAR(DATEVALUE('Customers Raw data'!B312))</f>
        <v>2024</v>
      </c>
      <c r="K312">
        <f>MONTH(DATEVALUE('Customers Raw data'!B312))</f>
        <v>9</v>
      </c>
      <c r="L312">
        <f ca="1">IF('Customers Raw data'!F312&lt;&gt;"",DATEDIF(DATEVALUE('Customers Raw data'!B312),DATEVALUE('Customers Raw data'!F312),"M"),DATEDIF(DATEVALUE('Customers Raw data'!B312),TODAY(),"M"))</f>
        <v>19</v>
      </c>
      <c r="M312">
        <f t="shared" ca="1" si="20"/>
        <v>950</v>
      </c>
      <c r="N312">
        <f t="shared" si="21"/>
        <v>1</v>
      </c>
      <c r="O312">
        <f t="shared" ca="1" si="22"/>
        <v>0</v>
      </c>
      <c r="P312">
        <f t="shared" si="23"/>
        <v>0</v>
      </c>
      <c r="Q312" t="e">
        <f t="shared" si="24"/>
        <v>#VALUE!</v>
      </c>
    </row>
    <row r="313" spans="1:17" ht="15" customHeight="1" x14ac:dyDescent="0.25">
      <c r="A313">
        <f>'Customers Raw data'!A313</f>
        <v>1312</v>
      </c>
      <c r="B313" t="str">
        <f>'Customers Raw data'!B313</f>
        <v>2024-11-23</v>
      </c>
      <c r="C313" t="str">
        <f>'Customers Raw data'!C313</f>
        <v>Basic</v>
      </c>
      <c r="D313">
        <f>'Customers Raw data'!D313</f>
        <v>50</v>
      </c>
      <c r="E313">
        <f>'Customers Raw data'!E313</f>
        <v>30</v>
      </c>
      <c r="F313" t="str">
        <f>'Customers Raw data'!F313</f>
        <v>2025-03-18</v>
      </c>
      <c r="G313">
        <f>IF('Customers Raw data'!F313&lt;&gt;"",1,0)</f>
        <v>1</v>
      </c>
      <c r="H313">
        <f>IF('Customers Raw data'!F313&lt;&gt;"",YEAR(DATEVALUE('Customers Raw data'!F313)),"")</f>
        <v>2025</v>
      </c>
      <c r="I313">
        <f>IF('Customers Raw data'!F313&lt;&gt;"",MONTH(DATEVALUE('Customers Raw data'!F313)),"")</f>
        <v>3</v>
      </c>
      <c r="J313">
        <f>YEAR(DATEVALUE('Customers Raw data'!B313))</f>
        <v>2024</v>
      </c>
      <c r="K313">
        <f>MONTH(DATEVALUE('Customers Raw data'!B313))</f>
        <v>11</v>
      </c>
      <c r="L313">
        <f ca="1">IF('Customers Raw data'!F313&lt;&gt;"",DATEDIF(DATEVALUE('Customers Raw data'!B313),DATEVALUE('Customers Raw data'!F313),"M"),DATEDIF(DATEVALUE('Customers Raw data'!B313),TODAY(),"M"))</f>
        <v>3</v>
      </c>
      <c r="M313">
        <f t="shared" ca="1" si="20"/>
        <v>150</v>
      </c>
      <c r="N313">
        <f t="shared" si="21"/>
        <v>1</v>
      </c>
      <c r="O313">
        <f t="shared" ca="1" si="22"/>
        <v>1</v>
      </c>
      <c r="P313">
        <f t="shared" si="23"/>
        <v>50</v>
      </c>
      <c r="Q313" t="str">
        <f t="shared" si="24"/>
        <v>2025-03</v>
      </c>
    </row>
    <row r="314" spans="1:17" ht="15" customHeight="1" x14ac:dyDescent="0.25">
      <c r="A314">
        <f>'Customers Raw data'!A314</f>
        <v>1313</v>
      </c>
      <c r="B314" t="str">
        <f>'Customers Raw data'!B314</f>
        <v>2024-02-01</v>
      </c>
      <c r="C314" t="str">
        <f>'Customers Raw data'!C314</f>
        <v>Enterprise</v>
      </c>
      <c r="D314">
        <f>'Customers Raw data'!D314</f>
        <v>500</v>
      </c>
      <c r="E314">
        <f>'Customers Raw data'!E314</f>
        <v>200</v>
      </c>
      <c r="F314" t="str">
        <f>'Customers Raw data'!F314</f>
        <v>2025-02-24</v>
      </c>
      <c r="G314">
        <f>IF('Customers Raw data'!F314&lt;&gt;"",1,0)</f>
        <v>1</v>
      </c>
      <c r="H314">
        <f>IF('Customers Raw data'!F314&lt;&gt;"",YEAR(DATEVALUE('Customers Raw data'!F314)),"")</f>
        <v>2025</v>
      </c>
      <c r="I314">
        <f>IF('Customers Raw data'!F314&lt;&gt;"",MONTH(DATEVALUE('Customers Raw data'!F314)),"")</f>
        <v>2</v>
      </c>
      <c r="J314">
        <f>YEAR(DATEVALUE('Customers Raw data'!B314))</f>
        <v>2024</v>
      </c>
      <c r="K314">
        <f>MONTH(DATEVALUE('Customers Raw data'!B314))</f>
        <v>2</v>
      </c>
      <c r="L314">
        <f ca="1">IF('Customers Raw data'!F314&lt;&gt;"",DATEDIF(DATEVALUE('Customers Raw data'!B314),DATEVALUE('Customers Raw data'!F314),"M"),DATEDIF(DATEVALUE('Customers Raw data'!B314),TODAY(),"M"))</f>
        <v>12</v>
      </c>
      <c r="M314">
        <f t="shared" ca="1" si="20"/>
        <v>6000</v>
      </c>
      <c r="N314">
        <f t="shared" si="21"/>
        <v>3</v>
      </c>
      <c r="O314">
        <f t="shared" ca="1" si="22"/>
        <v>0</v>
      </c>
      <c r="P314">
        <f t="shared" si="23"/>
        <v>500</v>
      </c>
      <c r="Q314" t="str">
        <f t="shared" si="24"/>
        <v>2025-02</v>
      </c>
    </row>
    <row r="315" spans="1:17" ht="15" customHeight="1" x14ac:dyDescent="0.25">
      <c r="A315">
        <f>'Customers Raw data'!A315</f>
        <v>1314</v>
      </c>
      <c r="B315" t="str">
        <f>'Customers Raw data'!B315</f>
        <v>2024-04-10</v>
      </c>
      <c r="C315" t="str">
        <f>'Customers Raw data'!C315</f>
        <v>Pro</v>
      </c>
      <c r="D315">
        <f>'Customers Raw data'!D315</f>
        <v>200</v>
      </c>
      <c r="E315">
        <f>'Customers Raw data'!E315</f>
        <v>100</v>
      </c>
      <c r="F315">
        <f>'Customers Raw data'!F315</f>
        <v>0</v>
      </c>
      <c r="G315">
        <f>IF('Customers Raw data'!F315&lt;&gt;"",1,0)</f>
        <v>0</v>
      </c>
      <c r="H315" t="str">
        <f>IF('Customers Raw data'!F315&lt;&gt;"",YEAR(DATEVALUE('Customers Raw data'!F315)),"")</f>
        <v/>
      </c>
      <c r="I315" t="str">
        <f>IF('Customers Raw data'!F315&lt;&gt;"",MONTH(DATEVALUE('Customers Raw data'!F315)),"")</f>
        <v/>
      </c>
      <c r="J315">
        <f>YEAR(DATEVALUE('Customers Raw data'!B315))</f>
        <v>2024</v>
      </c>
      <c r="K315">
        <f>MONTH(DATEVALUE('Customers Raw data'!B315))</f>
        <v>4</v>
      </c>
      <c r="L315">
        <f ca="1">IF('Customers Raw data'!F315&lt;&gt;"",DATEDIF(DATEVALUE('Customers Raw data'!B315),DATEVALUE('Customers Raw data'!F315),"M"),DATEDIF(DATEVALUE('Customers Raw data'!B315),TODAY(),"M"))</f>
        <v>23</v>
      </c>
      <c r="M315">
        <f t="shared" ca="1" si="20"/>
        <v>4600</v>
      </c>
      <c r="N315">
        <f t="shared" si="21"/>
        <v>2</v>
      </c>
      <c r="O315">
        <f t="shared" ca="1" si="22"/>
        <v>0</v>
      </c>
      <c r="P315">
        <f t="shared" si="23"/>
        <v>0</v>
      </c>
      <c r="Q315" t="e">
        <f t="shared" si="24"/>
        <v>#VALUE!</v>
      </c>
    </row>
    <row r="316" spans="1:17" ht="15" customHeight="1" x14ac:dyDescent="0.25">
      <c r="A316">
        <f>'Customers Raw data'!A316</f>
        <v>1315</v>
      </c>
      <c r="B316" t="str">
        <f>'Customers Raw data'!B316</f>
        <v>2024-06-26</v>
      </c>
      <c r="C316" t="str">
        <f>'Customers Raw data'!C316</f>
        <v>Basic</v>
      </c>
      <c r="D316">
        <f>'Customers Raw data'!D316</f>
        <v>50</v>
      </c>
      <c r="E316">
        <f>'Customers Raw data'!E316</f>
        <v>30</v>
      </c>
      <c r="F316">
        <f>'Customers Raw data'!F316</f>
        <v>0</v>
      </c>
      <c r="G316">
        <f>IF('Customers Raw data'!F316&lt;&gt;"",1,0)</f>
        <v>0</v>
      </c>
      <c r="H316" t="str">
        <f>IF('Customers Raw data'!F316&lt;&gt;"",YEAR(DATEVALUE('Customers Raw data'!F316)),"")</f>
        <v/>
      </c>
      <c r="I316" t="str">
        <f>IF('Customers Raw data'!F316&lt;&gt;"",MONTH(DATEVALUE('Customers Raw data'!F316)),"")</f>
        <v/>
      </c>
      <c r="J316">
        <f>YEAR(DATEVALUE('Customers Raw data'!B316))</f>
        <v>2024</v>
      </c>
      <c r="K316">
        <f>MONTH(DATEVALUE('Customers Raw data'!B316))</f>
        <v>6</v>
      </c>
      <c r="L316">
        <f ca="1">IF('Customers Raw data'!F316&lt;&gt;"",DATEDIF(DATEVALUE('Customers Raw data'!B316),DATEVALUE('Customers Raw data'!F316),"M"),DATEDIF(DATEVALUE('Customers Raw data'!B316),TODAY(),"M"))</f>
        <v>21</v>
      </c>
      <c r="M316">
        <f t="shared" ca="1" si="20"/>
        <v>1050</v>
      </c>
      <c r="N316">
        <f t="shared" si="21"/>
        <v>1</v>
      </c>
      <c r="O316">
        <f t="shared" ca="1" si="22"/>
        <v>0</v>
      </c>
      <c r="P316">
        <f t="shared" si="23"/>
        <v>0</v>
      </c>
      <c r="Q316" t="e">
        <f t="shared" si="24"/>
        <v>#VALUE!</v>
      </c>
    </row>
    <row r="317" spans="1:17" ht="15" customHeight="1" x14ac:dyDescent="0.25">
      <c r="A317">
        <f>'Customers Raw data'!A317</f>
        <v>1316</v>
      </c>
      <c r="B317" t="str">
        <f>'Customers Raw data'!B317</f>
        <v>2024-03-19</v>
      </c>
      <c r="C317" t="str">
        <f>'Customers Raw data'!C317</f>
        <v>Enterprise</v>
      </c>
      <c r="D317">
        <f>'Customers Raw data'!D317</f>
        <v>500</v>
      </c>
      <c r="E317">
        <f>'Customers Raw data'!E317</f>
        <v>200</v>
      </c>
      <c r="F317">
        <f>'Customers Raw data'!F317</f>
        <v>0</v>
      </c>
      <c r="G317">
        <f>IF('Customers Raw data'!F317&lt;&gt;"",1,0)</f>
        <v>0</v>
      </c>
      <c r="H317" t="str">
        <f>IF('Customers Raw data'!F317&lt;&gt;"",YEAR(DATEVALUE('Customers Raw data'!F317)),"")</f>
        <v/>
      </c>
      <c r="I317" t="str">
        <f>IF('Customers Raw data'!F317&lt;&gt;"",MONTH(DATEVALUE('Customers Raw data'!F317)),"")</f>
        <v/>
      </c>
      <c r="J317">
        <f>YEAR(DATEVALUE('Customers Raw data'!B317))</f>
        <v>2024</v>
      </c>
      <c r="K317">
        <f>MONTH(DATEVALUE('Customers Raw data'!B317))</f>
        <v>3</v>
      </c>
      <c r="L317">
        <f ca="1">IF('Customers Raw data'!F317&lt;&gt;"",DATEDIF(DATEVALUE('Customers Raw data'!B317),DATEVALUE('Customers Raw data'!F317),"M"),DATEDIF(DATEVALUE('Customers Raw data'!B317),TODAY(),"M"))</f>
        <v>24</v>
      </c>
      <c r="M317">
        <f t="shared" ca="1" si="20"/>
        <v>12000</v>
      </c>
      <c r="N317">
        <f t="shared" si="21"/>
        <v>3</v>
      </c>
      <c r="O317">
        <f t="shared" ca="1" si="22"/>
        <v>0</v>
      </c>
      <c r="P317">
        <f t="shared" si="23"/>
        <v>0</v>
      </c>
      <c r="Q317" t="e">
        <f t="shared" si="24"/>
        <v>#VALUE!</v>
      </c>
    </row>
    <row r="318" spans="1:17" ht="15" customHeight="1" x14ac:dyDescent="0.25">
      <c r="A318">
        <f>'Customers Raw data'!A318</f>
        <v>1317</v>
      </c>
      <c r="B318" t="str">
        <f>'Customers Raw data'!B318</f>
        <v>2024-11-15</v>
      </c>
      <c r="C318" t="str">
        <f>'Customers Raw data'!C318</f>
        <v>Enterprise</v>
      </c>
      <c r="D318">
        <f>'Customers Raw data'!D318</f>
        <v>500</v>
      </c>
      <c r="E318">
        <f>'Customers Raw data'!E318</f>
        <v>200</v>
      </c>
      <c r="F318">
        <f>'Customers Raw data'!F318</f>
        <v>0</v>
      </c>
      <c r="G318">
        <f>IF('Customers Raw data'!F318&lt;&gt;"",1,0)</f>
        <v>0</v>
      </c>
      <c r="H318" t="str">
        <f>IF('Customers Raw data'!F318&lt;&gt;"",YEAR(DATEVALUE('Customers Raw data'!F318)),"")</f>
        <v/>
      </c>
      <c r="I318" t="str">
        <f>IF('Customers Raw data'!F318&lt;&gt;"",MONTH(DATEVALUE('Customers Raw data'!F318)),"")</f>
        <v/>
      </c>
      <c r="J318">
        <f>YEAR(DATEVALUE('Customers Raw data'!B318))</f>
        <v>2024</v>
      </c>
      <c r="K318">
        <f>MONTH(DATEVALUE('Customers Raw data'!B318))</f>
        <v>11</v>
      </c>
      <c r="L318">
        <f ca="1">IF('Customers Raw data'!F318&lt;&gt;"",DATEDIF(DATEVALUE('Customers Raw data'!B318),DATEVALUE('Customers Raw data'!F318),"M"),DATEDIF(DATEVALUE('Customers Raw data'!B318),TODAY(),"M"))</f>
        <v>16</v>
      </c>
      <c r="M318">
        <f t="shared" ca="1" si="20"/>
        <v>8000</v>
      </c>
      <c r="N318">
        <f t="shared" si="21"/>
        <v>3</v>
      </c>
      <c r="O318">
        <f t="shared" ca="1" si="22"/>
        <v>0</v>
      </c>
      <c r="P318">
        <f t="shared" si="23"/>
        <v>0</v>
      </c>
      <c r="Q318" t="e">
        <f t="shared" si="24"/>
        <v>#VALUE!</v>
      </c>
    </row>
    <row r="319" spans="1:17" ht="15" customHeight="1" x14ac:dyDescent="0.25">
      <c r="A319">
        <f>'Customers Raw data'!A319</f>
        <v>1318</v>
      </c>
      <c r="B319" t="str">
        <f>'Customers Raw data'!B319</f>
        <v>2024-09-28</v>
      </c>
      <c r="C319" t="str">
        <f>'Customers Raw data'!C319</f>
        <v>Enterprise</v>
      </c>
      <c r="D319">
        <f>'Customers Raw data'!D319</f>
        <v>500</v>
      </c>
      <c r="E319">
        <f>'Customers Raw data'!E319</f>
        <v>200</v>
      </c>
      <c r="F319">
        <f>'Customers Raw data'!F319</f>
        <v>0</v>
      </c>
      <c r="G319">
        <f>IF('Customers Raw data'!F319&lt;&gt;"",1,0)</f>
        <v>0</v>
      </c>
      <c r="H319" t="str">
        <f>IF('Customers Raw data'!F319&lt;&gt;"",YEAR(DATEVALUE('Customers Raw data'!F319)),"")</f>
        <v/>
      </c>
      <c r="I319" t="str">
        <f>IF('Customers Raw data'!F319&lt;&gt;"",MONTH(DATEVALUE('Customers Raw data'!F319)),"")</f>
        <v/>
      </c>
      <c r="J319">
        <f>YEAR(DATEVALUE('Customers Raw data'!B319))</f>
        <v>2024</v>
      </c>
      <c r="K319">
        <f>MONTH(DATEVALUE('Customers Raw data'!B319))</f>
        <v>9</v>
      </c>
      <c r="L319">
        <f ca="1">IF('Customers Raw data'!F319&lt;&gt;"",DATEDIF(DATEVALUE('Customers Raw data'!B319),DATEVALUE('Customers Raw data'!F319),"M"),DATEDIF(DATEVALUE('Customers Raw data'!B319),TODAY(),"M"))</f>
        <v>18</v>
      </c>
      <c r="M319">
        <f t="shared" ca="1" si="20"/>
        <v>9000</v>
      </c>
      <c r="N319">
        <f t="shared" si="21"/>
        <v>3</v>
      </c>
      <c r="O319">
        <f t="shared" ca="1" si="22"/>
        <v>0</v>
      </c>
      <c r="P319">
        <f t="shared" si="23"/>
        <v>0</v>
      </c>
      <c r="Q319" t="e">
        <f t="shared" si="24"/>
        <v>#VALUE!</v>
      </c>
    </row>
    <row r="320" spans="1:17" ht="15" customHeight="1" x14ac:dyDescent="0.25">
      <c r="A320">
        <f>'Customers Raw data'!A320</f>
        <v>1319</v>
      </c>
      <c r="B320" t="str">
        <f>'Customers Raw data'!B320</f>
        <v>2024-03-09</v>
      </c>
      <c r="C320" t="str">
        <f>'Customers Raw data'!C320</f>
        <v>Basic</v>
      </c>
      <c r="D320">
        <f>'Customers Raw data'!D320</f>
        <v>50</v>
      </c>
      <c r="E320">
        <f>'Customers Raw data'!E320</f>
        <v>30</v>
      </c>
      <c r="F320">
        <f>'Customers Raw data'!F320</f>
        <v>0</v>
      </c>
      <c r="G320">
        <f>IF('Customers Raw data'!F320&lt;&gt;"",1,0)</f>
        <v>0</v>
      </c>
      <c r="H320" t="str">
        <f>IF('Customers Raw data'!F320&lt;&gt;"",YEAR(DATEVALUE('Customers Raw data'!F320)),"")</f>
        <v/>
      </c>
      <c r="I320" t="str">
        <f>IF('Customers Raw data'!F320&lt;&gt;"",MONTH(DATEVALUE('Customers Raw data'!F320)),"")</f>
        <v/>
      </c>
      <c r="J320">
        <f>YEAR(DATEVALUE('Customers Raw data'!B320))</f>
        <v>2024</v>
      </c>
      <c r="K320">
        <f>MONTH(DATEVALUE('Customers Raw data'!B320))</f>
        <v>3</v>
      </c>
      <c r="L320">
        <f ca="1">IF('Customers Raw data'!F320&lt;&gt;"",DATEDIF(DATEVALUE('Customers Raw data'!B320),DATEVALUE('Customers Raw data'!F320),"M"),DATEDIF(DATEVALUE('Customers Raw data'!B320),TODAY(),"M"))</f>
        <v>24</v>
      </c>
      <c r="M320">
        <f t="shared" ca="1" si="20"/>
        <v>1200</v>
      </c>
      <c r="N320">
        <f t="shared" si="21"/>
        <v>1</v>
      </c>
      <c r="O320">
        <f t="shared" ca="1" si="22"/>
        <v>0</v>
      </c>
      <c r="P320">
        <f t="shared" si="23"/>
        <v>0</v>
      </c>
      <c r="Q320" t="e">
        <f t="shared" si="24"/>
        <v>#VALUE!</v>
      </c>
    </row>
    <row r="321" spans="1:17" ht="15" customHeight="1" x14ac:dyDescent="0.25">
      <c r="A321">
        <f>'Customers Raw data'!A321</f>
        <v>1320</v>
      </c>
      <c r="B321" t="str">
        <f>'Customers Raw data'!B321</f>
        <v>2024-07-10</v>
      </c>
      <c r="C321" t="str">
        <f>'Customers Raw data'!C321</f>
        <v>Enterprise</v>
      </c>
      <c r="D321">
        <f>'Customers Raw data'!D321</f>
        <v>500</v>
      </c>
      <c r="E321">
        <f>'Customers Raw data'!E321</f>
        <v>200</v>
      </c>
      <c r="F321">
        <f>'Customers Raw data'!F321</f>
        <v>0</v>
      </c>
      <c r="G321">
        <f>IF('Customers Raw data'!F321&lt;&gt;"",1,0)</f>
        <v>0</v>
      </c>
      <c r="H321" t="str">
        <f>IF('Customers Raw data'!F321&lt;&gt;"",YEAR(DATEVALUE('Customers Raw data'!F321)),"")</f>
        <v/>
      </c>
      <c r="I321" t="str">
        <f>IF('Customers Raw data'!F321&lt;&gt;"",MONTH(DATEVALUE('Customers Raw data'!F321)),"")</f>
        <v/>
      </c>
      <c r="J321">
        <f>YEAR(DATEVALUE('Customers Raw data'!B321))</f>
        <v>2024</v>
      </c>
      <c r="K321">
        <f>MONTH(DATEVALUE('Customers Raw data'!B321))</f>
        <v>7</v>
      </c>
      <c r="L321">
        <f ca="1">IF('Customers Raw data'!F321&lt;&gt;"",DATEDIF(DATEVALUE('Customers Raw data'!B321),DATEVALUE('Customers Raw data'!F321),"M"),DATEDIF(DATEVALUE('Customers Raw data'!B321),TODAY(),"M"))</f>
        <v>20</v>
      </c>
      <c r="M321">
        <f t="shared" ca="1" si="20"/>
        <v>10000</v>
      </c>
      <c r="N321">
        <f t="shared" si="21"/>
        <v>3</v>
      </c>
      <c r="O321">
        <f t="shared" ca="1" si="22"/>
        <v>0</v>
      </c>
      <c r="P321">
        <f t="shared" si="23"/>
        <v>0</v>
      </c>
      <c r="Q321" t="e">
        <f t="shared" si="24"/>
        <v>#VALUE!</v>
      </c>
    </row>
    <row r="322" spans="1:17" ht="15" customHeight="1" x14ac:dyDescent="0.25">
      <c r="A322">
        <f>'Customers Raw data'!A322</f>
        <v>1321</v>
      </c>
      <c r="B322" t="str">
        <f>'Customers Raw data'!B322</f>
        <v>2024-08-10</v>
      </c>
      <c r="C322" t="str">
        <f>'Customers Raw data'!C322</f>
        <v>Enterprise</v>
      </c>
      <c r="D322">
        <f>'Customers Raw data'!D322</f>
        <v>500</v>
      </c>
      <c r="E322">
        <f>'Customers Raw data'!E322</f>
        <v>200</v>
      </c>
      <c r="F322">
        <f>'Customers Raw data'!F322</f>
        <v>0</v>
      </c>
      <c r="G322">
        <f>IF('Customers Raw data'!F322&lt;&gt;"",1,0)</f>
        <v>0</v>
      </c>
      <c r="H322" t="str">
        <f>IF('Customers Raw data'!F322&lt;&gt;"",YEAR(DATEVALUE('Customers Raw data'!F322)),"")</f>
        <v/>
      </c>
      <c r="I322" t="str">
        <f>IF('Customers Raw data'!F322&lt;&gt;"",MONTH(DATEVALUE('Customers Raw data'!F322)),"")</f>
        <v/>
      </c>
      <c r="J322">
        <f>YEAR(DATEVALUE('Customers Raw data'!B322))</f>
        <v>2024</v>
      </c>
      <c r="K322">
        <f>MONTH(DATEVALUE('Customers Raw data'!B322))</f>
        <v>8</v>
      </c>
      <c r="L322">
        <f ca="1">IF('Customers Raw data'!F322&lt;&gt;"",DATEDIF(DATEVALUE('Customers Raw data'!B322),DATEVALUE('Customers Raw data'!F322),"M"),DATEDIF(DATEVALUE('Customers Raw data'!B322),TODAY(),"M"))</f>
        <v>19</v>
      </c>
      <c r="M322">
        <f t="shared" ref="M322:M385" ca="1" si="25">D322*L322</f>
        <v>9500</v>
      </c>
      <c r="N322">
        <f t="shared" ref="N322:N385" si="26">IF(C322="Basic",1,IF(C322="Pro",2,IF(C322="Enterprise",3,0)))</f>
        <v>3</v>
      </c>
      <c r="O322">
        <f t="shared" ref="O322:O385" ca="1" si="27">IF(AND(G322=1,L322&lt;6),1,0)</f>
        <v>0</v>
      </c>
      <c r="P322">
        <f t="shared" ref="P322:P385" si="28">IF(G322=1,D322,0)</f>
        <v>0</v>
      </c>
      <c r="Q322" t="e">
        <f t="shared" ref="Q322:Q385" si="29">IF(F322&lt;&gt;"",TEXT(DATEVALUE(F322),"YYYY-MM"),"")</f>
        <v>#VALUE!</v>
      </c>
    </row>
    <row r="323" spans="1:17" ht="15" customHeight="1" x14ac:dyDescent="0.25">
      <c r="A323">
        <f>'Customers Raw data'!A323</f>
        <v>1322</v>
      </c>
      <c r="B323" t="str">
        <f>'Customers Raw data'!B323</f>
        <v>2024-05-28</v>
      </c>
      <c r="C323" t="str">
        <f>'Customers Raw data'!C323</f>
        <v>Enterprise</v>
      </c>
      <c r="D323">
        <f>'Customers Raw data'!D323</f>
        <v>500</v>
      </c>
      <c r="E323">
        <f>'Customers Raw data'!E323</f>
        <v>200</v>
      </c>
      <c r="F323">
        <f>'Customers Raw data'!F323</f>
        <v>0</v>
      </c>
      <c r="G323">
        <f>IF('Customers Raw data'!F323&lt;&gt;"",1,0)</f>
        <v>0</v>
      </c>
      <c r="H323" t="str">
        <f>IF('Customers Raw data'!F323&lt;&gt;"",YEAR(DATEVALUE('Customers Raw data'!F323)),"")</f>
        <v/>
      </c>
      <c r="I323" t="str">
        <f>IF('Customers Raw data'!F323&lt;&gt;"",MONTH(DATEVALUE('Customers Raw data'!F323)),"")</f>
        <v/>
      </c>
      <c r="J323">
        <f>YEAR(DATEVALUE('Customers Raw data'!B323))</f>
        <v>2024</v>
      </c>
      <c r="K323">
        <f>MONTH(DATEVALUE('Customers Raw data'!B323))</f>
        <v>5</v>
      </c>
      <c r="L323">
        <f ca="1">IF('Customers Raw data'!F323&lt;&gt;"",DATEDIF(DATEVALUE('Customers Raw data'!B323),DATEVALUE('Customers Raw data'!F323),"M"),DATEDIF(DATEVALUE('Customers Raw data'!B323),TODAY(),"M"))</f>
        <v>22</v>
      </c>
      <c r="M323">
        <f t="shared" ca="1" si="25"/>
        <v>11000</v>
      </c>
      <c r="N323">
        <f t="shared" si="26"/>
        <v>3</v>
      </c>
      <c r="O323">
        <f t="shared" ca="1" si="27"/>
        <v>0</v>
      </c>
      <c r="P323">
        <f t="shared" si="28"/>
        <v>0</v>
      </c>
      <c r="Q323" t="e">
        <f t="shared" si="29"/>
        <v>#VALUE!</v>
      </c>
    </row>
    <row r="324" spans="1:17" ht="15" customHeight="1" x14ac:dyDescent="0.25">
      <c r="A324">
        <f>'Customers Raw data'!A324</f>
        <v>1323</v>
      </c>
      <c r="B324" t="str">
        <f>'Customers Raw data'!B324</f>
        <v>2024-04-22</v>
      </c>
      <c r="C324" t="str">
        <f>'Customers Raw data'!C324</f>
        <v>Pro</v>
      </c>
      <c r="D324">
        <f>'Customers Raw data'!D324</f>
        <v>200</v>
      </c>
      <c r="E324">
        <f>'Customers Raw data'!E324</f>
        <v>100</v>
      </c>
      <c r="F324">
        <f>'Customers Raw data'!F324</f>
        <v>0</v>
      </c>
      <c r="G324">
        <f>IF('Customers Raw data'!F324&lt;&gt;"",1,0)</f>
        <v>0</v>
      </c>
      <c r="H324" t="str">
        <f>IF('Customers Raw data'!F324&lt;&gt;"",YEAR(DATEVALUE('Customers Raw data'!F324)),"")</f>
        <v/>
      </c>
      <c r="I324" t="str">
        <f>IF('Customers Raw data'!F324&lt;&gt;"",MONTH(DATEVALUE('Customers Raw data'!F324)),"")</f>
        <v/>
      </c>
      <c r="J324">
        <f>YEAR(DATEVALUE('Customers Raw data'!B324))</f>
        <v>2024</v>
      </c>
      <c r="K324">
        <f>MONTH(DATEVALUE('Customers Raw data'!B324))</f>
        <v>4</v>
      </c>
      <c r="L324">
        <f ca="1">IF('Customers Raw data'!F324&lt;&gt;"",DATEDIF(DATEVALUE('Customers Raw data'!B324),DATEVALUE('Customers Raw data'!F324),"M"),DATEDIF(DATEVALUE('Customers Raw data'!B324),TODAY(),"M"))</f>
        <v>23</v>
      </c>
      <c r="M324">
        <f t="shared" ca="1" si="25"/>
        <v>4600</v>
      </c>
      <c r="N324">
        <f t="shared" si="26"/>
        <v>2</v>
      </c>
      <c r="O324">
        <f t="shared" ca="1" si="27"/>
        <v>0</v>
      </c>
      <c r="P324">
        <f t="shared" si="28"/>
        <v>0</v>
      </c>
      <c r="Q324" t="e">
        <f t="shared" si="29"/>
        <v>#VALUE!</v>
      </c>
    </row>
    <row r="325" spans="1:17" ht="15" customHeight="1" x14ac:dyDescent="0.25">
      <c r="A325">
        <f>'Customers Raw data'!A325</f>
        <v>1324</v>
      </c>
      <c r="B325" t="str">
        <f>'Customers Raw data'!B325</f>
        <v>2024-07-11</v>
      </c>
      <c r="C325" t="str">
        <f>'Customers Raw data'!C325</f>
        <v>Enterprise</v>
      </c>
      <c r="D325">
        <f>'Customers Raw data'!D325</f>
        <v>500</v>
      </c>
      <c r="E325">
        <f>'Customers Raw data'!E325</f>
        <v>200</v>
      </c>
      <c r="F325">
        <f>'Customers Raw data'!F325</f>
        <v>0</v>
      </c>
      <c r="G325">
        <f>IF('Customers Raw data'!F325&lt;&gt;"",1,0)</f>
        <v>0</v>
      </c>
      <c r="H325" t="str">
        <f>IF('Customers Raw data'!F325&lt;&gt;"",YEAR(DATEVALUE('Customers Raw data'!F325)),"")</f>
        <v/>
      </c>
      <c r="I325" t="str">
        <f>IF('Customers Raw data'!F325&lt;&gt;"",MONTH(DATEVALUE('Customers Raw data'!F325)),"")</f>
        <v/>
      </c>
      <c r="J325">
        <f>YEAR(DATEVALUE('Customers Raw data'!B325))</f>
        <v>2024</v>
      </c>
      <c r="K325">
        <f>MONTH(DATEVALUE('Customers Raw data'!B325))</f>
        <v>7</v>
      </c>
      <c r="L325">
        <f ca="1">IF('Customers Raw data'!F325&lt;&gt;"",DATEDIF(DATEVALUE('Customers Raw data'!B325),DATEVALUE('Customers Raw data'!F325),"M"),DATEDIF(DATEVALUE('Customers Raw data'!B325),TODAY(),"M"))</f>
        <v>20</v>
      </c>
      <c r="M325">
        <f t="shared" ca="1" si="25"/>
        <v>10000</v>
      </c>
      <c r="N325">
        <f t="shared" si="26"/>
        <v>3</v>
      </c>
      <c r="O325">
        <f t="shared" ca="1" si="27"/>
        <v>0</v>
      </c>
      <c r="P325">
        <f t="shared" si="28"/>
        <v>0</v>
      </c>
      <c r="Q325" t="e">
        <f t="shared" si="29"/>
        <v>#VALUE!</v>
      </c>
    </row>
    <row r="326" spans="1:17" ht="15" customHeight="1" x14ac:dyDescent="0.25">
      <c r="A326">
        <f>'Customers Raw data'!A326</f>
        <v>1325</v>
      </c>
      <c r="B326" t="str">
        <f>'Customers Raw data'!B326</f>
        <v>2024-10-08</v>
      </c>
      <c r="C326" t="str">
        <f>'Customers Raw data'!C326</f>
        <v>Basic</v>
      </c>
      <c r="D326">
        <f>'Customers Raw data'!D326</f>
        <v>50</v>
      </c>
      <c r="E326">
        <f>'Customers Raw data'!E326</f>
        <v>30</v>
      </c>
      <c r="F326">
        <f>'Customers Raw data'!F326</f>
        <v>0</v>
      </c>
      <c r="G326">
        <f>IF('Customers Raw data'!F326&lt;&gt;"",1,0)</f>
        <v>0</v>
      </c>
      <c r="H326" t="str">
        <f>IF('Customers Raw data'!F326&lt;&gt;"",YEAR(DATEVALUE('Customers Raw data'!F326)),"")</f>
        <v/>
      </c>
      <c r="I326" t="str">
        <f>IF('Customers Raw data'!F326&lt;&gt;"",MONTH(DATEVALUE('Customers Raw data'!F326)),"")</f>
        <v/>
      </c>
      <c r="J326">
        <f>YEAR(DATEVALUE('Customers Raw data'!B326))</f>
        <v>2024</v>
      </c>
      <c r="K326">
        <f>MONTH(DATEVALUE('Customers Raw data'!B326))</f>
        <v>10</v>
      </c>
      <c r="L326">
        <f ca="1">IF('Customers Raw data'!F326&lt;&gt;"",DATEDIF(DATEVALUE('Customers Raw data'!B326),DATEVALUE('Customers Raw data'!F326),"M"),DATEDIF(DATEVALUE('Customers Raw data'!B326),TODAY(),"M"))</f>
        <v>17</v>
      </c>
      <c r="M326">
        <f t="shared" ca="1" si="25"/>
        <v>850</v>
      </c>
      <c r="N326">
        <f t="shared" si="26"/>
        <v>1</v>
      </c>
      <c r="O326">
        <f t="shared" ca="1" si="27"/>
        <v>0</v>
      </c>
      <c r="P326">
        <f t="shared" si="28"/>
        <v>0</v>
      </c>
      <c r="Q326" t="e">
        <f t="shared" si="29"/>
        <v>#VALUE!</v>
      </c>
    </row>
    <row r="327" spans="1:17" ht="15" customHeight="1" x14ac:dyDescent="0.25">
      <c r="A327">
        <f>'Customers Raw data'!A327</f>
        <v>1326</v>
      </c>
      <c r="B327" t="str">
        <f>'Customers Raw data'!B327</f>
        <v>2025-04-07</v>
      </c>
      <c r="C327" t="str">
        <f>'Customers Raw data'!C327</f>
        <v>Enterprise</v>
      </c>
      <c r="D327">
        <f>'Customers Raw data'!D327</f>
        <v>500</v>
      </c>
      <c r="E327">
        <f>'Customers Raw data'!E327</f>
        <v>200</v>
      </c>
      <c r="F327">
        <f>'Customers Raw data'!F327</f>
        <v>0</v>
      </c>
      <c r="G327">
        <f>IF('Customers Raw data'!F327&lt;&gt;"",1,0)</f>
        <v>0</v>
      </c>
      <c r="H327" t="str">
        <f>IF('Customers Raw data'!F327&lt;&gt;"",YEAR(DATEVALUE('Customers Raw data'!F327)),"")</f>
        <v/>
      </c>
      <c r="I327" t="str">
        <f>IF('Customers Raw data'!F327&lt;&gt;"",MONTH(DATEVALUE('Customers Raw data'!F327)),"")</f>
        <v/>
      </c>
      <c r="J327">
        <f>YEAR(DATEVALUE('Customers Raw data'!B327))</f>
        <v>2025</v>
      </c>
      <c r="K327">
        <f>MONTH(DATEVALUE('Customers Raw data'!B327))</f>
        <v>4</v>
      </c>
      <c r="L327">
        <f ca="1">IF('Customers Raw data'!F327&lt;&gt;"",DATEDIF(DATEVALUE('Customers Raw data'!B327),DATEVALUE('Customers Raw data'!F327),"M"),DATEDIF(DATEVALUE('Customers Raw data'!B327),TODAY(),"M"))</f>
        <v>12</v>
      </c>
      <c r="M327">
        <f t="shared" ca="1" si="25"/>
        <v>6000</v>
      </c>
      <c r="N327">
        <f t="shared" si="26"/>
        <v>3</v>
      </c>
      <c r="O327">
        <f t="shared" ca="1" si="27"/>
        <v>0</v>
      </c>
      <c r="P327">
        <f t="shared" si="28"/>
        <v>0</v>
      </c>
      <c r="Q327" t="e">
        <f t="shared" si="29"/>
        <v>#VALUE!</v>
      </c>
    </row>
    <row r="328" spans="1:17" ht="15" customHeight="1" x14ac:dyDescent="0.25">
      <c r="A328">
        <f>'Customers Raw data'!A328</f>
        <v>1327</v>
      </c>
      <c r="B328" t="str">
        <f>'Customers Raw data'!B328</f>
        <v>2024-12-15</v>
      </c>
      <c r="C328" t="str">
        <f>'Customers Raw data'!C328</f>
        <v>Enterprise</v>
      </c>
      <c r="D328">
        <f>'Customers Raw data'!D328</f>
        <v>500</v>
      </c>
      <c r="E328">
        <f>'Customers Raw data'!E328</f>
        <v>200</v>
      </c>
      <c r="F328">
        <f>'Customers Raw data'!F328</f>
        <v>0</v>
      </c>
      <c r="G328">
        <f>IF('Customers Raw data'!F328&lt;&gt;"",1,0)</f>
        <v>0</v>
      </c>
      <c r="H328" t="str">
        <f>IF('Customers Raw data'!F328&lt;&gt;"",YEAR(DATEVALUE('Customers Raw data'!F328)),"")</f>
        <v/>
      </c>
      <c r="I328" t="str">
        <f>IF('Customers Raw data'!F328&lt;&gt;"",MONTH(DATEVALUE('Customers Raw data'!F328)),"")</f>
        <v/>
      </c>
      <c r="J328">
        <f>YEAR(DATEVALUE('Customers Raw data'!B328))</f>
        <v>2024</v>
      </c>
      <c r="K328">
        <f>MONTH(DATEVALUE('Customers Raw data'!B328))</f>
        <v>12</v>
      </c>
      <c r="L328">
        <f ca="1">IF('Customers Raw data'!F328&lt;&gt;"",DATEDIF(DATEVALUE('Customers Raw data'!B328),DATEVALUE('Customers Raw data'!F328),"M"),DATEDIF(DATEVALUE('Customers Raw data'!B328),TODAY(),"M"))</f>
        <v>15</v>
      </c>
      <c r="M328">
        <f t="shared" ca="1" si="25"/>
        <v>7500</v>
      </c>
      <c r="N328">
        <f t="shared" si="26"/>
        <v>3</v>
      </c>
      <c r="O328">
        <f t="shared" ca="1" si="27"/>
        <v>0</v>
      </c>
      <c r="P328">
        <f t="shared" si="28"/>
        <v>0</v>
      </c>
      <c r="Q328" t="e">
        <f t="shared" si="29"/>
        <v>#VALUE!</v>
      </c>
    </row>
    <row r="329" spans="1:17" ht="15" customHeight="1" x14ac:dyDescent="0.25">
      <c r="A329">
        <f>'Customers Raw data'!A329</f>
        <v>1328</v>
      </c>
      <c r="B329" t="str">
        <f>'Customers Raw data'!B329</f>
        <v>2025-06-17</v>
      </c>
      <c r="C329" t="str">
        <f>'Customers Raw data'!C329</f>
        <v>Enterprise</v>
      </c>
      <c r="D329">
        <f>'Customers Raw data'!D329</f>
        <v>500</v>
      </c>
      <c r="E329">
        <f>'Customers Raw data'!E329</f>
        <v>200</v>
      </c>
      <c r="F329">
        <f>'Customers Raw data'!F329</f>
        <v>0</v>
      </c>
      <c r="G329">
        <f>IF('Customers Raw data'!F329&lt;&gt;"",1,0)</f>
        <v>0</v>
      </c>
      <c r="H329" t="str">
        <f>IF('Customers Raw data'!F329&lt;&gt;"",YEAR(DATEVALUE('Customers Raw data'!F329)),"")</f>
        <v/>
      </c>
      <c r="I329" t="str">
        <f>IF('Customers Raw data'!F329&lt;&gt;"",MONTH(DATEVALUE('Customers Raw data'!F329)),"")</f>
        <v/>
      </c>
      <c r="J329">
        <f>YEAR(DATEVALUE('Customers Raw data'!B329))</f>
        <v>2025</v>
      </c>
      <c r="K329">
        <f>MONTH(DATEVALUE('Customers Raw data'!B329))</f>
        <v>6</v>
      </c>
      <c r="L329">
        <f ca="1">IF('Customers Raw data'!F329&lt;&gt;"",DATEDIF(DATEVALUE('Customers Raw data'!B329),DATEVALUE('Customers Raw data'!F329),"M"),DATEDIF(DATEVALUE('Customers Raw data'!B329),TODAY(),"M"))</f>
        <v>9</v>
      </c>
      <c r="M329">
        <f t="shared" ca="1" si="25"/>
        <v>4500</v>
      </c>
      <c r="N329">
        <f t="shared" si="26"/>
        <v>3</v>
      </c>
      <c r="O329">
        <f t="shared" ca="1" si="27"/>
        <v>0</v>
      </c>
      <c r="P329">
        <f t="shared" si="28"/>
        <v>0</v>
      </c>
      <c r="Q329" t="e">
        <f t="shared" si="29"/>
        <v>#VALUE!</v>
      </c>
    </row>
    <row r="330" spans="1:17" ht="15" customHeight="1" x14ac:dyDescent="0.25">
      <c r="A330">
        <f>'Customers Raw data'!A330</f>
        <v>1329</v>
      </c>
      <c r="B330" t="str">
        <f>'Customers Raw data'!B330</f>
        <v>2025-02-19</v>
      </c>
      <c r="C330" t="str">
        <f>'Customers Raw data'!C330</f>
        <v>Enterprise</v>
      </c>
      <c r="D330">
        <f>'Customers Raw data'!D330</f>
        <v>500</v>
      </c>
      <c r="E330">
        <f>'Customers Raw data'!E330</f>
        <v>200</v>
      </c>
      <c r="F330">
        <f>'Customers Raw data'!F330</f>
        <v>0</v>
      </c>
      <c r="G330">
        <f>IF('Customers Raw data'!F330&lt;&gt;"",1,0)</f>
        <v>0</v>
      </c>
      <c r="H330" t="str">
        <f>IF('Customers Raw data'!F330&lt;&gt;"",YEAR(DATEVALUE('Customers Raw data'!F330)),"")</f>
        <v/>
      </c>
      <c r="I330" t="str">
        <f>IF('Customers Raw data'!F330&lt;&gt;"",MONTH(DATEVALUE('Customers Raw data'!F330)),"")</f>
        <v/>
      </c>
      <c r="J330">
        <f>YEAR(DATEVALUE('Customers Raw data'!B330))</f>
        <v>2025</v>
      </c>
      <c r="K330">
        <f>MONTH(DATEVALUE('Customers Raw data'!B330))</f>
        <v>2</v>
      </c>
      <c r="L330">
        <f ca="1">IF('Customers Raw data'!F330&lt;&gt;"",DATEDIF(DATEVALUE('Customers Raw data'!B330),DATEVALUE('Customers Raw data'!F330),"M"),DATEDIF(DATEVALUE('Customers Raw data'!B330),TODAY(),"M"))</f>
        <v>13</v>
      </c>
      <c r="M330">
        <f t="shared" ca="1" si="25"/>
        <v>6500</v>
      </c>
      <c r="N330">
        <f t="shared" si="26"/>
        <v>3</v>
      </c>
      <c r="O330">
        <f t="shared" ca="1" si="27"/>
        <v>0</v>
      </c>
      <c r="P330">
        <f t="shared" si="28"/>
        <v>0</v>
      </c>
      <c r="Q330" t="e">
        <f t="shared" si="29"/>
        <v>#VALUE!</v>
      </c>
    </row>
    <row r="331" spans="1:17" ht="15" customHeight="1" x14ac:dyDescent="0.25">
      <c r="A331">
        <f>'Customers Raw data'!A331</f>
        <v>1330</v>
      </c>
      <c r="B331" t="str">
        <f>'Customers Raw data'!B331</f>
        <v>2025-05-05</v>
      </c>
      <c r="C331" t="str">
        <f>'Customers Raw data'!C331</f>
        <v>Enterprise</v>
      </c>
      <c r="D331">
        <f>'Customers Raw data'!D331</f>
        <v>500</v>
      </c>
      <c r="E331">
        <f>'Customers Raw data'!E331</f>
        <v>200</v>
      </c>
      <c r="F331">
        <f>'Customers Raw data'!F331</f>
        <v>0</v>
      </c>
      <c r="G331">
        <f>IF('Customers Raw data'!F331&lt;&gt;"",1,0)</f>
        <v>0</v>
      </c>
      <c r="H331" t="str">
        <f>IF('Customers Raw data'!F331&lt;&gt;"",YEAR(DATEVALUE('Customers Raw data'!F331)),"")</f>
        <v/>
      </c>
      <c r="I331" t="str">
        <f>IF('Customers Raw data'!F331&lt;&gt;"",MONTH(DATEVALUE('Customers Raw data'!F331)),"")</f>
        <v/>
      </c>
      <c r="J331">
        <f>YEAR(DATEVALUE('Customers Raw data'!B331))</f>
        <v>2025</v>
      </c>
      <c r="K331">
        <f>MONTH(DATEVALUE('Customers Raw data'!B331))</f>
        <v>5</v>
      </c>
      <c r="L331">
        <f ca="1">IF('Customers Raw data'!F331&lt;&gt;"",DATEDIF(DATEVALUE('Customers Raw data'!B331),DATEVALUE('Customers Raw data'!F331),"M"),DATEDIF(DATEVALUE('Customers Raw data'!B331),TODAY(),"M"))</f>
        <v>11</v>
      </c>
      <c r="M331">
        <f t="shared" ca="1" si="25"/>
        <v>5500</v>
      </c>
      <c r="N331">
        <f t="shared" si="26"/>
        <v>3</v>
      </c>
      <c r="O331">
        <f t="shared" ca="1" si="27"/>
        <v>0</v>
      </c>
      <c r="P331">
        <f t="shared" si="28"/>
        <v>0</v>
      </c>
      <c r="Q331" t="e">
        <f t="shared" si="29"/>
        <v>#VALUE!</v>
      </c>
    </row>
    <row r="332" spans="1:17" ht="15" customHeight="1" x14ac:dyDescent="0.25">
      <c r="A332">
        <f>'Customers Raw data'!A332</f>
        <v>1331</v>
      </c>
      <c r="B332" t="str">
        <f>'Customers Raw data'!B332</f>
        <v>2025-03-29</v>
      </c>
      <c r="C332" t="str">
        <f>'Customers Raw data'!C332</f>
        <v>Pro</v>
      </c>
      <c r="D332">
        <f>'Customers Raw data'!D332</f>
        <v>200</v>
      </c>
      <c r="E332">
        <f>'Customers Raw data'!E332</f>
        <v>100</v>
      </c>
      <c r="F332">
        <f>'Customers Raw data'!F332</f>
        <v>0</v>
      </c>
      <c r="G332">
        <f>IF('Customers Raw data'!F332&lt;&gt;"",1,0)</f>
        <v>0</v>
      </c>
      <c r="H332" t="str">
        <f>IF('Customers Raw data'!F332&lt;&gt;"",YEAR(DATEVALUE('Customers Raw data'!F332)),"")</f>
        <v/>
      </c>
      <c r="I332" t="str">
        <f>IF('Customers Raw data'!F332&lt;&gt;"",MONTH(DATEVALUE('Customers Raw data'!F332)),"")</f>
        <v/>
      </c>
      <c r="J332">
        <f>YEAR(DATEVALUE('Customers Raw data'!B332))</f>
        <v>2025</v>
      </c>
      <c r="K332">
        <f>MONTH(DATEVALUE('Customers Raw data'!B332))</f>
        <v>3</v>
      </c>
      <c r="L332">
        <f ca="1">IF('Customers Raw data'!F332&lt;&gt;"",DATEDIF(DATEVALUE('Customers Raw data'!B332),DATEVALUE('Customers Raw data'!F332),"M"),DATEDIF(DATEVALUE('Customers Raw data'!B332),TODAY(),"M"))</f>
        <v>12</v>
      </c>
      <c r="M332">
        <f t="shared" ca="1" si="25"/>
        <v>2400</v>
      </c>
      <c r="N332">
        <f t="shared" si="26"/>
        <v>2</v>
      </c>
      <c r="O332">
        <f t="shared" ca="1" si="27"/>
        <v>0</v>
      </c>
      <c r="P332">
        <f t="shared" si="28"/>
        <v>0</v>
      </c>
      <c r="Q332" t="e">
        <f t="shared" si="29"/>
        <v>#VALUE!</v>
      </c>
    </row>
    <row r="333" spans="1:17" ht="15" customHeight="1" x14ac:dyDescent="0.25">
      <c r="A333">
        <f>'Customers Raw data'!A333</f>
        <v>1332</v>
      </c>
      <c r="B333" t="str">
        <f>'Customers Raw data'!B333</f>
        <v>2025-01-21</v>
      </c>
      <c r="C333" t="str">
        <f>'Customers Raw data'!C333</f>
        <v>Pro</v>
      </c>
      <c r="D333">
        <f>'Customers Raw data'!D333</f>
        <v>200</v>
      </c>
      <c r="E333">
        <f>'Customers Raw data'!E333</f>
        <v>100</v>
      </c>
      <c r="F333" t="str">
        <f>'Customers Raw data'!F333</f>
        <v>2025-04-14</v>
      </c>
      <c r="G333">
        <f>IF('Customers Raw data'!F333&lt;&gt;"",1,0)</f>
        <v>1</v>
      </c>
      <c r="H333">
        <f>IF('Customers Raw data'!F333&lt;&gt;"",YEAR(DATEVALUE('Customers Raw data'!F333)),"")</f>
        <v>2025</v>
      </c>
      <c r="I333">
        <f>IF('Customers Raw data'!F333&lt;&gt;"",MONTH(DATEVALUE('Customers Raw data'!F333)),"")</f>
        <v>4</v>
      </c>
      <c r="J333">
        <f>YEAR(DATEVALUE('Customers Raw data'!B333))</f>
        <v>2025</v>
      </c>
      <c r="K333">
        <f>MONTH(DATEVALUE('Customers Raw data'!B333))</f>
        <v>1</v>
      </c>
      <c r="L333">
        <f ca="1">IF('Customers Raw data'!F333&lt;&gt;"",DATEDIF(DATEVALUE('Customers Raw data'!B333),DATEVALUE('Customers Raw data'!F333),"M"),DATEDIF(DATEVALUE('Customers Raw data'!B333),TODAY(),"M"))</f>
        <v>2</v>
      </c>
      <c r="M333">
        <f t="shared" ca="1" si="25"/>
        <v>400</v>
      </c>
      <c r="N333">
        <f t="shared" si="26"/>
        <v>2</v>
      </c>
      <c r="O333">
        <f t="shared" ca="1" si="27"/>
        <v>1</v>
      </c>
      <c r="P333">
        <f t="shared" si="28"/>
        <v>200</v>
      </c>
      <c r="Q333" t="str">
        <f t="shared" si="29"/>
        <v>2025-04</v>
      </c>
    </row>
    <row r="334" spans="1:17" ht="15" customHeight="1" x14ac:dyDescent="0.25">
      <c r="A334">
        <f>'Customers Raw data'!A334</f>
        <v>1333</v>
      </c>
      <c r="B334" t="str">
        <f>'Customers Raw data'!B334</f>
        <v>2024-10-30</v>
      </c>
      <c r="C334" t="str">
        <f>'Customers Raw data'!C334</f>
        <v>Enterprise</v>
      </c>
      <c r="D334">
        <f>'Customers Raw data'!D334</f>
        <v>500</v>
      </c>
      <c r="E334">
        <f>'Customers Raw data'!E334</f>
        <v>200</v>
      </c>
      <c r="F334">
        <f>'Customers Raw data'!F334</f>
        <v>0</v>
      </c>
      <c r="G334">
        <f>IF('Customers Raw data'!F334&lt;&gt;"",1,0)</f>
        <v>0</v>
      </c>
      <c r="H334" t="str">
        <f>IF('Customers Raw data'!F334&lt;&gt;"",YEAR(DATEVALUE('Customers Raw data'!F334)),"")</f>
        <v/>
      </c>
      <c r="I334" t="str">
        <f>IF('Customers Raw data'!F334&lt;&gt;"",MONTH(DATEVALUE('Customers Raw data'!F334)),"")</f>
        <v/>
      </c>
      <c r="J334">
        <f>YEAR(DATEVALUE('Customers Raw data'!B334))</f>
        <v>2024</v>
      </c>
      <c r="K334">
        <f>MONTH(DATEVALUE('Customers Raw data'!B334))</f>
        <v>10</v>
      </c>
      <c r="L334">
        <f ca="1">IF('Customers Raw data'!F334&lt;&gt;"",DATEDIF(DATEVALUE('Customers Raw data'!B334),DATEVALUE('Customers Raw data'!F334),"M"),DATEDIF(DATEVALUE('Customers Raw data'!B334),TODAY(),"M"))</f>
        <v>17</v>
      </c>
      <c r="M334">
        <f t="shared" ca="1" si="25"/>
        <v>8500</v>
      </c>
      <c r="N334">
        <f t="shared" si="26"/>
        <v>3</v>
      </c>
      <c r="O334">
        <f t="shared" ca="1" si="27"/>
        <v>0</v>
      </c>
      <c r="P334">
        <f t="shared" si="28"/>
        <v>0</v>
      </c>
      <c r="Q334" t="e">
        <f t="shared" si="29"/>
        <v>#VALUE!</v>
      </c>
    </row>
    <row r="335" spans="1:17" ht="15" customHeight="1" x14ac:dyDescent="0.25">
      <c r="A335">
        <f>'Customers Raw data'!A335</f>
        <v>1334</v>
      </c>
      <c r="B335" t="str">
        <f>'Customers Raw data'!B335</f>
        <v>2024-08-13</v>
      </c>
      <c r="C335" t="str">
        <f>'Customers Raw data'!C335</f>
        <v>Enterprise</v>
      </c>
      <c r="D335">
        <f>'Customers Raw data'!D335</f>
        <v>500</v>
      </c>
      <c r="E335">
        <f>'Customers Raw data'!E335</f>
        <v>200</v>
      </c>
      <c r="F335">
        <f>'Customers Raw data'!F335</f>
        <v>0</v>
      </c>
      <c r="G335">
        <f>IF('Customers Raw data'!F335&lt;&gt;"",1,0)</f>
        <v>0</v>
      </c>
      <c r="H335" t="str">
        <f>IF('Customers Raw data'!F335&lt;&gt;"",YEAR(DATEVALUE('Customers Raw data'!F335)),"")</f>
        <v/>
      </c>
      <c r="I335" t="str">
        <f>IF('Customers Raw data'!F335&lt;&gt;"",MONTH(DATEVALUE('Customers Raw data'!F335)),"")</f>
        <v/>
      </c>
      <c r="J335">
        <f>YEAR(DATEVALUE('Customers Raw data'!B335))</f>
        <v>2024</v>
      </c>
      <c r="K335">
        <f>MONTH(DATEVALUE('Customers Raw data'!B335))</f>
        <v>8</v>
      </c>
      <c r="L335">
        <f ca="1">IF('Customers Raw data'!F335&lt;&gt;"",DATEDIF(DATEVALUE('Customers Raw data'!B335),DATEVALUE('Customers Raw data'!F335),"M"),DATEDIF(DATEVALUE('Customers Raw data'!B335),TODAY(),"M"))</f>
        <v>19</v>
      </c>
      <c r="M335">
        <f t="shared" ca="1" si="25"/>
        <v>9500</v>
      </c>
      <c r="N335">
        <f t="shared" si="26"/>
        <v>3</v>
      </c>
      <c r="O335">
        <f t="shared" ca="1" si="27"/>
        <v>0</v>
      </c>
      <c r="P335">
        <f t="shared" si="28"/>
        <v>0</v>
      </c>
      <c r="Q335" t="e">
        <f t="shared" si="29"/>
        <v>#VALUE!</v>
      </c>
    </row>
    <row r="336" spans="1:17" ht="15" customHeight="1" x14ac:dyDescent="0.25">
      <c r="A336">
        <f>'Customers Raw data'!A336</f>
        <v>1335</v>
      </c>
      <c r="B336" t="str">
        <f>'Customers Raw data'!B336</f>
        <v>2025-04-07</v>
      </c>
      <c r="C336" t="str">
        <f>'Customers Raw data'!C336</f>
        <v>Pro</v>
      </c>
      <c r="D336">
        <f>'Customers Raw data'!D336</f>
        <v>200</v>
      </c>
      <c r="E336">
        <f>'Customers Raw data'!E336</f>
        <v>100</v>
      </c>
      <c r="F336">
        <f>'Customers Raw data'!F336</f>
        <v>0</v>
      </c>
      <c r="G336">
        <f>IF('Customers Raw data'!F336&lt;&gt;"",1,0)</f>
        <v>0</v>
      </c>
      <c r="H336" t="str">
        <f>IF('Customers Raw data'!F336&lt;&gt;"",YEAR(DATEVALUE('Customers Raw data'!F336)),"")</f>
        <v/>
      </c>
      <c r="I336" t="str">
        <f>IF('Customers Raw data'!F336&lt;&gt;"",MONTH(DATEVALUE('Customers Raw data'!F336)),"")</f>
        <v/>
      </c>
      <c r="J336">
        <f>YEAR(DATEVALUE('Customers Raw data'!B336))</f>
        <v>2025</v>
      </c>
      <c r="K336">
        <f>MONTH(DATEVALUE('Customers Raw data'!B336))</f>
        <v>4</v>
      </c>
      <c r="L336">
        <f ca="1">IF('Customers Raw data'!F336&lt;&gt;"",DATEDIF(DATEVALUE('Customers Raw data'!B336),DATEVALUE('Customers Raw data'!F336),"M"),DATEDIF(DATEVALUE('Customers Raw data'!B336),TODAY(),"M"))</f>
        <v>12</v>
      </c>
      <c r="M336">
        <f t="shared" ca="1" si="25"/>
        <v>2400</v>
      </c>
      <c r="N336">
        <f t="shared" si="26"/>
        <v>2</v>
      </c>
      <c r="O336">
        <f t="shared" ca="1" si="27"/>
        <v>0</v>
      </c>
      <c r="P336">
        <f t="shared" si="28"/>
        <v>0</v>
      </c>
      <c r="Q336" t="e">
        <f t="shared" si="29"/>
        <v>#VALUE!</v>
      </c>
    </row>
    <row r="337" spans="1:17" ht="15" customHeight="1" x14ac:dyDescent="0.25">
      <c r="A337">
        <f>'Customers Raw data'!A337</f>
        <v>1336</v>
      </c>
      <c r="B337" t="str">
        <f>'Customers Raw data'!B337</f>
        <v>2024-11-21</v>
      </c>
      <c r="C337" t="str">
        <f>'Customers Raw data'!C337</f>
        <v>Enterprise</v>
      </c>
      <c r="D337">
        <f>'Customers Raw data'!D337</f>
        <v>500</v>
      </c>
      <c r="E337">
        <f>'Customers Raw data'!E337</f>
        <v>200</v>
      </c>
      <c r="F337">
        <f>'Customers Raw data'!F337</f>
        <v>0</v>
      </c>
      <c r="G337">
        <f>IF('Customers Raw data'!F337&lt;&gt;"",1,0)</f>
        <v>0</v>
      </c>
      <c r="H337" t="str">
        <f>IF('Customers Raw data'!F337&lt;&gt;"",YEAR(DATEVALUE('Customers Raw data'!F337)),"")</f>
        <v/>
      </c>
      <c r="I337" t="str">
        <f>IF('Customers Raw data'!F337&lt;&gt;"",MONTH(DATEVALUE('Customers Raw data'!F337)),"")</f>
        <v/>
      </c>
      <c r="J337">
        <f>YEAR(DATEVALUE('Customers Raw data'!B337))</f>
        <v>2024</v>
      </c>
      <c r="K337">
        <f>MONTH(DATEVALUE('Customers Raw data'!B337))</f>
        <v>11</v>
      </c>
      <c r="L337">
        <f ca="1">IF('Customers Raw data'!F337&lt;&gt;"",DATEDIF(DATEVALUE('Customers Raw data'!B337),DATEVALUE('Customers Raw data'!F337),"M"),DATEDIF(DATEVALUE('Customers Raw data'!B337),TODAY(),"M"))</f>
        <v>16</v>
      </c>
      <c r="M337">
        <f t="shared" ca="1" si="25"/>
        <v>8000</v>
      </c>
      <c r="N337">
        <f t="shared" si="26"/>
        <v>3</v>
      </c>
      <c r="O337">
        <f t="shared" ca="1" si="27"/>
        <v>0</v>
      </c>
      <c r="P337">
        <f t="shared" si="28"/>
        <v>0</v>
      </c>
      <c r="Q337" t="e">
        <f t="shared" si="29"/>
        <v>#VALUE!</v>
      </c>
    </row>
    <row r="338" spans="1:17" ht="15" customHeight="1" x14ac:dyDescent="0.25">
      <c r="A338">
        <f>'Customers Raw data'!A338</f>
        <v>1337</v>
      </c>
      <c r="B338" t="str">
        <f>'Customers Raw data'!B338</f>
        <v>2024-08-20</v>
      </c>
      <c r="C338" t="str">
        <f>'Customers Raw data'!C338</f>
        <v>Basic</v>
      </c>
      <c r="D338">
        <f>'Customers Raw data'!D338</f>
        <v>50</v>
      </c>
      <c r="E338">
        <f>'Customers Raw data'!E338</f>
        <v>30</v>
      </c>
      <c r="F338" t="str">
        <f>'Customers Raw data'!F338</f>
        <v>2024-12-12</v>
      </c>
      <c r="G338">
        <f>IF('Customers Raw data'!F338&lt;&gt;"",1,0)</f>
        <v>1</v>
      </c>
      <c r="H338">
        <f>IF('Customers Raw data'!F338&lt;&gt;"",YEAR(DATEVALUE('Customers Raw data'!F338)),"")</f>
        <v>2024</v>
      </c>
      <c r="I338">
        <f>IF('Customers Raw data'!F338&lt;&gt;"",MONTH(DATEVALUE('Customers Raw data'!F338)),"")</f>
        <v>12</v>
      </c>
      <c r="J338">
        <f>YEAR(DATEVALUE('Customers Raw data'!B338))</f>
        <v>2024</v>
      </c>
      <c r="K338">
        <f>MONTH(DATEVALUE('Customers Raw data'!B338))</f>
        <v>8</v>
      </c>
      <c r="L338">
        <f ca="1">IF('Customers Raw data'!F338&lt;&gt;"",DATEDIF(DATEVALUE('Customers Raw data'!B338),DATEVALUE('Customers Raw data'!F338),"M"),DATEDIF(DATEVALUE('Customers Raw data'!B338),TODAY(),"M"))</f>
        <v>3</v>
      </c>
      <c r="M338">
        <f t="shared" ca="1" si="25"/>
        <v>150</v>
      </c>
      <c r="N338">
        <f t="shared" si="26"/>
        <v>1</v>
      </c>
      <c r="O338">
        <f t="shared" ca="1" si="27"/>
        <v>1</v>
      </c>
      <c r="P338">
        <f t="shared" si="28"/>
        <v>50</v>
      </c>
      <c r="Q338" t="str">
        <f t="shared" si="29"/>
        <v>2024-12</v>
      </c>
    </row>
    <row r="339" spans="1:17" ht="15" customHeight="1" x14ac:dyDescent="0.25">
      <c r="A339">
        <f>'Customers Raw data'!A339</f>
        <v>1338</v>
      </c>
      <c r="B339" t="str">
        <f>'Customers Raw data'!B339</f>
        <v>2025-01-18</v>
      </c>
      <c r="C339" t="str">
        <f>'Customers Raw data'!C339</f>
        <v>Basic</v>
      </c>
      <c r="D339">
        <f>'Customers Raw data'!D339</f>
        <v>50</v>
      </c>
      <c r="E339">
        <f>'Customers Raw data'!E339</f>
        <v>30</v>
      </c>
      <c r="F339">
        <f>'Customers Raw data'!F339</f>
        <v>0</v>
      </c>
      <c r="G339">
        <f>IF('Customers Raw data'!F339&lt;&gt;"",1,0)</f>
        <v>0</v>
      </c>
      <c r="H339" t="str">
        <f>IF('Customers Raw data'!F339&lt;&gt;"",YEAR(DATEVALUE('Customers Raw data'!F339)),"")</f>
        <v/>
      </c>
      <c r="I339" t="str">
        <f>IF('Customers Raw data'!F339&lt;&gt;"",MONTH(DATEVALUE('Customers Raw data'!F339)),"")</f>
        <v/>
      </c>
      <c r="J339">
        <f>YEAR(DATEVALUE('Customers Raw data'!B339))</f>
        <v>2025</v>
      </c>
      <c r="K339">
        <f>MONTH(DATEVALUE('Customers Raw data'!B339))</f>
        <v>1</v>
      </c>
      <c r="L339">
        <f ca="1">IF('Customers Raw data'!F339&lt;&gt;"",DATEDIF(DATEVALUE('Customers Raw data'!B339),DATEVALUE('Customers Raw data'!F339),"M"),DATEDIF(DATEVALUE('Customers Raw data'!B339),TODAY(),"M"))</f>
        <v>14</v>
      </c>
      <c r="M339">
        <f t="shared" ca="1" si="25"/>
        <v>700</v>
      </c>
      <c r="N339">
        <f t="shared" si="26"/>
        <v>1</v>
      </c>
      <c r="O339">
        <f t="shared" ca="1" si="27"/>
        <v>0</v>
      </c>
      <c r="P339">
        <f t="shared" si="28"/>
        <v>0</v>
      </c>
      <c r="Q339" t="e">
        <f t="shared" si="29"/>
        <v>#VALUE!</v>
      </c>
    </row>
    <row r="340" spans="1:17" ht="15" customHeight="1" x14ac:dyDescent="0.25">
      <c r="A340">
        <f>'Customers Raw data'!A340</f>
        <v>1339</v>
      </c>
      <c r="B340" t="str">
        <f>'Customers Raw data'!B340</f>
        <v>2024-02-27</v>
      </c>
      <c r="C340" t="str">
        <f>'Customers Raw data'!C340</f>
        <v>Basic</v>
      </c>
      <c r="D340">
        <f>'Customers Raw data'!D340</f>
        <v>50</v>
      </c>
      <c r="E340">
        <f>'Customers Raw data'!E340</f>
        <v>30</v>
      </c>
      <c r="F340">
        <f>'Customers Raw data'!F340</f>
        <v>0</v>
      </c>
      <c r="G340">
        <f>IF('Customers Raw data'!F340&lt;&gt;"",1,0)</f>
        <v>0</v>
      </c>
      <c r="H340" t="str">
        <f>IF('Customers Raw data'!F340&lt;&gt;"",YEAR(DATEVALUE('Customers Raw data'!F340)),"")</f>
        <v/>
      </c>
      <c r="I340" t="str">
        <f>IF('Customers Raw data'!F340&lt;&gt;"",MONTH(DATEVALUE('Customers Raw data'!F340)),"")</f>
        <v/>
      </c>
      <c r="J340">
        <f>YEAR(DATEVALUE('Customers Raw data'!B340))</f>
        <v>2024</v>
      </c>
      <c r="K340">
        <f>MONTH(DATEVALUE('Customers Raw data'!B340))</f>
        <v>2</v>
      </c>
      <c r="L340">
        <f ca="1">IF('Customers Raw data'!F340&lt;&gt;"",DATEDIF(DATEVALUE('Customers Raw data'!B340),DATEVALUE('Customers Raw data'!F340),"M"),DATEDIF(DATEVALUE('Customers Raw data'!B340),TODAY(),"M"))</f>
        <v>25</v>
      </c>
      <c r="M340">
        <f t="shared" ca="1" si="25"/>
        <v>1250</v>
      </c>
      <c r="N340">
        <f t="shared" si="26"/>
        <v>1</v>
      </c>
      <c r="O340">
        <f t="shared" ca="1" si="27"/>
        <v>0</v>
      </c>
      <c r="P340">
        <f t="shared" si="28"/>
        <v>0</v>
      </c>
      <c r="Q340" t="e">
        <f t="shared" si="29"/>
        <v>#VALUE!</v>
      </c>
    </row>
    <row r="341" spans="1:17" ht="15" customHeight="1" x14ac:dyDescent="0.25">
      <c r="A341">
        <f>'Customers Raw data'!A341</f>
        <v>1340</v>
      </c>
      <c r="B341" t="str">
        <f>'Customers Raw data'!B341</f>
        <v>2024-09-30</v>
      </c>
      <c r="C341" t="str">
        <f>'Customers Raw data'!C341</f>
        <v>Basic</v>
      </c>
      <c r="D341">
        <f>'Customers Raw data'!D341</f>
        <v>50</v>
      </c>
      <c r="E341">
        <f>'Customers Raw data'!E341</f>
        <v>30</v>
      </c>
      <c r="F341">
        <f>'Customers Raw data'!F341</f>
        <v>0</v>
      </c>
      <c r="G341">
        <f>IF('Customers Raw data'!F341&lt;&gt;"",1,0)</f>
        <v>0</v>
      </c>
      <c r="H341" t="str">
        <f>IF('Customers Raw data'!F341&lt;&gt;"",YEAR(DATEVALUE('Customers Raw data'!F341)),"")</f>
        <v/>
      </c>
      <c r="I341" t="str">
        <f>IF('Customers Raw data'!F341&lt;&gt;"",MONTH(DATEVALUE('Customers Raw data'!F341)),"")</f>
        <v/>
      </c>
      <c r="J341">
        <f>YEAR(DATEVALUE('Customers Raw data'!B341))</f>
        <v>2024</v>
      </c>
      <c r="K341">
        <f>MONTH(DATEVALUE('Customers Raw data'!B341))</f>
        <v>9</v>
      </c>
      <c r="L341">
        <f ca="1">IF('Customers Raw data'!F341&lt;&gt;"",DATEDIF(DATEVALUE('Customers Raw data'!B341),DATEVALUE('Customers Raw data'!F341),"M"),DATEDIF(DATEVALUE('Customers Raw data'!B341),TODAY(),"M"))</f>
        <v>18</v>
      </c>
      <c r="M341">
        <f t="shared" ca="1" si="25"/>
        <v>900</v>
      </c>
      <c r="N341">
        <f t="shared" si="26"/>
        <v>1</v>
      </c>
      <c r="O341">
        <f t="shared" ca="1" si="27"/>
        <v>0</v>
      </c>
      <c r="P341">
        <f t="shared" si="28"/>
        <v>0</v>
      </c>
      <c r="Q341" t="e">
        <f t="shared" si="29"/>
        <v>#VALUE!</v>
      </c>
    </row>
    <row r="342" spans="1:17" ht="15" customHeight="1" x14ac:dyDescent="0.25">
      <c r="A342">
        <f>'Customers Raw data'!A342</f>
        <v>1341</v>
      </c>
      <c r="B342" t="str">
        <f>'Customers Raw data'!B342</f>
        <v>2024-08-21</v>
      </c>
      <c r="C342" t="str">
        <f>'Customers Raw data'!C342</f>
        <v>Basic</v>
      </c>
      <c r="D342">
        <f>'Customers Raw data'!D342</f>
        <v>50</v>
      </c>
      <c r="E342">
        <f>'Customers Raw data'!E342</f>
        <v>30</v>
      </c>
      <c r="F342">
        <f>'Customers Raw data'!F342</f>
        <v>0</v>
      </c>
      <c r="G342">
        <f>IF('Customers Raw data'!F342&lt;&gt;"",1,0)</f>
        <v>0</v>
      </c>
      <c r="H342" t="str">
        <f>IF('Customers Raw data'!F342&lt;&gt;"",YEAR(DATEVALUE('Customers Raw data'!F342)),"")</f>
        <v/>
      </c>
      <c r="I342" t="str">
        <f>IF('Customers Raw data'!F342&lt;&gt;"",MONTH(DATEVALUE('Customers Raw data'!F342)),"")</f>
        <v/>
      </c>
      <c r="J342">
        <f>YEAR(DATEVALUE('Customers Raw data'!B342))</f>
        <v>2024</v>
      </c>
      <c r="K342">
        <f>MONTH(DATEVALUE('Customers Raw data'!B342))</f>
        <v>8</v>
      </c>
      <c r="L342">
        <f ca="1">IF('Customers Raw data'!F342&lt;&gt;"",DATEDIF(DATEVALUE('Customers Raw data'!B342),DATEVALUE('Customers Raw data'!F342),"M"),DATEDIF(DATEVALUE('Customers Raw data'!B342),TODAY(),"M"))</f>
        <v>19</v>
      </c>
      <c r="M342">
        <f t="shared" ca="1" si="25"/>
        <v>950</v>
      </c>
      <c r="N342">
        <f t="shared" si="26"/>
        <v>1</v>
      </c>
      <c r="O342">
        <f t="shared" ca="1" si="27"/>
        <v>0</v>
      </c>
      <c r="P342">
        <f t="shared" si="28"/>
        <v>0</v>
      </c>
      <c r="Q342" t="e">
        <f t="shared" si="29"/>
        <v>#VALUE!</v>
      </c>
    </row>
    <row r="343" spans="1:17" ht="15" customHeight="1" x14ac:dyDescent="0.25">
      <c r="A343">
        <f>'Customers Raw data'!A343</f>
        <v>1342</v>
      </c>
      <c r="B343" t="str">
        <f>'Customers Raw data'!B343</f>
        <v>2024-11-30</v>
      </c>
      <c r="C343" t="str">
        <f>'Customers Raw data'!C343</f>
        <v>Basic</v>
      </c>
      <c r="D343">
        <f>'Customers Raw data'!D343</f>
        <v>50</v>
      </c>
      <c r="E343">
        <f>'Customers Raw data'!E343</f>
        <v>30</v>
      </c>
      <c r="F343">
        <f>'Customers Raw data'!F343</f>
        <v>0</v>
      </c>
      <c r="G343">
        <f>IF('Customers Raw data'!F343&lt;&gt;"",1,0)</f>
        <v>0</v>
      </c>
      <c r="H343" t="str">
        <f>IF('Customers Raw data'!F343&lt;&gt;"",YEAR(DATEVALUE('Customers Raw data'!F343)),"")</f>
        <v/>
      </c>
      <c r="I343" t="str">
        <f>IF('Customers Raw data'!F343&lt;&gt;"",MONTH(DATEVALUE('Customers Raw data'!F343)),"")</f>
        <v/>
      </c>
      <c r="J343">
        <f>YEAR(DATEVALUE('Customers Raw data'!B343))</f>
        <v>2024</v>
      </c>
      <c r="K343">
        <f>MONTH(DATEVALUE('Customers Raw data'!B343))</f>
        <v>11</v>
      </c>
      <c r="L343">
        <f ca="1">IF('Customers Raw data'!F343&lt;&gt;"",DATEDIF(DATEVALUE('Customers Raw data'!B343),DATEVALUE('Customers Raw data'!F343),"M"),DATEDIF(DATEVALUE('Customers Raw data'!B343),TODAY(),"M"))</f>
        <v>16</v>
      </c>
      <c r="M343">
        <f t="shared" ca="1" si="25"/>
        <v>800</v>
      </c>
      <c r="N343">
        <f t="shared" si="26"/>
        <v>1</v>
      </c>
      <c r="O343">
        <f t="shared" ca="1" si="27"/>
        <v>0</v>
      </c>
      <c r="P343">
        <f t="shared" si="28"/>
        <v>0</v>
      </c>
      <c r="Q343" t="e">
        <f t="shared" si="29"/>
        <v>#VALUE!</v>
      </c>
    </row>
    <row r="344" spans="1:17" ht="15" customHeight="1" x14ac:dyDescent="0.25">
      <c r="A344">
        <f>'Customers Raw data'!A344</f>
        <v>1343</v>
      </c>
      <c r="B344" t="str">
        <f>'Customers Raw data'!B344</f>
        <v>2024-04-28</v>
      </c>
      <c r="C344" t="str">
        <f>'Customers Raw data'!C344</f>
        <v>Pro</v>
      </c>
      <c r="D344">
        <f>'Customers Raw data'!D344</f>
        <v>200</v>
      </c>
      <c r="E344">
        <f>'Customers Raw data'!E344</f>
        <v>100</v>
      </c>
      <c r="F344">
        <f>'Customers Raw data'!F344</f>
        <v>0</v>
      </c>
      <c r="G344">
        <f>IF('Customers Raw data'!F344&lt;&gt;"",1,0)</f>
        <v>0</v>
      </c>
      <c r="H344" t="str">
        <f>IF('Customers Raw data'!F344&lt;&gt;"",YEAR(DATEVALUE('Customers Raw data'!F344)),"")</f>
        <v/>
      </c>
      <c r="I344" t="str">
        <f>IF('Customers Raw data'!F344&lt;&gt;"",MONTH(DATEVALUE('Customers Raw data'!F344)),"")</f>
        <v/>
      </c>
      <c r="J344">
        <f>YEAR(DATEVALUE('Customers Raw data'!B344))</f>
        <v>2024</v>
      </c>
      <c r="K344">
        <f>MONTH(DATEVALUE('Customers Raw data'!B344))</f>
        <v>4</v>
      </c>
      <c r="L344">
        <f ca="1">IF('Customers Raw data'!F344&lt;&gt;"",DATEDIF(DATEVALUE('Customers Raw data'!B344),DATEVALUE('Customers Raw data'!F344),"M"),DATEDIF(DATEVALUE('Customers Raw data'!B344),TODAY(),"M"))</f>
        <v>23</v>
      </c>
      <c r="M344">
        <f t="shared" ca="1" si="25"/>
        <v>4600</v>
      </c>
      <c r="N344">
        <f t="shared" si="26"/>
        <v>2</v>
      </c>
      <c r="O344">
        <f t="shared" ca="1" si="27"/>
        <v>0</v>
      </c>
      <c r="P344">
        <f t="shared" si="28"/>
        <v>0</v>
      </c>
      <c r="Q344" t="e">
        <f t="shared" si="29"/>
        <v>#VALUE!</v>
      </c>
    </row>
    <row r="345" spans="1:17" ht="15" customHeight="1" x14ac:dyDescent="0.25">
      <c r="A345">
        <f>'Customers Raw data'!A345</f>
        <v>1344</v>
      </c>
      <c r="B345" t="str">
        <f>'Customers Raw data'!B345</f>
        <v>2025-01-17</v>
      </c>
      <c r="C345" t="str">
        <f>'Customers Raw data'!C345</f>
        <v>Enterprise</v>
      </c>
      <c r="D345">
        <f>'Customers Raw data'!D345</f>
        <v>500</v>
      </c>
      <c r="E345">
        <f>'Customers Raw data'!E345</f>
        <v>200</v>
      </c>
      <c r="F345">
        <f>'Customers Raw data'!F345</f>
        <v>0</v>
      </c>
      <c r="G345">
        <f>IF('Customers Raw data'!F345&lt;&gt;"",1,0)</f>
        <v>0</v>
      </c>
      <c r="H345" t="str">
        <f>IF('Customers Raw data'!F345&lt;&gt;"",YEAR(DATEVALUE('Customers Raw data'!F345)),"")</f>
        <v/>
      </c>
      <c r="I345" t="str">
        <f>IF('Customers Raw data'!F345&lt;&gt;"",MONTH(DATEVALUE('Customers Raw data'!F345)),"")</f>
        <v/>
      </c>
      <c r="J345">
        <f>YEAR(DATEVALUE('Customers Raw data'!B345))</f>
        <v>2025</v>
      </c>
      <c r="K345">
        <f>MONTH(DATEVALUE('Customers Raw data'!B345))</f>
        <v>1</v>
      </c>
      <c r="L345">
        <f ca="1">IF('Customers Raw data'!F345&lt;&gt;"",DATEDIF(DATEVALUE('Customers Raw data'!B345),DATEVALUE('Customers Raw data'!F345),"M"),DATEDIF(DATEVALUE('Customers Raw data'!B345),TODAY(),"M"))</f>
        <v>14</v>
      </c>
      <c r="M345">
        <f t="shared" ca="1" si="25"/>
        <v>7000</v>
      </c>
      <c r="N345">
        <f t="shared" si="26"/>
        <v>3</v>
      </c>
      <c r="O345">
        <f t="shared" ca="1" si="27"/>
        <v>0</v>
      </c>
      <c r="P345">
        <f t="shared" si="28"/>
        <v>0</v>
      </c>
      <c r="Q345" t="e">
        <f t="shared" si="29"/>
        <v>#VALUE!</v>
      </c>
    </row>
    <row r="346" spans="1:17" ht="15" customHeight="1" x14ac:dyDescent="0.25">
      <c r="A346">
        <f>'Customers Raw data'!A346</f>
        <v>1345</v>
      </c>
      <c r="B346" t="str">
        <f>'Customers Raw data'!B346</f>
        <v>2024-08-15</v>
      </c>
      <c r="C346" t="str">
        <f>'Customers Raw data'!C346</f>
        <v>Enterprise</v>
      </c>
      <c r="D346">
        <f>'Customers Raw data'!D346</f>
        <v>500</v>
      </c>
      <c r="E346">
        <f>'Customers Raw data'!E346</f>
        <v>200</v>
      </c>
      <c r="F346">
        <f>'Customers Raw data'!F346</f>
        <v>0</v>
      </c>
      <c r="G346">
        <f>IF('Customers Raw data'!F346&lt;&gt;"",1,0)</f>
        <v>0</v>
      </c>
      <c r="H346" t="str">
        <f>IF('Customers Raw data'!F346&lt;&gt;"",YEAR(DATEVALUE('Customers Raw data'!F346)),"")</f>
        <v/>
      </c>
      <c r="I346" t="str">
        <f>IF('Customers Raw data'!F346&lt;&gt;"",MONTH(DATEVALUE('Customers Raw data'!F346)),"")</f>
        <v/>
      </c>
      <c r="J346">
        <f>YEAR(DATEVALUE('Customers Raw data'!B346))</f>
        <v>2024</v>
      </c>
      <c r="K346">
        <f>MONTH(DATEVALUE('Customers Raw data'!B346))</f>
        <v>8</v>
      </c>
      <c r="L346">
        <f ca="1">IF('Customers Raw data'!F346&lt;&gt;"",DATEDIF(DATEVALUE('Customers Raw data'!B346),DATEVALUE('Customers Raw data'!F346),"M"),DATEDIF(DATEVALUE('Customers Raw data'!B346),TODAY(),"M"))</f>
        <v>19</v>
      </c>
      <c r="M346">
        <f t="shared" ca="1" si="25"/>
        <v>9500</v>
      </c>
      <c r="N346">
        <f t="shared" si="26"/>
        <v>3</v>
      </c>
      <c r="O346">
        <f t="shared" ca="1" si="27"/>
        <v>0</v>
      </c>
      <c r="P346">
        <f t="shared" si="28"/>
        <v>0</v>
      </c>
      <c r="Q346" t="e">
        <f t="shared" si="29"/>
        <v>#VALUE!</v>
      </c>
    </row>
    <row r="347" spans="1:17" ht="15" customHeight="1" x14ac:dyDescent="0.25">
      <c r="A347">
        <f>'Customers Raw data'!A347</f>
        <v>1346</v>
      </c>
      <c r="B347" t="str">
        <f>'Customers Raw data'!B347</f>
        <v>2024-03-22</v>
      </c>
      <c r="C347" t="str">
        <f>'Customers Raw data'!C347</f>
        <v>Pro</v>
      </c>
      <c r="D347">
        <f>'Customers Raw data'!D347</f>
        <v>200</v>
      </c>
      <c r="E347">
        <f>'Customers Raw data'!E347</f>
        <v>100</v>
      </c>
      <c r="F347" t="str">
        <f>'Customers Raw data'!F347</f>
        <v>2024-07-02</v>
      </c>
      <c r="G347">
        <f>IF('Customers Raw data'!F347&lt;&gt;"",1,0)</f>
        <v>1</v>
      </c>
      <c r="H347">
        <f>IF('Customers Raw data'!F347&lt;&gt;"",YEAR(DATEVALUE('Customers Raw data'!F347)),"")</f>
        <v>2024</v>
      </c>
      <c r="I347">
        <f>IF('Customers Raw data'!F347&lt;&gt;"",MONTH(DATEVALUE('Customers Raw data'!F347)),"")</f>
        <v>7</v>
      </c>
      <c r="J347">
        <f>YEAR(DATEVALUE('Customers Raw data'!B347))</f>
        <v>2024</v>
      </c>
      <c r="K347">
        <f>MONTH(DATEVALUE('Customers Raw data'!B347))</f>
        <v>3</v>
      </c>
      <c r="L347">
        <f ca="1">IF('Customers Raw data'!F347&lt;&gt;"",DATEDIF(DATEVALUE('Customers Raw data'!B347),DATEVALUE('Customers Raw data'!F347),"M"),DATEDIF(DATEVALUE('Customers Raw data'!B347),TODAY(),"M"))</f>
        <v>3</v>
      </c>
      <c r="M347">
        <f t="shared" ca="1" si="25"/>
        <v>600</v>
      </c>
      <c r="N347">
        <f t="shared" si="26"/>
        <v>2</v>
      </c>
      <c r="O347">
        <f t="shared" ca="1" si="27"/>
        <v>1</v>
      </c>
      <c r="P347">
        <f t="shared" si="28"/>
        <v>200</v>
      </c>
      <c r="Q347" t="str">
        <f t="shared" si="29"/>
        <v>2024-07</v>
      </c>
    </row>
    <row r="348" spans="1:17" ht="15" customHeight="1" x14ac:dyDescent="0.25">
      <c r="A348">
        <f>'Customers Raw data'!A348</f>
        <v>1347</v>
      </c>
      <c r="B348" t="str">
        <f>'Customers Raw data'!B348</f>
        <v>2024-11-13</v>
      </c>
      <c r="C348" t="str">
        <f>'Customers Raw data'!C348</f>
        <v>Basic</v>
      </c>
      <c r="D348">
        <f>'Customers Raw data'!D348</f>
        <v>50</v>
      </c>
      <c r="E348">
        <f>'Customers Raw data'!E348</f>
        <v>30</v>
      </c>
      <c r="F348" t="str">
        <f>'Customers Raw data'!F348</f>
        <v>2025-04-20</v>
      </c>
      <c r="G348">
        <f>IF('Customers Raw data'!F348&lt;&gt;"",1,0)</f>
        <v>1</v>
      </c>
      <c r="H348">
        <f>IF('Customers Raw data'!F348&lt;&gt;"",YEAR(DATEVALUE('Customers Raw data'!F348)),"")</f>
        <v>2025</v>
      </c>
      <c r="I348">
        <f>IF('Customers Raw data'!F348&lt;&gt;"",MONTH(DATEVALUE('Customers Raw data'!F348)),"")</f>
        <v>4</v>
      </c>
      <c r="J348">
        <f>YEAR(DATEVALUE('Customers Raw data'!B348))</f>
        <v>2024</v>
      </c>
      <c r="K348">
        <f>MONTH(DATEVALUE('Customers Raw data'!B348))</f>
        <v>11</v>
      </c>
      <c r="L348">
        <f ca="1">IF('Customers Raw data'!F348&lt;&gt;"",DATEDIF(DATEVALUE('Customers Raw data'!B348),DATEVALUE('Customers Raw data'!F348),"M"),DATEDIF(DATEVALUE('Customers Raw data'!B348),TODAY(),"M"))</f>
        <v>5</v>
      </c>
      <c r="M348">
        <f t="shared" ca="1" si="25"/>
        <v>250</v>
      </c>
      <c r="N348">
        <f t="shared" si="26"/>
        <v>1</v>
      </c>
      <c r="O348">
        <f t="shared" ca="1" si="27"/>
        <v>1</v>
      </c>
      <c r="P348">
        <f t="shared" si="28"/>
        <v>50</v>
      </c>
      <c r="Q348" t="str">
        <f t="shared" si="29"/>
        <v>2025-04</v>
      </c>
    </row>
    <row r="349" spans="1:17" ht="15" customHeight="1" x14ac:dyDescent="0.25">
      <c r="A349">
        <f>'Customers Raw data'!A349</f>
        <v>1348</v>
      </c>
      <c r="B349" t="str">
        <f>'Customers Raw data'!B349</f>
        <v>2025-06-25</v>
      </c>
      <c r="C349" t="str">
        <f>'Customers Raw data'!C349</f>
        <v>Enterprise</v>
      </c>
      <c r="D349">
        <f>'Customers Raw data'!D349</f>
        <v>500</v>
      </c>
      <c r="E349">
        <f>'Customers Raw data'!E349</f>
        <v>200</v>
      </c>
      <c r="F349">
        <f>'Customers Raw data'!F349</f>
        <v>0</v>
      </c>
      <c r="G349">
        <f>IF('Customers Raw data'!F349&lt;&gt;"",1,0)</f>
        <v>0</v>
      </c>
      <c r="H349" t="str">
        <f>IF('Customers Raw data'!F349&lt;&gt;"",YEAR(DATEVALUE('Customers Raw data'!F349)),"")</f>
        <v/>
      </c>
      <c r="I349" t="str">
        <f>IF('Customers Raw data'!F349&lt;&gt;"",MONTH(DATEVALUE('Customers Raw data'!F349)),"")</f>
        <v/>
      </c>
      <c r="J349">
        <f>YEAR(DATEVALUE('Customers Raw data'!B349))</f>
        <v>2025</v>
      </c>
      <c r="K349">
        <f>MONTH(DATEVALUE('Customers Raw data'!B349))</f>
        <v>6</v>
      </c>
      <c r="L349">
        <f ca="1">IF('Customers Raw data'!F349&lt;&gt;"",DATEDIF(DATEVALUE('Customers Raw data'!B349),DATEVALUE('Customers Raw data'!F349),"M"),DATEDIF(DATEVALUE('Customers Raw data'!B349),TODAY(),"M"))</f>
        <v>9</v>
      </c>
      <c r="M349">
        <f t="shared" ca="1" si="25"/>
        <v>4500</v>
      </c>
      <c r="N349">
        <f t="shared" si="26"/>
        <v>3</v>
      </c>
      <c r="O349">
        <f t="shared" ca="1" si="27"/>
        <v>0</v>
      </c>
      <c r="P349">
        <f t="shared" si="28"/>
        <v>0</v>
      </c>
      <c r="Q349" t="e">
        <f t="shared" si="29"/>
        <v>#VALUE!</v>
      </c>
    </row>
    <row r="350" spans="1:17" ht="15" customHeight="1" x14ac:dyDescent="0.25">
      <c r="A350">
        <f>'Customers Raw data'!A350</f>
        <v>1349</v>
      </c>
      <c r="B350" t="str">
        <f>'Customers Raw data'!B350</f>
        <v>2024-05-01</v>
      </c>
      <c r="C350" t="str">
        <f>'Customers Raw data'!C350</f>
        <v>Pro</v>
      </c>
      <c r="D350">
        <f>'Customers Raw data'!D350</f>
        <v>200</v>
      </c>
      <c r="E350">
        <f>'Customers Raw data'!E350</f>
        <v>100</v>
      </c>
      <c r="F350">
        <f>'Customers Raw data'!F350</f>
        <v>0</v>
      </c>
      <c r="G350">
        <f>IF('Customers Raw data'!F350&lt;&gt;"",1,0)</f>
        <v>0</v>
      </c>
      <c r="H350" t="str">
        <f>IF('Customers Raw data'!F350&lt;&gt;"",YEAR(DATEVALUE('Customers Raw data'!F350)),"")</f>
        <v/>
      </c>
      <c r="I350" t="str">
        <f>IF('Customers Raw data'!F350&lt;&gt;"",MONTH(DATEVALUE('Customers Raw data'!F350)),"")</f>
        <v/>
      </c>
      <c r="J350">
        <f>YEAR(DATEVALUE('Customers Raw data'!B350))</f>
        <v>2024</v>
      </c>
      <c r="K350">
        <f>MONTH(DATEVALUE('Customers Raw data'!B350))</f>
        <v>5</v>
      </c>
      <c r="L350">
        <f ca="1">IF('Customers Raw data'!F350&lt;&gt;"",DATEDIF(DATEVALUE('Customers Raw data'!B350),DATEVALUE('Customers Raw data'!F350),"M"),DATEDIF(DATEVALUE('Customers Raw data'!B350),TODAY(),"M"))</f>
        <v>23</v>
      </c>
      <c r="M350">
        <f t="shared" ca="1" si="25"/>
        <v>4600</v>
      </c>
      <c r="N350">
        <f t="shared" si="26"/>
        <v>2</v>
      </c>
      <c r="O350">
        <f t="shared" ca="1" si="27"/>
        <v>0</v>
      </c>
      <c r="P350">
        <f t="shared" si="28"/>
        <v>0</v>
      </c>
      <c r="Q350" t="e">
        <f t="shared" si="29"/>
        <v>#VALUE!</v>
      </c>
    </row>
    <row r="351" spans="1:17" ht="15" customHeight="1" x14ac:dyDescent="0.25">
      <c r="A351">
        <f>'Customers Raw data'!A351</f>
        <v>1350</v>
      </c>
      <c r="B351" t="str">
        <f>'Customers Raw data'!B351</f>
        <v>2024-11-16</v>
      </c>
      <c r="C351" t="str">
        <f>'Customers Raw data'!C351</f>
        <v>Pro</v>
      </c>
      <c r="D351">
        <f>'Customers Raw data'!D351</f>
        <v>200</v>
      </c>
      <c r="E351">
        <f>'Customers Raw data'!E351</f>
        <v>100</v>
      </c>
      <c r="F351">
        <f>'Customers Raw data'!F351</f>
        <v>0</v>
      </c>
      <c r="G351">
        <f>IF('Customers Raw data'!F351&lt;&gt;"",1,0)</f>
        <v>0</v>
      </c>
      <c r="H351" t="str">
        <f>IF('Customers Raw data'!F351&lt;&gt;"",YEAR(DATEVALUE('Customers Raw data'!F351)),"")</f>
        <v/>
      </c>
      <c r="I351" t="str">
        <f>IF('Customers Raw data'!F351&lt;&gt;"",MONTH(DATEVALUE('Customers Raw data'!F351)),"")</f>
        <v/>
      </c>
      <c r="J351">
        <f>YEAR(DATEVALUE('Customers Raw data'!B351))</f>
        <v>2024</v>
      </c>
      <c r="K351">
        <f>MONTH(DATEVALUE('Customers Raw data'!B351))</f>
        <v>11</v>
      </c>
      <c r="L351">
        <f ca="1">IF('Customers Raw data'!F351&lt;&gt;"",DATEDIF(DATEVALUE('Customers Raw data'!B351),DATEVALUE('Customers Raw data'!F351),"M"),DATEDIF(DATEVALUE('Customers Raw data'!B351),TODAY(),"M"))</f>
        <v>16</v>
      </c>
      <c r="M351">
        <f t="shared" ca="1" si="25"/>
        <v>3200</v>
      </c>
      <c r="N351">
        <f t="shared" si="26"/>
        <v>2</v>
      </c>
      <c r="O351">
        <f t="shared" ca="1" si="27"/>
        <v>0</v>
      </c>
      <c r="P351">
        <f t="shared" si="28"/>
        <v>0</v>
      </c>
      <c r="Q351" t="e">
        <f t="shared" si="29"/>
        <v>#VALUE!</v>
      </c>
    </row>
    <row r="352" spans="1:17" ht="15" customHeight="1" x14ac:dyDescent="0.25">
      <c r="A352">
        <f>'Customers Raw data'!A352</f>
        <v>1351</v>
      </c>
      <c r="B352" t="str">
        <f>'Customers Raw data'!B352</f>
        <v>2024-09-01</v>
      </c>
      <c r="C352" t="str">
        <f>'Customers Raw data'!C352</f>
        <v>Enterprise</v>
      </c>
      <c r="D352">
        <f>'Customers Raw data'!D352</f>
        <v>500</v>
      </c>
      <c r="E352">
        <f>'Customers Raw data'!E352</f>
        <v>200</v>
      </c>
      <c r="F352">
        <f>'Customers Raw data'!F352</f>
        <v>0</v>
      </c>
      <c r="G352">
        <f>IF('Customers Raw data'!F352&lt;&gt;"",1,0)</f>
        <v>0</v>
      </c>
      <c r="H352" t="str">
        <f>IF('Customers Raw data'!F352&lt;&gt;"",YEAR(DATEVALUE('Customers Raw data'!F352)),"")</f>
        <v/>
      </c>
      <c r="I352" t="str">
        <f>IF('Customers Raw data'!F352&lt;&gt;"",MONTH(DATEVALUE('Customers Raw data'!F352)),"")</f>
        <v/>
      </c>
      <c r="J352">
        <f>YEAR(DATEVALUE('Customers Raw data'!B352))</f>
        <v>2024</v>
      </c>
      <c r="K352">
        <f>MONTH(DATEVALUE('Customers Raw data'!B352))</f>
        <v>9</v>
      </c>
      <c r="L352">
        <f ca="1">IF('Customers Raw data'!F352&lt;&gt;"",DATEDIF(DATEVALUE('Customers Raw data'!B352),DATEVALUE('Customers Raw data'!F352),"M"),DATEDIF(DATEVALUE('Customers Raw data'!B352),TODAY(),"M"))</f>
        <v>19</v>
      </c>
      <c r="M352">
        <f t="shared" ca="1" si="25"/>
        <v>9500</v>
      </c>
      <c r="N352">
        <f t="shared" si="26"/>
        <v>3</v>
      </c>
      <c r="O352">
        <f t="shared" ca="1" si="27"/>
        <v>0</v>
      </c>
      <c r="P352">
        <f t="shared" si="28"/>
        <v>0</v>
      </c>
      <c r="Q352" t="e">
        <f t="shared" si="29"/>
        <v>#VALUE!</v>
      </c>
    </row>
    <row r="353" spans="1:17" ht="15" customHeight="1" x14ac:dyDescent="0.25">
      <c r="A353">
        <f>'Customers Raw data'!A353</f>
        <v>1352</v>
      </c>
      <c r="B353" t="str">
        <f>'Customers Raw data'!B353</f>
        <v>2024-02-21</v>
      </c>
      <c r="C353" t="str">
        <f>'Customers Raw data'!C353</f>
        <v>Enterprise</v>
      </c>
      <c r="D353">
        <f>'Customers Raw data'!D353</f>
        <v>500</v>
      </c>
      <c r="E353">
        <f>'Customers Raw data'!E353</f>
        <v>200</v>
      </c>
      <c r="F353" t="str">
        <f>'Customers Raw data'!F353</f>
        <v>2024-10-26</v>
      </c>
      <c r="G353">
        <f>IF('Customers Raw data'!F353&lt;&gt;"",1,0)</f>
        <v>1</v>
      </c>
      <c r="H353">
        <f>IF('Customers Raw data'!F353&lt;&gt;"",YEAR(DATEVALUE('Customers Raw data'!F353)),"")</f>
        <v>2024</v>
      </c>
      <c r="I353">
        <f>IF('Customers Raw data'!F353&lt;&gt;"",MONTH(DATEVALUE('Customers Raw data'!F353)),"")</f>
        <v>10</v>
      </c>
      <c r="J353">
        <f>YEAR(DATEVALUE('Customers Raw data'!B353))</f>
        <v>2024</v>
      </c>
      <c r="K353">
        <f>MONTH(DATEVALUE('Customers Raw data'!B353))</f>
        <v>2</v>
      </c>
      <c r="L353">
        <f ca="1">IF('Customers Raw data'!F353&lt;&gt;"",DATEDIF(DATEVALUE('Customers Raw data'!B353),DATEVALUE('Customers Raw data'!F353),"M"),DATEDIF(DATEVALUE('Customers Raw data'!B353),TODAY(),"M"))</f>
        <v>8</v>
      </c>
      <c r="M353">
        <f t="shared" ca="1" si="25"/>
        <v>4000</v>
      </c>
      <c r="N353">
        <f t="shared" si="26"/>
        <v>3</v>
      </c>
      <c r="O353">
        <f t="shared" ca="1" si="27"/>
        <v>0</v>
      </c>
      <c r="P353">
        <f t="shared" si="28"/>
        <v>500</v>
      </c>
      <c r="Q353" t="str">
        <f t="shared" si="29"/>
        <v>2024-10</v>
      </c>
    </row>
    <row r="354" spans="1:17" ht="15" customHeight="1" x14ac:dyDescent="0.25">
      <c r="A354">
        <f>'Customers Raw data'!A354</f>
        <v>1353</v>
      </c>
      <c r="B354" t="str">
        <f>'Customers Raw data'!B354</f>
        <v>2024-07-29</v>
      </c>
      <c r="C354" t="str">
        <f>'Customers Raw data'!C354</f>
        <v>Enterprise</v>
      </c>
      <c r="D354">
        <f>'Customers Raw data'!D354</f>
        <v>500</v>
      </c>
      <c r="E354">
        <f>'Customers Raw data'!E354</f>
        <v>200</v>
      </c>
      <c r="F354">
        <f>'Customers Raw data'!F354</f>
        <v>0</v>
      </c>
      <c r="G354">
        <f>IF('Customers Raw data'!F354&lt;&gt;"",1,0)</f>
        <v>0</v>
      </c>
      <c r="H354" t="str">
        <f>IF('Customers Raw data'!F354&lt;&gt;"",YEAR(DATEVALUE('Customers Raw data'!F354)),"")</f>
        <v/>
      </c>
      <c r="I354" t="str">
        <f>IF('Customers Raw data'!F354&lt;&gt;"",MONTH(DATEVALUE('Customers Raw data'!F354)),"")</f>
        <v/>
      </c>
      <c r="J354">
        <f>YEAR(DATEVALUE('Customers Raw data'!B354))</f>
        <v>2024</v>
      </c>
      <c r="K354">
        <f>MONTH(DATEVALUE('Customers Raw data'!B354))</f>
        <v>7</v>
      </c>
      <c r="L354">
        <f ca="1">IF('Customers Raw data'!F354&lt;&gt;"",DATEDIF(DATEVALUE('Customers Raw data'!B354),DATEVALUE('Customers Raw data'!F354),"M"),DATEDIF(DATEVALUE('Customers Raw data'!B354),TODAY(),"M"))</f>
        <v>20</v>
      </c>
      <c r="M354">
        <f t="shared" ca="1" si="25"/>
        <v>10000</v>
      </c>
      <c r="N354">
        <f t="shared" si="26"/>
        <v>3</v>
      </c>
      <c r="O354">
        <f t="shared" ca="1" si="27"/>
        <v>0</v>
      </c>
      <c r="P354">
        <f t="shared" si="28"/>
        <v>0</v>
      </c>
      <c r="Q354" t="e">
        <f t="shared" si="29"/>
        <v>#VALUE!</v>
      </c>
    </row>
    <row r="355" spans="1:17" ht="15" customHeight="1" x14ac:dyDescent="0.25">
      <c r="A355">
        <f>'Customers Raw data'!A355</f>
        <v>1354</v>
      </c>
      <c r="B355" t="str">
        <f>'Customers Raw data'!B355</f>
        <v>2024-07-05</v>
      </c>
      <c r="C355" t="str">
        <f>'Customers Raw data'!C355</f>
        <v>Enterprise</v>
      </c>
      <c r="D355">
        <f>'Customers Raw data'!D355</f>
        <v>500</v>
      </c>
      <c r="E355">
        <f>'Customers Raw data'!E355</f>
        <v>200</v>
      </c>
      <c r="F355">
        <f>'Customers Raw data'!F355</f>
        <v>0</v>
      </c>
      <c r="G355">
        <f>IF('Customers Raw data'!F355&lt;&gt;"",1,0)</f>
        <v>0</v>
      </c>
      <c r="H355" t="str">
        <f>IF('Customers Raw data'!F355&lt;&gt;"",YEAR(DATEVALUE('Customers Raw data'!F355)),"")</f>
        <v/>
      </c>
      <c r="I355" t="str">
        <f>IF('Customers Raw data'!F355&lt;&gt;"",MONTH(DATEVALUE('Customers Raw data'!F355)),"")</f>
        <v/>
      </c>
      <c r="J355">
        <f>YEAR(DATEVALUE('Customers Raw data'!B355))</f>
        <v>2024</v>
      </c>
      <c r="K355">
        <f>MONTH(DATEVALUE('Customers Raw data'!B355))</f>
        <v>7</v>
      </c>
      <c r="L355">
        <f ca="1">IF('Customers Raw data'!F355&lt;&gt;"",DATEDIF(DATEVALUE('Customers Raw data'!B355),DATEVALUE('Customers Raw data'!F355),"M"),DATEDIF(DATEVALUE('Customers Raw data'!B355),TODAY(),"M"))</f>
        <v>21</v>
      </c>
      <c r="M355">
        <f t="shared" ca="1" si="25"/>
        <v>10500</v>
      </c>
      <c r="N355">
        <f t="shared" si="26"/>
        <v>3</v>
      </c>
      <c r="O355">
        <f t="shared" ca="1" si="27"/>
        <v>0</v>
      </c>
      <c r="P355">
        <f t="shared" si="28"/>
        <v>0</v>
      </c>
      <c r="Q355" t="e">
        <f t="shared" si="29"/>
        <v>#VALUE!</v>
      </c>
    </row>
    <row r="356" spans="1:17" ht="15" customHeight="1" x14ac:dyDescent="0.25">
      <c r="A356">
        <f>'Customers Raw data'!A356</f>
        <v>1355</v>
      </c>
      <c r="B356" t="str">
        <f>'Customers Raw data'!B356</f>
        <v>2024-12-04</v>
      </c>
      <c r="C356" t="str">
        <f>'Customers Raw data'!C356</f>
        <v>Enterprise</v>
      </c>
      <c r="D356">
        <f>'Customers Raw data'!D356</f>
        <v>500</v>
      </c>
      <c r="E356">
        <f>'Customers Raw data'!E356</f>
        <v>200</v>
      </c>
      <c r="F356" t="str">
        <f>'Customers Raw data'!F356</f>
        <v>2025-03-04</v>
      </c>
      <c r="G356">
        <f>IF('Customers Raw data'!F356&lt;&gt;"",1,0)</f>
        <v>1</v>
      </c>
      <c r="H356">
        <f>IF('Customers Raw data'!F356&lt;&gt;"",YEAR(DATEVALUE('Customers Raw data'!F356)),"")</f>
        <v>2025</v>
      </c>
      <c r="I356">
        <f>IF('Customers Raw data'!F356&lt;&gt;"",MONTH(DATEVALUE('Customers Raw data'!F356)),"")</f>
        <v>3</v>
      </c>
      <c r="J356">
        <f>YEAR(DATEVALUE('Customers Raw data'!B356))</f>
        <v>2024</v>
      </c>
      <c r="K356">
        <f>MONTH(DATEVALUE('Customers Raw data'!B356))</f>
        <v>12</v>
      </c>
      <c r="L356">
        <f ca="1">IF('Customers Raw data'!F356&lt;&gt;"",DATEDIF(DATEVALUE('Customers Raw data'!B356),DATEVALUE('Customers Raw data'!F356),"M"),DATEDIF(DATEVALUE('Customers Raw data'!B356),TODAY(),"M"))</f>
        <v>3</v>
      </c>
      <c r="M356">
        <f t="shared" ca="1" si="25"/>
        <v>1500</v>
      </c>
      <c r="N356">
        <f t="shared" si="26"/>
        <v>3</v>
      </c>
      <c r="O356">
        <f t="shared" ca="1" si="27"/>
        <v>1</v>
      </c>
      <c r="P356">
        <f t="shared" si="28"/>
        <v>500</v>
      </c>
      <c r="Q356" t="str">
        <f t="shared" si="29"/>
        <v>2025-03</v>
      </c>
    </row>
    <row r="357" spans="1:17" ht="15" customHeight="1" x14ac:dyDescent="0.25">
      <c r="A357">
        <f>'Customers Raw data'!A357</f>
        <v>1356</v>
      </c>
      <c r="B357" t="str">
        <f>'Customers Raw data'!B357</f>
        <v>2024-12-28</v>
      </c>
      <c r="C357" t="str">
        <f>'Customers Raw data'!C357</f>
        <v>Pro</v>
      </c>
      <c r="D357">
        <f>'Customers Raw data'!D357</f>
        <v>200</v>
      </c>
      <c r="E357">
        <f>'Customers Raw data'!E357</f>
        <v>100</v>
      </c>
      <c r="F357">
        <f>'Customers Raw data'!F357</f>
        <v>0</v>
      </c>
      <c r="G357">
        <f>IF('Customers Raw data'!F357&lt;&gt;"",1,0)</f>
        <v>0</v>
      </c>
      <c r="H357" t="str">
        <f>IF('Customers Raw data'!F357&lt;&gt;"",YEAR(DATEVALUE('Customers Raw data'!F357)),"")</f>
        <v/>
      </c>
      <c r="I357" t="str">
        <f>IF('Customers Raw data'!F357&lt;&gt;"",MONTH(DATEVALUE('Customers Raw data'!F357)),"")</f>
        <v/>
      </c>
      <c r="J357">
        <f>YEAR(DATEVALUE('Customers Raw data'!B357))</f>
        <v>2024</v>
      </c>
      <c r="K357">
        <f>MONTH(DATEVALUE('Customers Raw data'!B357))</f>
        <v>12</v>
      </c>
      <c r="L357">
        <f ca="1">IF('Customers Raw data'!F357&lt;&gt;"",DATEDIF(DATEVALUE('Customers Raw data'!B357),DATEVALUE('Customers Raw data'!F357),"M"),DATEDIF(DATEVALUE('Customers Raw data'!B357),TODAY(),"M"))</f>
        <v>15</v>
      </c>
      <c r="M357">
        <f t="shared" ca="1" si="25"/>
        <v>3000</v>
      </c>
      <c r="N357">
        <f t="shared" si="26"/>
        <v>2</v>
      </c>
      <c r="O357">
        <f t="shared" ca="1" si="27"/>
        <v>0</v>
      </c>
      <c r="P357">
        <f t="shared" si="28"/>
        <v>0</v>
      </c>
      <c r="Q357" t="e">
        <f t="shared" si="29"/>
        <v>#VALUE!</v>
      </c>
    </row>
    <row r="358" spans="1:17" ht="15" customHeight="1" x14ac:dyDescent="0.25">
      <c r="A358">
        <f>'Customers Raw data'!A358</f>
        <v>1357</v>
      </c>
      <c r="B358" t="str">
        <f>'Customers Raw data'!B358</f>
        <v>2025-03-08</v>
      </c>
      <c r="C358" t="str">
        <f>'Customers Raw data'!C358</f>
        <v>Enterprise</v>
      </c>
      <c r="D358">
        <f>'Customers Raw data'!D358</f>
        <v>500</v>
      </c>
      <c r="E358">
        <f>'Customers Raw data'!E358</f>
        <v>200</v>
      </c>
      <c r="F358">
        <f>'Customers Raw data'!F358</f>
        <v>0</v>
      </c>
      <c r="G358">
        <f>IF('Customers Raw data'!F358&lt;&gt;"",1,0)</f>
        <v>0</v>
      </c>
      <c r="H358" t="str">
        <f>IF('Customers Raw data'!F358&lt;&gt;"",YEAR(DATEVALUE('Customers Raw data'!F358)),"")</f>
        <v/>
      </c>
      <c r="I358" t="str">
        <f>IF('Customers Raw data'!F358&lt;&gt;"",MONTH(DATEVALUE('Customers Raw data'!F358)),"")</f>
        <v/>
      </c>
      <c r="J358">
        <f>YEAR(DATEVALUE('Customers Raw data'!B358))</f>
        <v>2025</v>
      </c>
      <c r="K358">
        <f>MONTH(DATEVALUE('Customers Raw data'!B358))</f>
        <v>3</v>
      </c>
      <c r="L358">
        <f ca="1">IF('Customers Raw data'!F358&lt;&gt;"",DATEDIF(DATEVALUE('Customers Raw data'!B358),DATEVALUE('Customers Raw data'!F358),"M"),DATEDIF(DATEVALUE('Customers Raw data'!B358),TODAY(),"M"))</f>
        <v>12</v>
      </c>
      <c r="M358">
        <f t="shared" ca="1" si="25"/>
        <v>6000</v>
      </c>
      <c r="N358">
        <f t="shared" si="26"/>
        <v>3</v>
      </c>
      <c r="O358">
        <f t="shared" ca="1" si="27"/>
        <v>0</v>
      </c>
      <c r="P358">
        <f t="shared" si="28"/>
        <v>0</v>
      </c>
      <c r="Q358" t="e">
        <f t="shared" si="29"/>
        <v>#VALUE!</v>
      </c>
    </row>
    <row r="359" spans="1:17" ht="15" customHeight="1" x14ac:dyDescent="0.25">
      <c r="A359">
        <f>'Customers Raw data'!A359</f>
        <v>1358</v>
      </c>
      <c r="B359" t="str">
        <f>'Customers Raw data'!B359</f>
        <v>2024-06-16</v>
      </c>
      <c r="C359" t="str">
        <f>'Customers Raw data'!C359</f>
        <v>Enterprise</v>
      </c>
      <c r="D359">
        <f>'Customers Raw data'!D359</f>
        <v>500</v>
      </c>
      <c r="E359">
        <f>'Customers Raw data'!E359</f>
        <v>200</v>
      </c>
      <c r="F359" t="str">
        <f>'Customers Raw data'!F359</f>
        <v>2025-03-22</v>
      </c>
      <c r="G359">
        <f>IF('Customers Raw data'!F359&lt;&gt;"",1,0)</f>
        <v>1</v>
      </c>
      <c r="H359">
        <f>IF('Customers Raw data'!F359&lt;&gt;"",YEAR(DATEVALUE('Customers Raw data'!F359)),"")</f>
        <v>2025</v>
      </c>
      <c r="I359">
        <f>IF('Customers Raw data'!F359&lt;&gt;"",MONTH(DATEVALUE('Customers Raw data'!F359)),"")</f>
        <v>3</v>
      </c>
      <c r="J359">
        <f>YEAR(DATEVALUE('Customers Raw data'!B359))</f>
        <v>2024</v>
      </c>
      <c r="K359">
        <f>MONTH(DATEVALUE('Customers Raw data'!B359))</f>
        <v>6</v>
      </c>
      <c r="L359">
        <f ca="1">IF('Customers Raw data'!F359&lt;&gt;"",DATEDIF(DATEVALUE('Customers Raw data'!B359),DATEVALUE('Customers Raw data'!F359),"M"),DATEDIF(DATEVALUE('Customers Raw data'!B359),TODAY(),"M"))</f>
        <v>9</v>
      </c>
      <c r="M359">
        <f t="shared" ca="1" si="25"/>
        <v>4500</v>
      </c>
      <c r="N359">
        <f t="shared" si="26"/>
        <v>3</v>
      </c>
      <c r="O359">
        <f t="shared" ca="1" si="27"/>
        <v>0</v>
      </c>
      <c r="P359">
        <f t="shared" si="28"/>
        <v>500</v>
      </c>
      <c r="Q359" t="str">
        <f t="shared" si="29"/>
        <v>2025-03</v>
      </c>
    </row>
    <row r="360" spans="1:17" ht="15" customHeight="1" x14ac:dyDescent="0.25">
      <c r="A360">
        <f>'Customers Raw data'!A360</f>
        <v>1359</v>
      </c>
      <c r="B360" t="str">
        <f>'Customers Raw data'!B360</f>
        <v>2025-04-24</v>
      </c>
      <c r="C360" t="str">
        <f>'Customers Raw data'!C360</f>
        <v>Basic</v>
      </c>
      <c r="D360">
        <f>'Customers Raw data'!D360</f>
        <v>50</v>
      </c>
      <c r="E360">
        <f>'Customers Raw data'!E360</f>
        <v>30</v>
      </c>
      <c r="F360" t="str">
        <f>'Customers Raw data'!F360</f>
        <v>2025-06-25</v>
      </c>
      <c r="G360">
        <f>IF('Customers Raw data'!F360&lt;&gt;"",1,0)</f>
        <v>1</v>
      </c>
      <c r="H360">
        <f>IF('Customers Raw data'!F360&lt;&gt;"",YEAR(DATEVALUE('Customers Raw data'!F360)),"")</f>
        <v>2025</v>
      </c>
      <c r="I360">
        <f>IF('Customers Raw data'!F360&lt;&gt;"",MONTH(DATEVALUE('Customers Raw data'!F360)),"")</f>
        <v>6</v>
      </c>
      <c r="J360">
        <f>YEAR(DATEVALUE('Customers Raw data'!B360))</f>
        <v>2025</v>
      </c>
      <c r="K360">
        <f>MONTH(DATEVALUE('Customers Raw data'!B360))</f>
        <v>4</v>
      </c>
      <c r="L360">
        <f ca="1">IF('Customers Raw data'!F360&lt;&gt;"",DATEDIF(DATEVALUE('Customers Raw data'!B360),DATEVALUE('Customers Raw data'!F360),"M"),DATEDIF(DATEVALUE('Customers Raw data'!B360),TODAY(),"M"))</f>
        <v>2</v>
      </c>
      <c r="M360">
        <f t="shared" ca="1" si="25"/>
        <v>100</v>
      </c>
      <c r="N360">
        <f t="shared" si="26"/>
        <v>1</v>
      </c>
      <c r="O360">
        <f t="shared" ca="1" si="27"/>
        <v>1</v>
      </c>
      <c r="P360">
        <f t="shared" si="28"/>
        <v>50</v>
      </c>
      <c r="Q360" t="str">
        <f t="shared" si="29"/>
        <v>2025-06</v>
      </c>
    </row>
    <row r="361" spans="1:17" ht="15" customHeight="1" x14ac:dyDescent="0.25">
      <c r="A361">
        <f>'Customers Raw data'!A361</f>
        <v>1360</v>
      </c>
      <c r="B361" t="str">
        <f>'Customers Raw data'!B361</f>
        <v>2024-01-23</v>
      </c>
      <c r="C361" t="str">
        <f>'Customers Raw data'!C361</f>
        <v>Basic</v>
      </c>
      <c r="D361">
        <f>'Customers Raw data'!D361</f>
        <v>50</v>
      </c>
      <c r="E361">
        <f>'Customers Raw data'!E361</f>
        <v>30</v>
      </c>
      <c r="F361">
        <f>'Customers Raw data'!F361</f>
        <v>0</v>
      </c>
      <c r="G361">
        <f>IF('Customers Raw data'!F361&lt;&gt;"",1,0)</f>
        <v>0</v>
      </c>
      <c r="H361" t="str">
        <f>IF('Customers Raw data'!F361&lt;&gt;"",YEAR(DATEVALUE('Customers Raw data'!F361)),"")</f>
        <v/>
      </c>
      <c r="I361" t="str">
        <f>IF('Customers Raw data'!F361&lt;&gt;"",MONTH(DATEVALUE('Customers Raw data'!F361)),"")</f>
        <v/>
      </c>
      <c r="J361">
        <f>YEAR(DATEVALUE('Customers Raw data'!B361))</f>
        <v>2024</v>
      </c>
      <c r="K361">
        <f>MONTH(DATEVALUE('Customers Raw data'!B361))</f>
        <v>1</v>
      </c>
      <c r="L361">
        <f ca="1">IF('Customers Raw data'!F361&lt;&gt;"",DATEDIF(DATEVALUE('Customers Raw data'!B361),DATEVALUE('Customers Raw data'!F361),"M"),DATEDIF(DATEVALUE('Customers Raw data'!B361),TODAY(),"M"))</f>
        <v>26</v>
      </c>
      <c r="M361">
        <f t="shared" ca="1" si="25"/>
        <v>1300</v>
      </c>
      <c r="N361">
        <f t="shared" si="26"/>
        <v>1</v>
      </c>
      <c r="O361">
        <f t="shared" ca="1" si="27"/>
        <v>0</v>
      </c>
      <c r="P361">
        <f t="shared" si="28"/>
        <v>0</v>
      </c>
      <c r="Q361" t="e">
        <f t="shared" si="29"/>
        <v>#VALUE!</v>
      </c>
    </row>
    <row r="362" spans="1:17" ht="15" customHeight="1" x14ac:dyDescent="0.25">
      <c r="A362">
        <f>'Customers Raw data'!A362</f>
        <v>1361</v>
      </c>
      <c r="B362" t="str">
        <f>'Customers Raw data'!B362</f>
        <v>2025-06-28</v>
      </c>
      <c r="C362" t="str">
        <f>'Customers Raw data'!C362</f>
        <v>Enterprise</v>
      </c>
      <c r="D362">
        <f>'Customers Raw data'!D362</f>
        <v>500</v>
      </c>
      <c r="E362">
        <f>'Customers Raw data'!E362</f>
        <v>200</v>
      </c>
      <c r="F362">
        <f>'Customers Raw data'!F362</f>
        <v>0</v>
      </c>
      <c r="G362">
        <f>IF('Customers Raw data'!F362&lt;&gt;"",1,0)</f>
        <v>0</v>
      </c>
      <c r="H362" t="str">
        <f>IF('Customers Raw data'!F362&lt;&gt;"",YEAR(DATEVALUE('Customers Raw data'!F362)),"")</f>
        <v/>
      </c>
      <c r="I362" t="str">
        <f>IF('Customers Raw data'!F362&lt;&gt;"",MONTH(DATEVALUE('Customers Raw data'!F362)),"")</f>
        <v/>
      </c>
      <c r="J362">
        <f>YEAR(DATEVALUE('Customers Raw data'!B362))</f>
        <v>2025</v>
      </c>
      <c r="K362">
        <f>MONTH(DATEVALUE('Customers Raw data'!B362))</f>
        <v>6</v>
      </c>
      <c r="L362">
        <f ca="1">IF('Customers Raw data'!F362&lt;&gt;"",DATEDIF(DATEVALUE('Customers Raw data'!B362),DATEVALUE('Customers Raw data'!F362),"M"),DATEDIF(DATEVALUE('Customers Raw data'!B362),TODAY(),"M"))</f>
        <v>9</v>
      </c>
      <c r="M362">
        <f t="shared" ca="1" si="25"/>
        <v>4500</v>
      </c>
      <c r="N362">
        <f t="shared" si="26"/>
        <v>3</v>
      </c>
      <c r="O362">
        <f t="shared" ca="1" si="27"/>
        <v>0</v>
      </c>
      <c r="P362">
        <f t="shared" si="28"/>
        <v>0</v>
      </c>
      <c r="Q362" t="e">
        <f t="shared" si="29"/>
        <v>#VALUE!</v>
      </c>
    </row>
    <row r="363" spans="1:17" ht="15" customHeight="1" x14ac:dyDescent="0.25">
      <c r="A363">
        <f>'Customers Raw data'!A363</f>
        <v>1362</v>
      </c>
      <c r="B363" t="str">
        <f>'Customers Raw data'!B363</f>
        <v>2025-05-07</v>
      </c>
      <c r="C363" t="str">
        <f>'Customers Raw data'!C363</f>
        <v>Enterprise</v>
      </c>
      <c r="D363">
        <f>'Customers Raw data'!D363</f>
        <v>500</v>
      </c>
      <c r="E363">
        <f>'Customers Raw data'!E363</f>
        <v>200</v>
      </c>
      <c r="F363">
        <f>'Customers Raw data'!F363</f>
        <v>0</v>
      </c>
      <c r="G363">
        <f>IF('Customers Raw data'!F363&lt;&gt;"",1,0)</f>
        <v>0</v>
      </c>
      <c r="H363" t="str">
        <f>IF('Customers Raw data'!F363&lt;&gt;"",YEAR(DATEVALUE('Customers Raw data'!F363)),"")</f>
        <v/>
      </c>
      <c r="I363" t="str">
        <f>IF('Customers Raw data'!F363&lt;&gt;"",MONTH(DATEVALUE('Customers Raw data'!F363)),"")</f>
        <v/>
      </c>
      <c r="J363">
        <f>YEAR(DATEVALUE('Customers Raw data'!B363))</f>
        <v>2025</v>
      </c>
      <c r="K363">
        <f>MONTH(DATEVALUE('Customers Raw data'!B363))</f>
        <v>5</v>
      </c>
      <c r="L363">
        <f ca="1">IF('Customers Raw data'!F363&lt;&gt;"",DATEDIF(DATEVALUE('Customers Raw data'!B363),DATEVALUE('Customers Raw data'!F363),"M"),DATEDIF(DATEVALUE('Customers Raw data'!B363),TODAY(),"M"))</f>
        <v>11</v>
      </c>
      <c r="M363">
        <f t="shared" ca="1" si="25"/>
        <v>5500</v>
      </c>
      <c r="N363">
        <f t="shared" si="26"/>
        <v>3</v>
      </c>
      <c r="O363">
        <f t="shared" ca="1" si="27"/>
        <v>0</v>
      </c>
      <c r="P363">
        <f t="shared" si="28"/>
        <v>0</v>
      </c>
      <c r="Q363" t="e">
        <f t="shared" si="29"/>
        <v>#VALUE!</v>
      </c>
    </row>
    <row r="364" spans="1:17" ht="15" customHeight="1" x14ac:dyDescent="0.25">
      <c r="A364">
        <f>'Customers Raw data'!A364</f>
        <v>1363</v>
      </c>
      <c r="B364" t="str">
        <f>'Customers Raw data'!B364</f>
        <v>2024-04-06</v>
      </c>
      <c r="C364" t="str">
        <f>'Customers Raw data'!C364</f>
        <v>Pro</v>
      </c>
      <c r="D364">
        <f>'Customers Raw data'!D364</f>
        <v>200</v>
      </c>
      <c r="E364">
        <f>'Customers Raw data'!E364</f>
        <v>100</v>
      </c>
      <c r="F364">
        <f>'Customers Raw data'!F364</f>
        <v>0</v>
      </c>
      <c r="G364">
        <f>IF('Customers Raw data'!F364&lt;&gt;"",1,0)</f>
        <v>0</v>
      </c>
      <c r="H364" t="str">
        <f>IF('Customers Raw data'!F364&lt;&gt;"",YEAR(DATEVALUE('Customers Raw data'!F364)),"")</f>
        <v/>
      </c>
      <c r="I364" t="str">
        <f>IF('Customers Raw data'!F364&lt;&gt;"",MONTH(DATEVALUE('Customers Raw data'!F364)),"")</f>
        <v/>
      </c>
      <c r="J364">
        <f>YEAR(DATEVALUE('Customers Raw data'!B364))</f>
        <v>2024</v>
      </c>
      <c r="K364">
        <f>MONTH(DATEVALUE('Customers Raw data'!B364))</f>
        <v>4</v>
      </c>
      <c r="L364">
        <f ca="1">IF('Customers Raw data'!F364&lt;&gt;"",DATEDIF(DATEVALUE('Customers Raw data'!B364),DATEVALUE('Customers Raw data'!F364),"M"),DATEDIF(DATEVALUE('Customers Raw data'!B364),TODAY(),"M"))</f>
        <v>24</v>
      </c>
      <c r="M364">
        <f t="shared" ca="1" si="25"/>
        <v>4800</v>
      </c>
      <c r="N364">
        <f t="shared" si="26"/>
        <v>2</v>
      </c>
      <c r="O364">
        <f t="shared" ca="1" si="27"/>
        <v>0</v>
      </c>
      <c r="P364">
        <f t="shared" si="28"/>
        <v>0</v>
      </c>
      <c r="Q364" t="e">
        <f t="shared" si="29"/>
        <v>#VALUE!</v>
      </c>
    </row>
    <row r="365" spans="1:17" ht="15" customHeight="1" x14ac:dyDescent="0.25">
      <c r="A365">
        <f>'Customers Raw data'!A365</f>
        <v>1364</v>
      </c>
      <c r="B365" t="str">
        <f>'Customers Raw data'!B365</f>
        <v>2025-06-26</v>
      </c>
      <c r="C365" t="str">
        <f>'Customers Raw data'!C365</f>
        <v>Basic</v>
      </c>
      <c r="D365">
        <f>'Customers Raw data'!D365</f>
        <v>50</v>
      </c>
      <c r="E365">
        <f>'Customers Raw data'!E365</f>
        <v>30</v>
      </c>
      <c r="F365">
        <f>'Customers Raw data'!F365</f>
        <v>0</v>
      </c>
      <c r="G365">
        <f>IF('Customers Raw data'!F365&lt;&gt;"",1,0)</f>
        <v>0</v>
      </c>
      <c r="H365" t="str">
        <f>IF('Customers Raw data'!F365&lt;&gt;"",YEAR(DATEVALUE('Customers Raw data'!F365)),"")</f>
        <v/>
      </c>
      <c r="I365" t="str">
        <f>IF('Customers Raw data'!F365&lt;&gt;"",MONTH(DATEVALUE('Customers Raw data'!F365)),"")</f>
        <v/>
      </c>
      <c r="J365">
        <f>YEAR(DATEVALUE('Customers Raw data'!B365))</f>
        <v>2025</v>
      </c>
      <c r="K365">
        <f>MONTH(DATEVALUE('Customers Raw data'!B365))</f>
        <v>6</v>
      </c>
      <c r="L365">
        <f ca="1">IF('Customers Raw data'!F365&lt;&gt;"",DATEDIF(DATEVALUE('Customers Raw data'!B365),DATEVALUE('Customers Raw data'!F365),"M"),DATEDIF(DATEVALUE('Customers Raw data'!B365),TODAY(),"M"))</f>
        <v>9</v>
      </c>
      <c r="M365">
        <f t="shared" ca="1" si="25"/>
        <v>450</v>
      </c>
      <c r="N365">
        <f t="shared" si="26"/>
        <v>1</v>
      </c>
      <c r="O365">
        <f t="shared" ca="1" si="27"/>
        <v>0</v>
      </c>
      <c r="P365">
        <f t="shared" si="28"/>
        <v>0</v>
      </c>
      <c r="Q365" t="e">
        <f t="shared" si="29"/>
        <v>#VALUE!</v>
      </c>
    </row>
    <row r="366" spans="1:17" ht="15" customHeight="1" x14ac:dyDescent="0.25">
      <c r="A366">
        <f>'Customers Raw data'!A366</f>
        <v>1365</v>
      </c>
      <c r="B366" t="str">
        <f>'Customers Raw data'!B366</f>
        <v>2025-04-03</v>
      </c>
      <c r="C366" t="str">
        <f>'Customers Raw data'!C366</f>
        <v>Pro</v>
      </c>
      <c r="D366">
        <f>'Customers Raw data'!D366</f>
        <v>200</v>
      </c>
      <c r="E366">
        <f>'Customers Raw data'!E366</f>
        <v>100</v>
      </c>
      <c r="F366">
        <f>'Customers Raw data'!F366</f>
        <v>0</v>
      </c>
      <c r="G366">
        <f>IF('Customers Raw data'!F366&lt;&gt;"",1,0)</f>
        <v>0</v>
      </c>
      <c r="H366" t="str">
        <f>IF('Customers Raw data'!F366&lt;&gt;"",YEAR(DATEVALUE('Customers Raw data'!F366)),"")</f>
        <v/>
      </c>
      <c r="I366" t="str">
        <f>IF('Customers Raw data'!F366&lt;&gt;"",MONTH(DATEVALUE('Customers Raw data'!F366)),"")</f>
        <v/>
      </c>
      <c r="J366">
        <f>YEAR(DATEVALUE('Customers Raw data'!B366))</f>
        <v>2025</v>
      </c>
      <c r="K366">
        <f>MONTH(DATEVALUE('Customers Raw data'!B366))</f>
        <v>4</v>
      </c>
      <c r="L366">
        <f ca="1">IF('Customers Raw data'!F366&lt;&gt;"",DATEDIF(DATEVALUE('Customers Raw data'!B366),DATEVALUE('Customers Raw data'!F366),"M"),DATEDIF(DATEVALUE('Customers Raw data'!B366),TODAY(),"M"))</f>
        <v>12</v>
      </c>
      <c r="M366">
        <f t="shared" ca="1" si="25"/>
        <v>2400</v>
      </c>
      <c r="N366">
        <f t="shared" si="26"/>
        <v>2</v>
      </c>
      <c r="O366">
        <f t="shared" ca="1" si="27"/>
        <v>0</v>
      </c>
      <c r="P366">
        <f t="shared" si="28"/>
        <v>0</v>
      </c>
      <c r="Q366" t="e">
        <f t="shared" si="29"/>
        <v>#VALUE!</v>
      </c>
    </row>
    <row r="367" spans="1:17" ht="15" customHeight="1" x14ac:dyDescent="0.25">
      <c r="A367">
        <f>'Customers Raw data'!A367</f>
        <v>1366</v>
      </c>
      <c r="B367" t="str">
        <f>'Customers Raw data'!B367</f>
        <v>2024-02-29</v>
      </c>
      <c r="C367" t="str">
        <f>'Customers Raw data'!C367</f>
        <v>Basic</v>
      </c>
      <c r="D367">
        <f>'Customers Raw data'!D367</f>
        <v>50</v>
      </c>
      <c r="E367">
        <f>'Customers Raw data'!E367</f>
        <v>30</v>
      </c>
      <c r="F367">
        <f>'Customers Raw data'!F367</f>
        <v>0</v>
      </c>
      <c r="G367">
        <f>IF('Customers Raw data'!F367&lt;&gt;"",1,0)</f>
        <v>0</v>
      </c>
      <c r="H367" t="str">
        <f>IF('Customers Raw data'!F367&lt;&gt;"",YEAR(DATEVALUE('Customers Raw data'!F367)),"")</f>
        <v/>
      </c>
      <c r="I367" t="str">
        <f>IF('Customers Raw data'!F367&lt;&gt;"",MONTH(DATEVALUE('Customers Raw data'!F367)),"")</f>
        <v/>
      </c>
      <c r="J367">
        <f>YEAR(DATEVALUE('Customers Raw data'!B367))</f>
        <v>2024</v>
      </c>
      <c r="K367">
        <f>MONTH(DATEVALUE('Customers Raw data'!B367))</f>
        <v>2</v>
      </c>
      <c r="L367">
        <f ca="1">IF('Customers Raw data'!F367&lt;&gt;"",DATEDIF(DATEVALUE('Customers Raw data'!B367),DATEVALUE('Customers Raw data'!F367),"M"),DATEDIF(DATEVALUE('Customers Raw data'!B367),TODAY(),"M"))</f>
        <v>25</v>
      </c>
      <c r="M367">
        <f t="shared" ca="1" si="25"/>
        <v>1250</v>
      </c>
      <c r="N367">
        <f t="shared" si="26"/>
        <v>1</v>
      </c>
      <c r="O367">
        <f t="shared" ca="1" si="27"/>
        <v>0</v>
      </c>
      <c r="P367">
        <f t="shared" si="28"/>
        <v>0</v>
      </c>
      <c r="Q367" t="e">
        <f t="shared" si="29"/>
        <v>#VALUE!</v>
      </c>
    </row>
    <row r="368" spans="1:17" ht="15" customHeight="1" x14ac:dyDescent="0.25">
      <c r="A368">
        <f>'Customers Raw data'!A368</f>
        <v>1367</v>
      </c>
      <c r="B368" t="str">
        <f>'Customers Raw data'!B368</f>
        <v>2025-01-14</v>
      </c>
      <c r="C368" t="str">
        <f>'Customers Raw data'!C368</f>
        <v>Pro</v>
      </c>
      <c r="D368">
        <f>'Customers Raw data'!D368</f>
        <v>200</v>
      </c>
      <c r="E368">
        <f>'Customers Raw data'!E368</f>
        <v>100</v>
      </c>
      <c r="F368">
        <f>'Customers Raw data'!F368</f>
        <v>0</v>
      </c>
      <c r="G368">
        <f>IF('Customers Raw data'!F368&lt;&gt;"",1,0)</f>
        <v>0</v>
      </c>
      <c r="H368" t="str">
        <f>IF('Customers Raw data'!F368&lt;&gt;"",YEAR(DATEVALUE('Customers Raw data'!F368)),"")</f>
        <v/>
      </c>
      <c r="I368" t="str">
        <f>IF('Customers Raw data'!F368&lt;&gt;"",MONTH(DATEVALUE('Customers Raw data'!F368)),"")</f>
        <v/>
      </c>
      <c r="J368">
        <f>YEAR(DATEVALUE('Customers Raw data'!B368))</f>
        <v>2025</v>
      </c>
      <c r="K368">
        <f>MONTH(DATEVALUE('Customers Raw data'!B368))</f>
        <v>1</v>
      </c>
      <c r="L368">
        <f ca="1">IF('Customers Raw data'!F368&lt;&gt;"",DATEDIF(DATEVALUE('Customers Raw data'!B368),DATEVALUE('Customers Raw data'!F368),"M"),DATEDIF(DATEVALUE('Customers Raw data'!B368),TODAY(),"M"))</f>
        <v>14</v>
      </c>
      <c r="M368">
        <f t="shared" ca="1" si="25"/>
        <v>2800</v>
      </c>
      <c r="N368">
        <f t="shared" si="26"/>
        <v>2</v>
      </c>
      <c r="O368">
        <f t="shared" ca="1" si="27"/>
        <v>0</v>
      </c>
      <c r="P368">
        <f t="shared" si="28"/>
        <v>0</v>
      </c>
      <c r="Q368" t="e">
        <f t="shared" si="29"/>
        <v>#VALUE!</v>
      </c>
    </row>
    <row r="369" spans="1:17" ht="15" customHeight="1" x14ac:dyDescent="0.25">
      <c r="A369">
        <f>'Customers Raw data'!A369</f>
        <v>1368</v>
      </c>
      <c r="B369" t="str">
        <f>'Customers Raw data'!B369</f>
        <v>2024-12-10</v>
      </c>
      <c r="C369" t="str">
        <f>'Customers Raw data'!C369</f>
        <v>Basic</v>
      </c>
      <c r="D369">
        <f>'Customers Raw data'!D369</f>
        <v>50</v>
      </c>
      <c r="E369">
        <f>'Customers Raw data'!E369</f>
        <v>30</v>
      </c>
      <c r="F369">
        <f>'Customers Raw data'!F369</f>
        <v>0</v>
      </c>
      <c r="G369">
        <f>IF('Customers Raw data'!F369&lt;&gt;"",1,0)</f>
        <v>0</v>
      </c>
      <c r="H369" t="str">
        <f>IF('Customers Raw data'!F369&lt;&gt;"",YEAR(DATEVALUE('Customers Raw data'!F369)),"")</f>
        <v/>
      </c>
      <c r="I369" t="str">
        <f>IF('Customers Raw data'!F369&lt;&gt;"",MONTH(DATEVALUE('Customers Raw data'!F369)),"")</f>
        <v/>
      </c>
      <c r="J369">
        <f>YEAR(DATEVALUE('Customers Raw data'!B369))</f>
        <v>2024</v>
      </c>
      <c r="K369">
        <f>MONTH(DATEVALUE('Customers Raw data'!B369))</f>
        <v>12</v>
      </c>
      <c r="L369">
        <f ca="1">IF('Customers Raw data'!F369&lt;&gt;"",DATEDIF(DATEVALUE('Customers Raw data'!B369),DATEVALUE('Customers Raw data'!F369),"M"),DATEDIF(DATEVALUE('Customers Raw data'!B369),TODAY(),"M"))</f>
        <v>15</v>
      </c>
      <c r="M369">
        <f t="shared" ca="1" si="25"/>
        <v>750</v>
      </c>
      <c r="N369">
        <f t="shared" si="26"/>
        <v>1</v>
      </c>
      <c r="O369">
        <f t="shared" ca="1" si="27"/>
        <v>0</v>
      </c>
      <c r="P369">
        <f t="shared" si="28"/>
        <v>0</v>
      </c>
      <c r="Q369" t="e">
        <f t="shared" si="29"/>
        <v>#VALUE!</v>
      </c>
    </row>
    <row r="370" spans="1:17" ht="15" customHeight="1" x14ac:dyDescent="0.25">
      <c r="A370">
        <f>'Customers Raw data'!A370</f>
        <v>1369</v>
      </c>
      <c r="B370" t="str">
        <f>'Customers Raw data'!B370</f>
        <v>2024-08-22</v>
      </c>
      <c r="C370" t="str">
        <f>'Customers Raw data'!C370</f>
        <v>Pro</v>
      </c>
      <c r="D370">
        <f>'Customers Raw data'!D370</f>
        <v>200</v>
      </c>
      <c r="E370">
        <f>'Customers Raw data'!E370</f>
        <v>100</v>
      </c>
      <c r="F370">
        <f>'Customers Raw data'!F370</f>
        <v>0</v>
      </c>
      <c r="G370">
        <f>IF('Customers Raw data'!F370&lt;&gt;"",1,0)</f>
        <v>0</v>
      </c>
      <c r="H370" t="str">
        <f>IF('Customers Raw data'!F370&lt;&gt;"",YEAR(DATEVALUE('Customers Raw data'!F370)),"")</f>
        <v/>
      </c>
      <c r="I370" t="str">
        <f>IF('Customers Raw data'!F370&lt;&gt;"",MONTH(DATEVALUE('Customers Raw data'!F370)),"")</f>
        <v/>
      </c>
      <c r="J370">
        <f>YEAR(DATEVALUE('Customers Raw data'!B370))</f>
        <v>2024</v>
      </c>
      <c r="K370">
        <f>MONTH(DATEVALUE('Customers Raw data'!B370))</f>
        <v>8</v>
      </c>
      <c r="L370">
        <f ca="1">IF('Customers Raw data'!F370&lt;&gt;"",DATEDIF(DATEVALUE('Customers Raw data'!B370),DATEVALUE('Customers Raw data'!F370),"M"),DATEDIF(DATEVALUE('Customers Raw data'!B370),TODAY(),"M"))</f>
        <v>19</v>
      </c>
      <c r="M370">
        <f t="shared" ca="1" si="25"/>
        <v>3800</v>
      </c>
      <c r="N370">
        <f t="shared" si="26"/>
        <v>2</v>
      </c>
      <c r="O370">
        <f t="shared" ca="1" si="27"/>
        <v>0</v>
      </c>
      <c r="P370">
        <f t="shared" si="28"/>
        <v>0</v>
      </c>
      <c r="Q370" t="e">
        <f t="shared" si="29"/>
        <v>#VALUE!</v>
      </c>
    </row>
    <row r="371" spans="1:17" ht="15" customHeight="1" x14ac:dyDescent="0.25">
      <c r="A371">
        <f>'Customers Raw data'!A371</f>
        <v>1370</v>
      </c>
      <c r="B371" t="str">
        <f>'Customers Raw data'!B371</f>
        <v>2024-11-14</v>
      </c>
      <c r="C371" t="str">
        <f>'Customers Raw data'!C371</f>
        <v>Pro</v>
      </c>
      <c r="D371">
        <f>'Customers Raw data'!D371</f>
        <v>200</v>
      </c>
      <c r="E371">
        <f>'Customers Raw data'!E371</f>
        <v>100</v>
      </c>
      <c r="F371">
        <f>'Customers Raw data'!F371</f>
        <v>0</v>
      </c>
      <c r="G371">
        <f>IF('Customers Raw data'!F371&lt;&gt;"",1,0)</f>
        <v>0</v>
      </c>
      <c r="H371" t="str">
        <f>IF('Customers Raw data'!F371&lt;&gt;"",YEAR(DATEVALUE('Customers Raw data'!F371)),"")</f>
        <v/>
      </c>
      <c r="I371" t="str">
        <f>IF('Customers Raw data'!F371&lt;&gt;"",MONTH(DATEVALUE('Customers Raw data'!F371)),"")</f>
        <v/>
      </c>
      <c r="J371">
        <f>YEAR(DATEVALUE('Customers Raw data'!B371))</f>
        <v>2024</v>
      </c>
      <c r="K371">
        <f>MONTH(DATEVALUE('Customers Raw data'!B371))</f>
        <v>11</v>
      </c>
      <c r="L371">
        <f ca="1">IF('Customers Raw data'!F371&lt;&gt;"",DATEDIF(DATEVALUE('Customers Raw data'!B371),DATEVALUE('Customers Raw data'!F371),"M"),DATEDIF(DATEVALUE('Customers Raw data'!B371),TODAY(),"M"))</f>
        <v>16</v>
      </c>
      <c r="M371">
        <f t="shared" ca="1" si="25"/>
        <v>3200</v>
      </c>
      <c r="N371">
        <f t="shared" si="26"/>
        <v>2</v>
      </c>
      <c r="O371">
        <f t="shared" ca="1" si="27"/>
        <v>0</v>
      </c>
      <c r="P371">
        <f t="shared" si="28"/>
        <v>0</v>
      </c>
      <c r="Q371" t="e">
        <f t="shared" si="29"/>
        <v>#VALUE!</v>
      </c>
    </row>
    <row r="372" spans="1:17" ht="15" customHeight="1" x14ac:dyDescent="0.25">
      <c r="A372">
        <f>'Customers Raw data'!A372</f>
        <v>1371</v>
      </c>
      <c r="B372" t="str">
        <f>'Customers Raw data'!B372</f>
        <v>2024-06-01</v>
      </c>
      <c r="C372" t="str">
        <f>'Customers Raw data'!C372</f>
        <v>Enterprise</v>
      </c>
      <c r="D372">
        <f>'Customers Raw data'!D372</f>
        <v>500</v>
      </c>
      <c r="E372">
        <f>'Customers Raw data'!E372</f>
        <v>200</v>
      </c>
      <c r="F372">
        <f>'Customers Raw data'!F372</f>
        <v>0</v>
      </c>
      <c r="G372">
        <f>IF('Customers Raw data'!F372&lt;&gt;"",1,0)</f>
        <v>0</v>
      </c>
      <c r="H372" t="str">
        <f>IF('Customers Raw data'!F372&lt;&gt;"",YEAR(DATEVALUE('Customers Raw data'!F372)),"")</f>
        <v/>
      </c>
      <c r="I372" t="str">
        <f>IF('Customers Raw data'!F372&lt;&gt;"",MONTH(DATEVALUE('Customers Raw data'!F372)),"")</f>
        <v/>
      </c>
      <c r="J372">
        <f>YEAR(DATEVALUE('Customers Raw data'!B372))</f>
        <v>2024</v>
      </c>
      <c r="K372">
        <f>MONTH(DATEVALUE('Customers Raw data'!B372))</f>
        <v>6</v>
      </c>
      <c r="L372">
        <f ca="1">IF('Customers Raw data'!F372&lt;&gt;"",DATEDIF(DATEVALUE('Customers Raw data'!B372),DATEVALUE('Customers Raw data'!F372),"M"),DATEDIF(DATEVALUE('Customers Raw data'!B372),TODAY(),"M"))</f>
        <v>22</v>
      </c>
      <c r="M372">
        <f t="shared" ca="1" si="25"/>
        <v>11000</v>
      </c>
      <c r="N372">
        <f t="shared" si="26"/>
        <v>3</v>
      </c>
      <c r="O372">
        <f t="shared" ca="1" si="27"/>
        <v>0</v>
      </c>
      <c r="P372">
        <f t="shared" si="28"/>
        <v>0</v>
      </c>
      <c r="Q372" t="e">
        <f t="shared" si="29"/>
        <v>#VALUE!</v>
      </c>
    </row>
    <row r="373" spans="1:17" ht="15" customHeight="1" x14ac:dyDescent="0.25">
      <c r="A373">
        <f>'Customers Raw data'!A373</f>
        <v>1372</v>
      </c>
      <c r="B373" t="str">
        <f>'Customers Raw data'!B373</f>
        <v>2025-05-29</v>
      </c>
      <c r="C373" t="str">
        <f>'Customers Raw data'!C373</f>
        <v>Basic</v>
      </c>
      <c r="D373">
        <f>'Customers Raw data'!D373</f>
        <v>50</v>
      </c>
      <c r="E373">
        <f>'Customers Raw data'!E373</f>
        <v>30</v>
      </c>
      <c r="F373">
        <f>'Customers Raw data'!F373</f>
        <v>0</v>
      </c>
      <c r="G373">
        <f>IF('Customers Raw data'!F373&lt;&gt;"",1,0)</f>
        <v>0</v>
      </c>
      <c r="H373" t="str">
        <f>IF('Customers Raw data'!F373&lt;&gt;"",YEAR(DATEVALUE('Customers Raw data'!F373)),"")</f>
        <v/>
      </c>
      <c r="I373" t="str">
        <f>IF('Customers Raw data'!F373&lt;&gt;"",MONTH(DATEVALUE('Customers Raw data'!F373)),"")</f>
        <v/>
      </c>
      <c r="J373">
        <f>YEAR(DATEVALUE('Customers Raw data'!B373))</f>
        <v>2025</v>
      </c>
      <c r="K373">
        <f>MONTH(DATEVALUE('Customers Raw data'!B373))</f>
        <v>5</v>
      </c>
      <c r="L373">
        <f ca="1">IF('Customers Raw data'!F373&lt;&gt;"",DATEDIF(DATEVALUE('Customers Raw data'!B373),DATEVALUE('Customers Raw data'!F373),"M"),DATEDIF(DATEVALUE('Customers Raw data'!B373),TODAY(),"M"))</f>
        <v>10</v>
      </c>
      <c r="M373">
        <f t="shared" ca="1" si="25"/>
        <v>500</v>
      </c>
      <c r="N373">
        <f t="shared" si="26"/>
        <v>1</v>
      </c>
      <c r="O373">
        <f t="shared" ca="1" si="27"/>
        <v>0</v>
      </c>
      <c r="P373">
        <f t="shared" si="28"/>
        <v>0</v>
      </c>
      <c r="Q373" t="e">
        <f t="shared" si="29"/>
        <v>#VALUE!</v>
      </c>
    </row>
    <row r="374" spans="1:17" ht="15" customHeight="1" x14ac:dyDescent="0.25">
      <c r="A374">
        <f>'Customers Raw data'!A374</f>
        <v>1373</v>
      </c>
      <c r="B374" t="str">
        <f>'Customers Raw data'!B374</f>
        <v>2024-02-08</v>
      </c>
      <c r="C374" t="str">
        <f>'Customers Raw data'!C374</f>
        <v>Enterprise</v>
      </c>
      <c r="D374">
        <f>'Customers Raw data'!D374</f>
        <v>500</v>
      </c>
      <c r="E374">
        <f>'Customers Raw data'!E374</f>
        <v>200</v>
      </c>
      <c r="F374">
        <f>'Customers Raw data'!F374</f>
        <v>0</v>
      </c>
      <c r="G374">
        <f>IF('Customers Raw data'!F374&lt;&gt;"",1,0)</f>
        <v>0</v>
      </c>
      <c r="H374" t="str">
        <f>IF('Customers Raw data'!F374&lt;&gt;"",YEAR(DATEVALUE('Customers Raw data'!F374)),"")</f>
        <v/>
      </c>
      <c r="I374" t="str">
        <f>IF('Customers Raw data'!F374&lt;&gt;"",MONTH(DATEVALUE('Customers Raw data'!F374)),"")</f>
        <v/>
      </c>
      <c r="J374">
        <f>YEAR(DATEVALUE('Customers Raw data'!B374))</f>
        <v>2024</v>
      </c>
      <c r="K374">
        <f>MONTH(DATEVALUE('Customers Raw data'!B374))</f>
        <v>2</v>
      </c>
      <c r="L374">
        <f ca="1">IF('Customers Raw data'!F374&lt;&gt;"",DATEDIF(DATEVALUE('Customers Raw data'!B374),DATEVALUE('Customers Raw data'!F374),"M"),DATEDIF(DATEVALUE('Customers Raw data'!B374),TODAY(),"M"))</f>
        <v>25</v>
      </c>
      <c r="M374">
        <f t="shared" ca="1" si="25"/>
        <v>12500</v>
      </c>
      <c r="N374">
        <f t="shared" si="26"/>
        <v>3</v>
      </c>
      <c r="O374">
        <f t="shared" ca="1" si="27"/>
        <v>0</v>
      </c>
      <c r="P374">
        <f t="shared" si="28"/>
        <v>0</v>
      </c>
      <c r="Q374" t="e">
        <f t="shared" si="29"/>
        <v>#VALUE!</v>
      </c>
    </row>
    <row r="375" spans="1:17" ht="15" customHeight="1" x14ac:dyDescent="0.25">
      <c r="A375">
        <f>'Customers Raw data'!A375</f>
        <v>1374</v>
      </c>
      <c r="B375" t="str">
        <f>'Customers Raw data'!B375</f>
        <v>2024-10-24</v>
      </c>
      <c r="C375" t="str">
        <f>'Customers Raw data'!C375</f>
        <v>Basic</v>
      </c>
      <c r="D375">
        <f>'Customers Raw data'!D375</f>
        <v>50</v>
      </c>
      <c r="E375">
        <f>'Customers Raw data'!E375</f>
        <v>30</v>
      </c>
      <c r="F375">
        <f>'Customers Raw data'!F375</f>
        <v>0</v>
      </c>
      <c r="G375">
        <f>IF('Customers Raw data'!F375&lt;&gt;"",1,0)</f>
        <v>0</v>
      </c>
      <c r="H375" t="str">
        <f>IF('Customers Raw data'!F375&lt;&gt;"",YEAR(DATEVALUE('Customers Raw data'!F375)),"")</f>
        <v/>
      </c>
      <c r="I375" t="str">
        <f>IF('Customers Raw data'!F375&lt;&gt;"",MONTH(DATEVALUE('Customers Raw data'!F375)),"")</f>
        <v/>
      </c>
      <c r="J375">
        <f>YEAR(DATEVALUE('Customers Raw data'!B375))</f>
        <v>2024</v>
      </c>
      <c r="K375">
        <f>MONTH(DATEVALUE('Customers Raw data'!B375))</f>
        <v>10</v>
      </c>
      <c r="L375">
        <f ca="1">IF('Customers Raw data'!F375&lt;&gt;"",DATEDIF(DATEVALUE('Customers Raw data'!B375),DATEVALUE('Customers Raw data'!F375),"M"),DATEDIF(DATEVALUE('Customers Raw data'!B375),TODAY(),"M"))</f>
        <v>17</v>
      </c>
      <c r="M375">
        <f t="shared" ca="1" si="25"/>
        <v>850</v>
      </c>
      <c r="N375">
        <f t="shared" si="26"/>
        <v>1</v>
      </c>
      <c r="O375">
        <f t="shared" ca="1" si="27"/>
        <v>0</v>
      </c>
      <c r="P375">
        <f t="shared" si="28"/>
        <v>0</v>
      </c>
      <c r="Q375" t="e">
        <f t="shared" si="29"/>
        <v>#VALUE!</v>
      </c>
    </row>
    <row r="376" spans="1:17" ht="15" customHeight="1" x14ac:dyDescent="0.25">
      <c r="A376">
        <f>'Customers Raw data'!A376</f>
        <v>1375</v>
      </c>
      <c r="B376" t="str">
        <f>'Customers Raw data'!B376</f>
        <v>2024-06-21</v>
      </c>
      <c r="C376" t="str">
        <f>'Customers Raw data'!C376</f>
        <v>Basic</v>
      </c>
      <c r="D376">
        <f>'Customers Raw data'!D376</f>
        <v>50</v>
      </c>
      <c r="E376">
        <f>'Customers Raw data'!E376</f>
        <v>30</v>
      </c>
      <c r="F376">
        <f>'Customers Raw data'!F376</f>
        <v>0</v>
      </c>
      <c r="G376">
        <f>IF('Customers Raw data'!F376&lt;&gt;"",1,0)</f>
        <v>0</v>
      </c>
      <c r="H376" t="str">
        <f>IF('Customers Raw data'!F376&lt;&gt;"",YEAR(DATEVALUE('Customers Raw data'!F376)),"")</f>
        <v/>
      </c>
      <c r="I376" t="str">
        <f>IF('Customers Raw data'!F376&lt;&gt;"",MONTH(DATEVALUE('Customers Raw data'!F376)),"")</f>
        <v/>
      </c>
      <c r="J376">
        <f>YEAR(DATEVALUE('Customers Raw data'!B376))</f>
        <v>2024</v>
      </c>
      <c r="K376">
        <f>MONTH(DATEVALUE('Customers Raw data'!B376))</f>
        <v>6</v>
      </c>
      <c r="L376">
        <f ca="1">IF('Customers Raw data'!F376&lt;&gt;"",DATEDIF(DATEVALUE('Customers Raw data'!B376),DATEVALUE('Customers Raw data'!F376),"M"),DATEDIF(DATEVALUE('Customers Raw data'!B376),TODAY(),"M"))</f>
        <v>21</v>
      </c>
      <c r="M376">
        <f t="shared" ca="1" si="25"/>
        <v>1050</v>
      </c>
      <c r="N376">
        <f t="shared" si="26"/>
        <v>1</v>
      </c>
      <c r="O376">
        <f t="shared" ca="1" si="27"/>
        <v>0</v>
      </c>
      <c r="P376">
        <f t="shared" si="28"/>
        <v>0</v>
      </c>
      <c r="Q376" t="e">
        <f t="shared" si="29"/>
        <v>#VALUE!</v>
      </c>
    </row>
    <row r="377" spans="1:17" ht="15" customHeight="1" x14ac:dyDescent="0.25">
      <c r="A377">
        <f>'Customers Raw data'!A377</f>
        <v>1376</v>
      </c>
      <c r="B377" t="str">
        <f>'Customers Raw data'!B377</f>
        <v>2024-12-01</v>
      </c>
      <c r="C377" t="str">
        <f>'Customers Raw data'!C377</f>
        <v>Enterprise</v>
      </c>
      <c r="D377">
        <f>'Customers Raw data'!D377</f>
        <v>500</v>
      </c>
      <c r="E377">
        <f>'Customers Raw data'!E377</f>
        <v>200</v>
      </c>
      <c r="F377">
        <f>'Customers Raw data'!F377</f>
        <v>0</v>
      </c>
      <c r="G377">
        <f>IF('Customers Raw data'!F377&lt;&gt;"",1,0)</f>
        <v>0</v>
      </c>
      <c r="H377" t="str">
        <f>IF('Customers Raw data'!F377&lt;&gt;"",YEAR(DATEVALUE('Customers Raw data'!F377)),"")</f>
        <v/>
      </c>
      <c r="I377" t="str">
        <f>IF('Customers Raw data'!F377&lt;&gt;"",MONTH(DATEVALUE('Customers Raw data'!F377)),"")</f>
        <v/>
      </c>
      <c r="J377">
        <f>YEAR(DATEVALUE('Customers Raw data'!B377))</f>
        <v>2024</v>
      </c>
      <c r="K377">
        <f>MONTH(DATEVALUE('Customers Raw data'!B377))</f>
        <v>12</v>
      </c>
      <c r="L377">
        <f ca="1">IF('Customers Raw data'!F377&lt;&gt;"",DATEDIF(DATEVALUE('Customers Raw data'!B377),DATEVALUE('Customers Raw data'!F377),"M"),DATEDIF(DATEVALUE('Customers Raw data'!B377),TODAY(),"M"))</f>
        <v>16</v>
      </c>
      <c r="M377">
        <f t="shared" ca="1" si="25"/>
        <v>8000</v>
      </c>
      <c r="N377">
        <f t="shared" si="26"/>
        <v>3</v>
      </c>
      <c r="O377">
        <f t="shared" ca="1" si="27"/>
        <v>0</v>
      </c>
      <c r="P377">
        <f t="shared" si="28"/>
        <v>0</v>
      </c>
      <c r="Q377" t="e">
        <f t="shared" si="29"/>
        <v>#VALUE!</v>
      </c>
    </row>
    <row r="378" spans="1:17" ht="15" customHeight="1" x14ac:dyDescent="0.25">
      <c r="A378">
        <f>'Customers Raw data'!A378</f>
        <v>1377</v>
      </c>
      <c r="B378" t="str">
        <f>'Customers Raw data'!B378</f>
        <v>2025-03-07</v>
      </c>
      <c r="C378" t="str">
        <f>'Customers Raw data'!C378</f>
        <v>Enterprise</v>
      </c>
      <c r="D378">
        <f>'Customers Raw data'!D378</f>
        <v>500</v>
      </c>
      <c r="E378">
        <f>'Customers Raw data'!E378</f>
        <v>200</v>
      </c>
      <c r="F378">
        <f>'Customers Raw data'!F378</f>
        <v>0</v>
      </c>
      <c r="G378">
        <f>IF('Customers Raw data'!F378&lt;&gt;"",1,0)</f>
        <v>0</v>
      </c>
      <c r="H378" t="str">
        <f>IF('Customers Raw data'!F378&lt;&gt;"",YEAR(DATEVALUE('Customers Raw data'!F378)),"")</f>
        <v/>
      </c>
      <c r="I378" t="str">
        <f>IF('Customers Raw data'!F378&lt;&gt;"",MONTH(DATEVALUE('Customers Raw data'!F378)),"")</f>
        <v/>
      </c>
      <c r="J378">
        <f>YEAR(DATEVALUE('Customers Raw data'!B378))</f>
        <v>2025</v>
      </c>
      <c r="K378">
        <f>MONTH(DATEVALUE('Customers Raw data'!B378))</f>
        <v>3</v>
      </c>
      <c r="L378">
        <f ca="1">IF('Customers Raw data'!F378&lt;&gt;"",DATEDIF(DATEVALUE('Customers Raw data'!B378),DATEVALUE('Customers Raw data'!F378),"M"),DATEDIF(DATEVALUE('Customers Raw data'!B378),TODAY(),"M"))</f>
        <v>13</v>
      </c>
      <c r="M378">
        <f t="shared" ca="1" si="25"/>
        <v>6500</v>
      </c>
      <c r="N378">
        <f t="shared" si="26"/>
        <v>3</v>
      </c>
      <c r="O378">
        <f t="shared" ca="1" si="27"/>
        <v>0</v>
      </c>
      <c r="P378">
        <f t="shared" si="28"/>
        <v>0</v>
      </c>
      <c r="Q378" t="e">
        <f t="shared" si="29"/>
        <v>#VALUE!</v>
      </c>
    </row>
    <row r="379" spans="1:17" ht="15" customHeight="1" x14ac:dyDescent="0.25">
      <c r="A379">
        <f>'Customers Raw data'!A379</f>
        <v>1378</v>
      </c>
      <c r="B379" t="str">
        <f>'Customers Raw data'!B379</f>
        <v>2025-05-15</v>
      </c>
      <c r="C379" t="str">
        <f>'Customers Raw data'!C379</f>
        <v>Pro</v>
      </c>
      <c r="D379">
        <f>'Customers Raw data'!D379</f>
        <v>200</v>
      </c>
      <c r="E379">
        <f>'Customers Raw data'!E379</f>
        <v>100</v>
      </c>
      <c r="F379">
        <f>'Customers Raw data'!F379</f>
        <v>0</v>
      </c>
      <c r="G379">
        <f>IF('Customers Raw data'!F379&lt;&gt;"",1,0)</f>
        <v>0</v>
      </c>
      <c r="H379" t="str">
        <f>IF('Customers Raw data'!F379&lt;&gt;"",YEAR(DATEVALUE('Customers Raw data'!F379)),"")</f>
        <v/>
      </c>
      <c r="I379" t="str">
        <f>IF('Customers Raw data'!F379&lt;&gt;"",MONTH(DATEVALUE('Customers Raw data'!F379)),"")</f>
        <v/>
      </c>
      <c r="J379">
        <f>YEAR(DATEVALUE('Customers Raw data'!B379))</f>
        <v>2025</v>
      </c>
      <c r="K379">
        <f>MONTH(DATEVALUE('Customers Raw data'!B379))</f>
        <v>5</v>
      </c>
      <c r="L379">
        <f ca="1">IF('Customers Raw data'!F379&lt;&gt;"",DATEDIF(DATEVALUE('Customers Raw data'!B379),DATEVALUE('Customers Raw data'!F379),"M"),DATEDIF(DATEVALUE('Customers Raw data'!B379),TODAY(),"M"))</f>
        <v>10</v>
      </c>
      <c r="M379">
        <f t="shared" ca="1" si="25"/>
        <v>2000</v>
      </c>
      <c r="N379">
        <f t="shared" si="26"/>
        <v>2</v>
      </c>
      <c r="O379">
        <f t="shared" ca="1" si="27"/>
        <v>0</v>
      </c>
      <c r="P379">
        <f t="shared" si="28"/>
        <v>0</v>
      </c>
      <c r="Q379" t="e">
        <f t="shared" si="29"/>
        <v>#VALUE!</v>
      </c>
    </row>
    <row r="380" spans="1:17" ht="15" customHeight="1" x14ac:dyDescent="0.25">
      <c r="A380">
        <f>'Customers Raw data'!A380</f>
        <v>1379</v>
      </c>
      <c r="B380" t="str">
        <f>'Customers Raw data'!B380</f>
        <v>2024-09-05</v>
      </c>
      <c r="C380" t="str">
        <f>'Customers Raw data'!C380</f>
        <v>Basic</v>
      </c>
      <c r="D380">
        <f>'Customers Raw data'!D380</f>
        <v>50</v>
      </c>
      <c r="E380">
        <f>'Customers Raw data'!E380</f>
        <v>30</v>
      </c>
      <c r="F380" t="str">
        <f>'Customers Raw data'!F380</f>
        <v>2025-02-11</v>
      </c>
      <c r="G380">
        <f>IF('Customers Raw data'!F380&lt;&gt;"",1,0)</f>
        <v>1</v>
      </c>
      <c r="H380">
        <f>IF('Customers Raw data'!F380&lt;&gt;"",YEAR(DATEVALUE('Customers Raw data'!F380)),"")</f>
        <v>2025</v>
      </c>
      <c r="I380">
        <f>IF('Customers Raw data'!F380&lt;&gt;"",MONTH(DATEVALUE('Customers Raw data'!F380)),"")</f>
        <v>2</v>
      </c>
      <c r="J380">
        <f>YEAR(DATEVALUE('Customers Raw data'!B380))</f>
        <v>2024</v>
      </c>
      <c r="K380">
        <f>MONTH(DATEVALUE('Customers Raw data'!B380))</f>
        <v>9</v>
      </c>
      <c r="L380">
        <f ca="1">IF('Customers Raw data'!F380&lt;&gt;"",DATEDIF(DATEVALUE('Customers Raw data'!B380),DATEVALUE('Customers Raw data'!F380),"M"),DATEDIF(DATEVALUE('Customers Raw data'!B380),TODAY(),"M"))</f>
        <v>5</v>
      </c>
      <c r="M380">
        <f t="shared" ca="1" si="25"/>
        <v>250</v>
      </c>
      <c r="N380">
        <f t="shared" si="26"/>
        <v>1</v>
      </c>
      <c r="O380">
        <f t="shared" ca="1" si="27"/>
        <v>1</v>
      </c>
      <c r="P380">
        <f t="shared" si="28"/>
        <v>50</v>
      </c>
      <c r="Q380" t="str">
        <f t="shared" si="29"/>
        <v>2025-02</v>
      </c>
    </row>
    <row r="381" spans="1:17" ht="15" customHeight="1" x14ac:dyDescent="0.25">
      <c r="A381">
        <f>'Customers Raw data'!A381</f>
        <v>1380</v>
      </c>
      <c r="B381" t="str">
        <f>'Customers Raw data'!B381</f>
        <v>2024-03-30</v>
      </c>
      <c r="C381" t="str">
        <f>'Customers Raw data'!C381</f>
        <v>Pro</v>
      </c>
      <c r="D381">
        <f>'Customers Raw data'!D381</f>
        <v>200</v>
      </c>
      <c r="E381">
        <f>'Customers Raw data'!E381</f>
        <v>100</v>
      </c>
      <c r="F381" t="str">
        <f>'Customers Raw data'!F381</f>
        <v>2025-05-28</v>
      </c>
      <c r="G381">
        <f>IF('Customers Raw data'!F381&lt;&gt;"",1,0)</f>
        <v>1</v>
      </c>
      <c r="H381">
        <f>IF('Customers Raw data'!F381&lt;&gt;"",YEAR(DATEVALUE('Customers Raw data'!F381)),"")</f>
        <v>2025</v>
      </c>
      <c r="I381">
        <f>IF('Customers Raw data'!F381&lt;&gt;"",MONTH(DATEVALUE('Customers Raw data'!F381)),"")</f>
        <v>5</v>
      </c>
      <c r="J381">
        <f>YEAR(DATEVALUE('Customers Raw data'!B381))</f>
        <v>2024</v>
      </c>
      <c r="K381">
        <f>MONTH(DATEVALUE('Customers Raw data'!B381))</f>
        <v>3</v>
      </c>
      <c r="L381">
        <f ca="1">IF('Customers Raw data'!F381&lt;&gt;"",DATEDIF(DATEVALUE('Customers Raw data'!B381),DATEVALUE('Customers Raw data'!F381),"M"),DATEDIF(DATEVALUE('Customers Raw data'!B381),TODAY(),"M"))</f>
        <v>13</v>
      </c>
      <c r="M381">
        <f t="shared" ca="1" si="25"/>
        <v>2600</v>
      </c>
      <c r="N381">
        <f t="shared" si="26"/>
        <v>2</v>
      </c>
      <c r="O381">
        <f t="shared" ca="1" si="27"/>
        <v>0</v>
      </c>
      <c r="P381">
        <f t="shared" si="28"/>
        <v>200</v>
      </c>
      <c r="Q381" t="str">
        <f t="shared" si="29"/>
        <v>2025-05</v>
      </c>
    </row>
    <row r="382" spans="1:17" ht="15" customHeight="1" x14ac:dyDescent="0.25">
      <c r="A382">
        <f>'Customers Raw data'!A382</f>
        <v>1381</v>
      </c>
      <c r="B382" t="str">
        <f>'Customers Raw data'!B382</f>
        <v>2025-05-05</v>
      </c>
      <c r="C382" t="str">
        <f>'Customers Raw data'!C382</f>
        <v>Basic</v>
      </c>
      <c r="D382">
        <f>'Customers Raw data'!D382</f>
        <v>50</v>
      </c>
      <c r="E382">
        <f>'Customers Raw data'!E382</f>
        <v>30</v>
      </c>
      <c r="F382">
        <f>'Customers Raw data'!F382</f>
        <v>0</v>
      </c>
      <c r="G382">
        <f>IF('Customers Raw data'!F382&lt;&gt;"",1,0)</f>
        <v>0</v>
      </c>
      <c r="H382" t="str">
        <f>IF('Customers Raw data'!F382&lt;&gt;"",YEAR(DATEVALUE('Customers Raw data'!F382)),"")</f>
        <v/>
      </c>
      <c r="I382" t="str">
        <f>IF('Customers Raw data'!F382&lt;&gt;"",MONTH(DATEVALUE('Customers Raw data'!F382)),"")</f>
        <v/>
      </c>
      <c r="J382">
        <f>YEAR(DATEVALUE('Customers Raw data'!B382))</f>
        <v>2025</v>
      </c>
      <c r="K382">
        <f>MONTH(DATEVALUE('Customers Raw data'!B382))</f>
        <v>5</v>
      </c>
      <c r="L382">
        <f ca="1">IF('Customers Raw data'!F382&lt;&gt;"",DATEDIF(DATEVALUE('Customers Raw data'!B382),DATEVALUE('Customers Raw data'!F382),"M"),DATEDIF(DATEVALUE('Customers Raw data'!B382),TODAY(),"M"))</f>
        <v>11</v>
      </c>
      <c r="M382">
        <f t="shared" ca="1" si="25"/>
        <v>550</v>
      </c>
      <c r="N382">
        <f t="shared" si="26"/>
        <v>1</v>
      </c>
      <c r="O382">
        <f t="shared" ca="1" si="27"/>
        <v>0</v>
      </c>
      <c r="P382">
        <f t="shared" si="28"/>
        <v>0</v>
      </c>
      <c r="Q382" t="e">
        <f t="shared" si="29"/>
        <v>#VALUE!</v>
      </c>
    </row>
    <row r="383" spans="1:17" ht="15" customHeight="1" x14ac:dyDescent="0.25">
      <c r="A383">
        <f>'Customers Raw data'!A383</f>
        <v>1382</v>
      </c>
      <c r="B383" t="str">
        <f>'Customers Raw data'!B383</f>
        <v>2025-04-08</v>
      </c>
      <c r="C383" t="str">
        <f>'Customers Raw data'!C383</f>
        <v>Pro</v>
      </c>
      <c r="D383">
        <f>'Customers Raw data'!D383</f>
        <v>200</v>
      </c>
      <c r="E383">
        <f>'Customers Raw data'!E383</f>
        <v>100</v>
      </c>
      <c r="F383" t="str">
        <f>'Customers Raw data'!F383</f>
        <v>2025-05-14</v>
      </c>
      <c r="G383">
        <f>IF('Customers Raw data'!F383&lt;&gt;"",1,0)</f>
        <v>1</v>
      </c>
      <c r="H383">
        <f>IF('Customers Raw data'!F383&lt;&gt;"",YEAR(DATEVALUE('Customers Raw data'!F383)),"")</f>
        <v>2025</v>
      </c>
      <c r="I383">
        <f>IF('Customers Raw data'!F383&lt;&gt;"",MONTH(DATEVALUE('Customers Raw data'!F383)),"")</f>
        <v>5</v>
      </c>
      <c r="J383">
        <f>YEAR(DATEVALUE('Customers Raw data'!B383))</f>
        <v>2025</v>
      </c>
      <c r="K383">
        <f>MONTH(DATEVALUE('Customers Raw data'!B383))</f>
        <v>4</v>
      </c>
      <c r="L383">
        <f ca="1">IF('Customers Raw data'!F383&lt;&gt;"",DATEDIF(DATEVALUE('Customers Raw data'!B383),DATEVALUE('Customers Raw data'!F383),"M"),DATEDIF(DATEVALUE('Customers Raw data'!B383),TODAY(),"M"))</f>
        <v>1</v>
      </c>
      <c r="M383">
        <f t="shared" ca="1" si="25"/>
        <v>200</v>
      </c>
      <c r="N383">
        <f t="shared" si="26"/>
        <v>2</v>
      </c>
      <c r="O383">
        <f t="shared" ca="1" si="27"/>
        <v>1</v>
      </c>
      <c r="P383">
        <f t="shared" si="28"/>
        <v>200</v>
      </c>
      <c r="Q383" t="str">
        <f t="shared" si="29"/>
        <v>2025-05</v>
      </c>
    </row>
    <row r="384" spans="1:17" ht="15" customHeight="1" x14ac:dyDescent="0.25">
      <c r="A384">
        <f>'Customers Raw data'!A384</f>
        <v>1383</v>
      </c>
      <c r="B384" t="str">
        <f>'Customers Raw data'!B384</f>
        <v>2024-05-15</v>
      </c>
      <c r="C384" t="str">
        <f>'Customers Raw data'!C384</f>
        <v>Basic</v>
      </c>
      <c r="D384">
        <f>'Customers Raw data'!D384</f>
        <v>50</v>
      </c>
      <c r="E384">
        <f>'Customers Raw data'!E384</f>
        <v>30</v>
      </c>
      <c r="F384">
        <f>'Customers Raw data'!F384</f>
        <v>0</v>
      </c>
      <c r="G384">
        <f>IF('Customers Raw data'!F384&lt;&gt;"",1,0)</f>
        <v>0</v>
      </c>
      <c r="H384" t="str">
        <f>IF('Customers Raw data'!F384&lt;&gt;"",YEAR(DATEVALUE('Customers Raw data'!F384)),"")</f>
        <v/>
      </c>
      <c r="I384" t="str">
        <f>IF('Customers Raw data'!F384&lt;&gt;"",MONTH(DATEVALUE('Customers Raw data'!F384)),"")</f>
        <v/>
      </c>
      <c r="J384">
        <f>YEAR(DATEVALUE('Customers Raw data'!B384))</f>
        <v>2024</v>
      </c>
      <c r="K384">
        <f>MONTH(DATEVALUE('Customers Raw data'!B384))</f>
        <v>5</v>
      </c>
      <c r="L384">
        <f ca="1">IF('Customers Raw data'!F384&lt;&gt;"",DATEDIF(DATEVALUE('Customers Raw data'!B384),DATEVALUE('Customers Raw data'!F384),"M"),DATEDIF(DATEVALUE('Customers Raw data'!B384),TODAY(),"M"))</f>
        <v>22</v>
      </c>
      <c r="M384">
        <f t="shared" ca="1" si="25"/>
        <v>1100</v>
      </c>
      <c r="N384">
        <f t="shared" si="26"/>
        <v>1</v>
      </c>
      <c r="O384">
        <f t="shared" ca="1" si="27"/>
        <v>0</v>
      </c>
      <c r="P384">
        <f t="shared" si="28"/>
        <v>0</v>
      </c>
      <c r="Q384" t="e">
        <f t="shared" si="29"/>
        <v>#VALUE!</v>
      </c>
    </row>
    <row r="385" spans="1:17" ht="15" customHeight="1" x14ac:dyDescent="0.25">
      <c r="A385">
        <f>'Customers Raw data'!A385</f>
        <v>1384</v>
      </c>
      <c r="B385" t="str">
        <f>'Customers Raw data'!B385</f>
        <v>2024-12-29</v>
      </c>
      <c r="C385" t="str">
        <f>'Customers Raw data'!C385</f>
        <v>Basic</v>
      </c>
      <c r="D385">
        <f>'Customers Raw data'!D385</f>
        <v>50</v>
      </c>
      <c r="E385">
        <f>'Customers Raw data'!E385</f>
        <v>30</v>
      </c>
      <c r="F385">
        <f>'Customers Raw data'!F385</f>
        <v>0</v>
      </c>
      <c r="G385">
        <f>IF('Customers Raw data'!F385&lt;&gt;"",1,0)</f>
        <v>0</v>
      </c>
      <c r="H385" t="str">
        <f>IF('Customers Raw data'!F385&lt;&gt;"",YEAR(DATEVALUE('Customers Raw data'!F385)),"")</f>
        <v/>
      </c>
      <c r="I385" t="str">
        <f>IF('Customers Raw data'!F385&lt;&gt;"",MONTH(DATEVALUE('Customers Raw data'!F385)),"")</f>
        <v/>
      </c>
      <c r="J385">
        <f>YEAR(DATEVALUE('Customers Raw data'!B385))</f>
        <v>2024</v>
      </c>
      <c r="K385">
        <f>MONTH(DATEVALUE('Customers Raw data'!B385))</f>
        <v>12</v>
      </c>
      <c r="L385">
        <f ca="1">IF('Customers Raw data'!F385&lt;&gt;"",DATEDIF(DATEVALUE('Customers Raw data'!B385),DATEVALUE('Customers Raw data'!F385),"M"),DATEDIF(DATEVALUE('Customers Raw data'!B385),TODAY(),"M"))</f>
        <v>15</v>
      </c>
      <c r="M385">
        <f t="shared" ca="1" si="25"/>
        <v>750</v>
      </c>
      <c r="N385">
        <f t="shared" si="26"/>
        <v>1</v>
      </c>
      <c r="O385">
        <f t="shared" ca="1" si="27"/>
        <v>0</v>
      </c>
      <c r="P385">
        <f t="shared" si="28"/>
        <v>0</v>
      </c>
      <c r="Q385" t="e">
        <f t="shared" si="29"/>
        <v>#VALUE!</v>
      </c>
    </row>
    <row r="386" spans="1:17" ht="15" customHeight="1" x14ac:dyDescent="0.25">
      <c r="A386">
        <f>'Customers Raw data'!A386</f>
        <v>1385</v>
      </c>
      <c r="B386" t="str">
        <f>'Customers Raw data'!B386</f>
        <v>2024-02-09</v>
      </c>
      <c r="C386" t="str">
        <f>'Customers Raw data'!C386</f>
        <v>Basic</v>
      </c>
      <c r="D386">
        <f>'Customers Raw data'!D386</f>
        <v>50</v>
      </c>
      <c r="E386">
        <f>'Customers Raw data'!E386</f>
        <v>30</v>
      </c>
      <c r="F386">
        <f>'Customers Raw data'!F386</f>
        <v>0</v>
      </c>
      <c r="G386">
        <f>IF('Customers Raw data'!F386&lt;&gt;"",1,0)</f>
        <v>0</v>
      </c>
      <c r="H386" t="str">
        <f>IF('Customers Raw data'!F386&lt;&gt;"",YEAR(DATEVALUE('Customers Raw data'!F386)),"")</f>
        <v/>
      </c>
      <c r="I386" t="str">
        <f>IF('Customers Raw data'!F386&lt;&gt;"",MONTH(DATEVALUE('Customers Raw data'!F386)),"")</f>
        <v/>
      </c>
      <c r="J386">
        <f>YEAR(DATEVALUE('Customers Raw data'!B386))</f>
        <v>2024</v>
      </c>
      <c r="K386">
        <f>MONTH(DATEVALUE('Customers Raw data'!B386))</f>
        <v>2</v>
      </c>
      <c r="L386">
        <f ca="1">IF('Customers Raw data'!F386&lt;&gt;"",DATEDIF(DATEVALUE('Customers Raw data'!B386),DATEVALUE('Customers Raw data'!F386),"M"),DATEDIF(DATEVALUE('Customers Raw data'!B386),TODAY(),"M"))</f>
        <v>25</v>
      </c>
      <c r="M386">
        <f t="shared" ref="M386:M449" ca="1" si="30">D386*L386</f>
        <v>1250</v>
      </c>
      <c r="N386">
        <f t="shared" ref="N386:N449" si="31">IF(C386="Basic",1,IF(C386="Pro",2,IF(C386="Enterprise",3,0)))</f>
        <v>1</v>
      </c>
      <c r="O386">
        <f t="shared" ref="O386:O449" ca="1" si="32">IF(AND(G386=1,L386&lt;6),1,0)</f>
        <v>0</v>
      </c>
      <c r="P386">
        <f t="shared" ref="P386:P449" si="33">IF(G386=1,D386,0)</f>
        <v>0</v>
      </c>
      <c r="Q386" t="e">
        <f t="shared" ref="Q386:Q449" si="34">IF(F386&lt;&gt;"",TEXT(DATEVALUE(F386),"YYYY-MM"),"")</f>
        <v>#VALUE!</v>
      </c>
    </row>
    <row r="387" spans="1:17" ht="15" customHeight="1" x14ac:dyDescent="0.25">
      <c r="A387">
        <f>'Customers Raw data'!A387</f>
        <v>1386</v>
      </c>
      <c r="B387" t="str">
        <f>'Customers Raw data'!B387</f>
        <v>2024-04-07</v>
      </c>
      <c r="C387" t="str">
        <f>'Customers Raw data'!C387</f>
        <v>Enterprise</v>
      </c>
      <c r="D387">
        <f>'Customers Raw data'!D387</f>
        <v>500</v>
      </c>
      <c r="E387">
        <f>'Customers Raw data'!E387</f>
        <v>200</v>
      </c>
      <c r="F387" t="str">
        <f>'Customers Raw data'!F387</f>
        <v>2024-10-15</v>
      </c>
      <c r="G387">
        <f>IF('Customers Raw data'!F387&lt;&gt;"",1,0)</f>
        <v>1</v>
      </c>
      <c r="H387">
        <f>IF('Customers Raw data'!F387&lt;&gt;"",YEAR(DATEVALUE('Customers Raw data'!F387)),"")</f>
        <v>2024</v>
      </c>
      <c r="I387">
        <f>IF('Customers Raw data'!F387&lt;&gt;"",MONTH(DATEVALUE('Customers Raw data'!F387)),"")</f>
        <v>10</v>
      </c>
      <c r="J387">
        <f>YEAR(DATEVALUE('Customers Raw data'!B387))</f>
        <v>2024</v>
      </c>
      <c r="K387">
        <f>MONTH(DATEVALUE('Customers Raw data'!B387))</f>
        <v>4</v>
      </c>
      <c r="L387">
        <f ca="1">IF('Customers Raw data'!F387&lt;&gt;"",DATEDIF(DATEVALUE('Customers Raw data'!B387),DATEVALUE('Customers Raw data'!F387),"M"),DATEDIF(DATEVALUE('Customers Raw data'!B387),TODAY(),"M"))</f>
        <v>6</v>
      </c>
      <c r="M387">
        <f t="shared" ca="1" si="30"/>
        <v>3000</v>
      </c>
      <c r="N387">
        <f t="shared" si="31"/>
        <v>3</v>
      </c>
      <c r="O387">
        <f t="shared" ca="1" si="32"/>
        <v>0</v>
      </c>
      <c r="P387">
        <f t="shared" si="33"/>
        <v>500</v>
      </c>
      <c r="Q387" t="str">
        <f t="shared" si="34"/>
        <v>2024-10</v>
      </c>
    </row>
    <row r="388" spans="1:17" ht="15" customHeight="1" x14ac:dyDescent="0.25">
      <c r="A388">
        <f>'Customers Raw data'!A388</f>
        <v>1387</v>
      </c>
      <c r="B388" t="str">
        <f>'Customers Raw data'!B388</f>
        <v>2024-05-26</v>
      </c>
      <c r="C388" t="str">
        <f>'Customers Raw data'!C388</f>
        <v>Enterprise</v>
      </c>
      <c r="D388">
        <f>'Customers Raw data'!D388</f>
        <v>500</v>
      </c>
      <c r="E388">
        <f>'Customers Raw data'!E388</f>
        <v>200</v>
      </c>
      <c r="F388">
        <f>'Customers Raw data'!F388</f>
        <v>0</v>
      </c>
      <c r="G388">
        <f>IF('Customers Raw data'!F388&lt;&gt;"",1,0)</f>
        <v>0</v>
      </c>
      <c r="H388" t="str">
        <f>IF('Customers Raw data'!F388&lt;&gt;"",YEAR(DATEVALUE('Customers Raw data'!F388)),"")</f>
        <v/>
      </c>
      <c r="I388" t="str">
        <f>IF('Customers Raw data'!F388&lt;&gt;"",MONTH(DATEVALUE('Customers Raw data'!F388)),"")</f>
        <v/>
      </c>
      <c r="J388">
        <f>YEAR(DATEVALUE('Customers Raw data'!B388))</f>
        <v>2024</v>
      </c>
      <c r="K388">
        <f>MONTH(DATEVALUE('Customers Raw data'!B388))</f>
        <v>5</v>
      </c>
      <c r="L388">
        <f ca="1">IF('Customers Raw data'!F388&lt;&gt;"",DATEDIF(DATEVALUE('Customers Raw data'!B388),DATEVALUE('Customers Raw data'!F388),"M"),DATEDIF(DATEVALUE('Customers Raw data'!B388),TODAY(),"M"))</f>
        <v>22</v>
      </c>
      <c r="M388">
        <f t="shared" ca="1" si="30"/>
        <v>11000</v>
      </c>
      <c r="N388">
        <f t="shared" si="31"/>
        <v>3</v>
      </c>
      <c r="O388">
        <f t="shared" ca="1" si="32"/>
        <v>0</v>
      </c>
      <c r="P388">
        <f t="shared" si="33"/>
        <v>0</v>
      </c>
      <c r="Q388" t="e">
        <f t="shared" si="34"/>
        <v>#VALUE!</v>
      </c>
    </row>
    <row r="389" spans="1:17" ht="15" customHeight="1" x14ac:dyDescent="0.25">
      <c r="A389">
        <f>'Customers Raw data'!A389</f>
        <v>1388</v>
      </c>
      <c r="B389" t="str">
        <f>'Customers Raw data'!B389</f>
        <v>2024-04-19</v>
      </c>
      <c r="C389" t="str">
        <f>'Customers Raw data'!C389</f>
        <v>Basic</v>
      </c>
      <c r="D389">
        <f>'Customers Raw data'!D389</f>
        <v>50</v>
      </c>
      <c r="E389">
        <f>'Customers Raw data'!E389</f>
        <v>30</v>
      </c>
      <c r="F389">
        <f>'Customers Raw data'!F389</f>
        <v>0</v>
      </c>
      <c r="G389">
        <f>IF('Customers Raw data'!F389&lt;&gt;"",1,0)</f>
        <v>0</v>
      </c>
      <c r="H389" t="str">
        <f>IF('Customers Raw data'!F389&lt;&gt;"",YEAR(DATEVALUE('Customers Raw data'!F389)),"")</f>
        <v/>
      </c>
      <c r="I389" t="str">
        <f>IF('Customers Raw data'!F389&lt;&gt;"",MONTH(DATEVALUE('Customers Raw data'!F389)),"")</f>
        <v/>
      </c>
      <c r="J389">
        <f>YEAR(DATEVALUE('Customers Raw data'!B389))</f>
        <v>2024</v>
      </c>
      <c r="K389">
        <f>MONTH(DATEVALUE('Customers Raw data'!B389))</f>
        <v>4</v>
      </c>
      <c r="L389">
        <f ca="1">IF('Customers Raw data'!F389&lt;&gt;"",DATEDIF(DATEVALUE('Customers Raw data'!B389),DATEVALUE('Customers Raw data'!F389),"M"),DATEDIF(DATEVALUE('Customers Raw data'!B389),TODAY(),"M"))</f>
        <v>23</v>
      </c>
      <c r="M389">
        <f t="shared" ca="1" si="30"/>
        <v>1150</v>
      </c>
      <c r="N389">
        <f t="shared" si="31"/>
        <v>1</v>
      </c>
      <c r="O389">
        <f t="shared" ca="1" si="32"/>
        <v>0</v>
      </c>
      <c r="P389">
        <f t="shared" si="33"/>
        <v>0</v>
      </c>
      <c r="Q389" t="e">
        <f t="shared" si="34"/>
        <v>#VALUE!</v>
      </c>
    </row>
    <row r="390" spans="1:17" ht="15" customHeight="1" x14ac:dyDescent="0.25">
      <c r="A390">
        <f>'Customers Raw data'!A390</f>
        <v>1389</v>
      </c>
      <c r="B390" t="str">
        <f>'Customers Raw data'!B390</f>
        <v>2024-06-02</v>
      </c>
      <c r="C390" t="str">
        <f>'Customers Raw data'!C390</f>
        <v>Basic</v>
      </c>
      <c r="D390">
        <f>'Customers Raw data'!D390</f>
        <v>50</v>
      </c>
      <c r="E390">
        <f>'Customers Raw data'!E390</f>
        <v>30</v>
      </c>
      <c r="F390">
        <f>'Customers Raw data'!F390</f>
        <v>0</v>
      </c>
      <c r="G390">
        <f>IF('Customers Raw data'!F390&lt;&gt;"",1,0)</f>
        <v>0</v>
      </c>
      <c r="H390" t="str">
        <f>IF('Customers Raw data'!F390&lt;&gt;"",YEAR(DATEVALUE('Customers Raw data'!F390)),"")</f>
        <v/>
      </c>
      <c r="I390" t="str">
        <f>IF('Customers Raw data'!F390&lt;&gt;"",MONTH(DATEVALUE('Customers Raw data'!F390)),"")</f>
        <v/>
      </c>
      <c r="J390">
        <f>YEAR(DATEVALUE('Customers Raw data'!B390))</f>
        <v>2024</v>
      </c>
      <c r="K390">
        <f>MONTH(DATEVALUE('Customers Raw data'!B390))</f>
        <v>6</v>
      </c>
      <c r="L390">
        <f ca="1">IF('Customers Raw data'!F390&lt;&gt;"",DATEDIF(DATEVALUE('Customers Raw data'!B390),DATEVALUE('Customers Raw data'!F390),"M"),DATEDIF(DATEVALUE('Customers Raw data'!B390),TODAY(),"M"))</f>
        <v>22</v>
      </c>
      <c r="M390">
        <f t="shared" ca="1" si="30"/>
        <v>1100</v>
      </c>
      <c r="N390">
        <f t="shared" si="31"/>
        <v>1</v>
      </c>
      <c r="O390">
        <f t="shared" ca="1" si="32"/>
        <v>0</v>
      </c>
      <c r="P390">
        <f t="shared" si="33"/>
        <v>0</v>
      </c>
      <c r="Q390" t="e">
        <f t="shared" si="34"/>
        <v>#VALUE!</v>
      </c>
    </row>
    <row r="391" spans="1:17" ht="15" customHeight="1" x14ac:dyDescent="0.25">
      <c r="A391">
        <f>'Customers Raw data'!A391</f>
        <v>1390</v>
      </c>
      <c r="B391" t="str">
        <f>'Customers Raw data'!B391</f>
        <v>2025-03-22</v>
      </c>
      <c r="C391" t="str">
        <f>'Customers Raw data'!C391</f>
        <v>Pro</v>
      </c>
      <c r="D391">
        <f>'Customers Raw data'!D391</f>
        <v>200</v>
      </c>
      <c r="E391">
        <f>'Customers Raw data'!E391</f>
        <v>100</v>
      </c>
      <c r="F391">
        <f>'Customers Raw data'!F391</f>
        <v>0</v>
      </c>
      <c r="G391">
        <f>IF('Customers Raw data'!F391&lt;&gt;"",1,0)</f>
        <v>0</v>
      </c>
      <c r="H391" t="str">
        <f>IF('Customers Raw data'!F391&lt;&gt;"",YEAR(DATEVALUE('Customers Raw data'!F391)),"")</f>
        <v/>
      </c>
      <c r="I391" t="str">
        <f>IF('Customers Raw data'!F391&lt;&gt;"",MONTH(DATEVALUE('Customers Raw data'!F391)),"")</f>
        <v/>
      </c>
      <c r="J391">
        <f>YEAR(DATEVALUE('Customers Raw data'!B391))</f>
        <v>2025</v>
      </c>
      <c r="K391">
        <f>MONTH(DATEVALUE('Customers Raw data'!B391))</f>
        <v>3</v>
      </c>
      <c r="L391">
        <f ca="1">IF('Customers Raw data'!F391&lt;&gt;"",DATEDIF(DATEVALUE('Customers Raw data'!B391),DATEVALUE('Customers Raw data'!F391),"M"),DATEDIF(DATEVALUE('Customers Raw data'!B391),TODAY(),"M"))</f>
        <v>12</v>
      </c>
      <c r="M391">
        <f t="shared" ca="1" si="30"/>
        <v>2400</v>
      </c>
      <c r="N391">
        <f t="shared" si="31"/>
        <v>2</v>
      </c>
      <c r="O391">
        <f t="shared" ca="1" si="32"/>
        <v>0</v>
      </c>
      <c r="P391">
        <f t="shared" si="33"/>
        <v>0</v>
      </c>
      <c r="Q391" t="e">
        <f t="shared" si="34"/>
        <v>#VALUE!</v>
      </c>
    </row>
    <row r="392" spans="1:17" ht="15" customHeight="1" x14ac:dyDescent="0.25">
      <c r="A392">
        <f>'Customers Raw data'!A392</f>
        <v>1391</v>
      </c>
      <c r="B392" t="str">
        <f>'Customers Raw data'!B392</f>
        <v>2025-01-22</v>
      </c>
      <c r="C392" t="str">
        <f>'Customers Raw data'!C392</f>
        <v>Pro</v>
      </c>
      <c r="D392">
        <f>'Customers Raw data'!D392</f>
        <v>200</v>
      </c>
      <c r="E392">
        <f>'Customers Raw data'!E392</f>
        <v>100</v>
      </c>
      <c r="F392">
        <f>'Customers Raw data'!F392</f>
        <v>0</v>
      </c>
      <c r="G392">
        <f>IF('Customers Raw data'!F392&lt;&gt;"",1,0)</f>
        <v>0</v>
      </c>
      <c r="H392" t="str">
        <f>IF('Customers Raw data'!F392&lt;&gt;"",YEAR(DATEVALUE('Customers Raw data'!F392)),"")</f>
        <v/>
      </c>
      <c r="I392" t="str">
        <f>IF('Customers Raw data'!F392&lt;&gt;"",MONTH(DATEVALUE('Customers Raw data'!F392)),"")</f>
        <v/>
      </c>
      <c r="J392">
        <f>YEAR(DATEVALUE('Customers Raw data'!B392))</f>
        <v>2025</v>
      </c>
      <c r="K392">
        <f>MONTH(DATEVALUE('Customers Raw data'!B392))</f>
        <v>1</v>
      </c>
      <c r="L392">
        <f ca="1">IF('Customers Raw data'!F392&lt;&gt;"",DATEDIF(DATEVALUE('Customers Raw data'!B392),DATEVALUE('Customers Raw data'!F392),"M"),DATEDIF(DATEVALUE('Customers Raw data'!B392),TODAY(),"M"))</f>
        <v>14</v>
      </c>
      <c r="M392">
        <f t="shared" ca="1" si="30"/>
        <v>2800</v>
      </c>
      <c r="N392">
        <f t="shared" si="31"/>
        <v>2</v>
      </c>
      <c r="O392">
        <f t="shared" ca="1" si="32"/>
        <v>0</v>
      </c>
      <c r="P392">
        <f t="shared" si="33"/>
        <v>0</v>
      </c>
      <c r="Q392" t="e">
        <f t="shared" si="34"/>
        <v>#VALUE!</v>
      </c>
    </row>
    <row r="393" spans="1:17" ht="15" customHeight="1" x14ac:dyDescent="0.25">
      <c r="A393">
        <f>'Customers Raw data'!A393</f>
        <v>1392</v>
      </c>
      <c r="B393" t="str">
        <f>'Customers Raw data'!B393</f>
        <v>2024-12-20</v>
      </c>
      <c r="C393" t="str">
        <f>'Customers Raw data'!C393</f>
        <v>Pro</v>
      </c>
      <c r="D393">
        <f>'Customers Raw data'!D393</f>
        <v>200</v>
      </c>
      <c r="E393">
        <f>'Customers Raw data'!E393</f>
        <v>100</v>
      </c>
      <c r="F393">
        <f>'Customers Raw data'!F393</f>
        <v>0</v>
      </c>
      <c r="G393">
        <f>IF('Customers Raw data'!F393&lt;&gt;"",1,0)</f>
        <v>0</v>
      </c>
      <c r="H393" t="str">
        <f>IF('Customers Raw data'!F393&lt;&gt;"",YEAR(DATEVALUE('Customers Raw data'!F393)),"")</f>
        <v/>
      </c>
      <c r="I393" t="str">
        <f>IF('Customers Raw data'!F393&lt;&gt;"",MONTH(DATEVALUE('Customers Raw data'!F393)),"")</f>
        <v/>
      </c>
      <c r="J393">
        <f>YEAR(DATEVALUE('Customers Raw data'!B393))</f>
        <v>2024</v>
      </c>
      <c r="K393">
        <f>MONTH(DATEVALUE('Customers Raw data'!B393))</f>
        <v>12</v>
      </c>
      <c r="L393">
        <f ca="1">IF('Customers Raw data'!F393&lt;&gt;"",DATEDIF(DATEVALUE('Customers Raw data'!B393),DATEVALUE('Customers Raw data'!F393),"M"),DATEDIF(DATEVALUE('Customers Raw data'!B393),TODAY(),"M"))</f>
        <v>15</v>
      </c>
      <c r="M393">
        <f t="shared" ca="1" si="30"/>
        <v>3000</v>
      </c>
      <c r="N393">
        <f t="shared" si="31"/>
        <v>2</v>
      </c>
      <c r="O393">
        <f t="shared" ca="1" si="32"/>
        <v>0</v>
      </c>
      <c r="P393">
        <f t="shared" si="33"/>
        <v>0</v>
      </c>
      <c r="Q393" t="e">
        <f t="shared" si="34"/>
        <v>#VALUE!</v>
      </c>
    </row>
    <row r="394" spans="1:17" ht="15" customHeight="1" x14ac:dyDescent="0.25">
      <c r="A394">
        <f>'Customers Raw data'!A394</f>
        <v>1393</v>
      </c>
      <c r="B394" t="str">
        <f>'Customers Raw data'!B394</f>
        <v>2024-09-13</v>
      </c>
      <c r="C394" t="str">
        <f>'Customers Raw data'!C394</f>
        <v>Enterprise</v>
      </c>
      <c r="D394">
        <f>'Customers Raw data'!D394</f>
        <v>500</v>
      </c>
      <c r="E394">
        <f>'Customers Raw data'!E394</f>
        <v>200</v>
      </c>
      <c r="F394" t="str">
        <f>'Customers Raw data'!F394</f>
        <v>2025-04-28</v>
      </c>
      <c r="G394">
        <f>IF('Customers Raw data'!F394&lt;&gt;"",1,0)</f>
        <v>1</v>
      </c>
      <c r="H394">
        <f>IF('Customers Raw data'!F394&lt;&gt;"",YEAR(DATEVALUE('Customers Raw data'!F394)),"")</f>
        <v>2025</v>
      </c>
      <c r="I394">
        <f>IF('Customers Raw data'!F394&lt;&gt;"",MONTH(DATEVALUE('Customers Raw data'!F394)),"")</f>
        <v>4</v>
      </c>
      <c r="J394">
        <f>YEAR(DATEVALUE('Customers Raw data'!B394))</f>
        <v>2024</v>
      </c>
      <c r="K394">
        <f>MONTH(DATEVALUE('Customers Raw data'!B394))</f>
        <v>9</v>
      </c>
      <c r="L394">
        <f ca="1">IF('Customers Raw data'!F394&lt;&gt;"",DATEDIF(DATEVALUE('Customers Raw data'!B394),DATEVALUE('Customers Raw data'!F394),"M"),DATEDIF(DATEVALUE('Customers Raw data'!B394),TODAY(),"M"))</f>
        <v>7</v>
      </c>
      <c r="M394">
        <f t="shared" ca="1" si="30"/>
        <v>3500</v>
      </c>
      <c r="N394">
        <f t="shared" si="31"/>
        <v>3</v>
      </c>
      <c r="O394">
        <f t="shared" ca="1" si="32"/>
        <v>0</v>
      </c>
      <c r="P394">
        <f t="shared" si="33"/>
        <v>500</v>
      </c>
      <c r="Q394" t="str">
        <f t="shared" si="34"/>
        <v>2025-04</v>
      </c>
    </row>
    <row r="395" spans="1:17" ht="15" customHeight="1" x14ac:dyDescent="0.25">
      <c r="A395">
        <f>'Customers Raw data'!A395</f>
        <v>1394</v>
      </c>
      <c r="B395" t="str">
        <f>'Customers Raw data'!B395</f>
        <v>2024-02-01</v>
      </c>
      <c r="C395" t="str">
        <f>'Customers Raw data'!C395</f>
        <v>Basic</v>
      </c>
      <c r="D395">
        <f>'Customers Raw data'!D395</f>
        <v>50</v>
      </c>
      <c r="E395">
        <f>'Customers Raw data'!E395</f>
        <v>30</v>
      </c>
      <c r="F395">
        <f>'Customers Raw data'!F395</f>
        <v>0</v>
      </c>
      <c r="G395">
        <f>IF('Customers Raw data'!F395&lt;&gt;"",1,0)</f>
        <v>0</v>
      </c>
      <c r="H395" t="str">
        <f>IF('Customers Raw data'!F395&lt;&gt;"",YEAR(DATEVALUE('Customers Raw data'!F395)),"")</f>
        <v/>
      </c>
      <c r="I395" t="str">
        <f>IF('Customers Raw data'!F395&lt;&gt;"",MONTH(DATEVALUE('Customers Raw data'!F395)),"")</f>
        <v/>
      </c>
      <c r="J395">
        <f>YEAR(DATEVALUE('Customers Raw data'!B395))</f>
        <v>2024</v>
      </c>
      <c r="K395">
        <f>MONTH(DATEVALUE('Customers Raw data'!B395))</f>
        <v>2</v>
      </c>
      <c r="L395">
        <f ca="1">IF('Customers Raw data'!F395&lt;&gt;"",DATEDIF(DATEVALUE('Customers Raw data'!B395),DATEVALUE('Customers Raw data'!F395),"M"),DATEDIF(DATEVALUE('Customers Raw data'!B395),TODAY(),"M"))</f>
        <v>26</v>
      </c>
      <c r="M395">
        <f t="shared" ca="1" si="30"/>
        <v>1300</v>
      </c>
      <c r="N395">
        <f t="shared" si="31"/>
        <v>1</v>
      </c>
      <c r="O395">
        <f t="shared" ca="1" si="32"/>
        <v>0</v>
      </c>
      <c r="P395">
        <f t="shared" si="33"/>
        <v>0</v>
      </c>
      <c r="Q395" t="e">
        <f t="shared" si="34"/>
        <v>#VALUE!</v>
      </c>
    </row>
    <row r="396" spans="1:17" ht="15" customHeight="1" x14ac:dyDescent="0.25">
      <c r="A396">
        <f>'Customers Raw data'!A396</f>
        <v>1395</v>
      </c>
      <c r="B396" t="str">
        <f>'Customers Raw data'!B396</f>
        <v>2024-03-21</v>
      </c>
      <c r="C396" t="str">
        <f>'Customers Raw data'!C396</f>
        <v>Enterprise</v>
      </c>
      <c r="D396">
        <f>'Customers Raw data'!D396</f>
        <v>500</v>
      </c>
      <c r="E396">
        <f>'Customers Raw data'!E396</f>
        <v>200</v>
      </c>
      <c r="F396">
        <f>'Customers Raw data'!F396</f>
        <v>0</v>
      </c>
      <c r="G396">
        <f>IF('Customers Raw data'!F396&lt;&gt;"",1,0)</f>
        <v>0</v>
      </c>
      <c r="H396" t="str">
        <f>IF('Customers Raw data'!F396&lt;&gt;"",YEAR(DATEVALUE('Customers Raw data'!F396)),"")</f>
        <v/>
      </c>
      <c r="I396" t="str">
        <f>IF('Customers Raw data'!F396&lt;&gt;"",MONTH(DATEVALUE('Customers Raw data'!F396)),"")</f>
        <v/>
      </c>
      <c r="J396">
        <f>YEAR(DATEVALUE('Customers Raw data'!B396))</f>
        <v>2024</v>
      </c>
      <c r="K396">
        <f>MONTH(DATEVALUE('Customers Raw data'!B396))</f>
        <v>3</v>
      </c>
      <c r="L396">
        <f ca="1">IF('Customers Raw data'!F396&lt;&gt;"",DATEDIF(DATEVALUE('Customers Raw data'!B396),DATEVALUE('Customers Raw data'!F396),"M"),DATEDIF(DATEVALUE('Customers Raw data'!B396),TODAY(),"M"))</f>
        <v>24</v>
      </c>
      <c r="M396">
        <f t="shared" ca="1" si="30"/>
        <v>12000</v>
      </c>
      <c r="N396">
        <f t="shared" si="31"/>
        <v>3</v>
      </c>
      <c r="O396">
        <f t="shared" ca="1" si="32"/>
        <v>0</v>
      </c>
      <c r="P396">
        <f t="shared" si="33"/>
        <v>0</v>
      </c>
      <c r="Q396" t="e">
        <f t="shared" si="34"/>
        <v>#VALUE!</v>
      </c>
    </row>
    <row r="397" spans="1:17" ht="15" customHeight="1" x14ac:dyDescent="0.25">
      <c r="A397">
        <f>'Customers Raw data'!A397</f>
        <v>1396</v>
      </c>
      <c r="B397" t="str">
        <f>'Customers Raw data'!B397</f>
        <v>2024-07-08</v>
      </c>
      <c r="C397" t="str">
        <f>'Customers Raw data'!C397</f>
        <v>Enterprise</v>
      </c>
      <c r="D397">
        <f>'Customers Raw data'!D397</f>
        <v>500</v>
      </c>
      <c r="E397">
        <f>'Customers Raw data'!E397</f>
        <v>200</v>
      </c>
      <c r="F397">
        <f>'Customers Raw data'!F397</f>
        <v>0</v>
      </c>
      <c r="G397">
        <f>IF('Customers Raw data'!F397&lt;&gt;"",1,0)</f>
        <v>0</v>
      </c>
      <c r="H397" t="str">
        <f>IF('Customers Raw data'!F397&lt;&gt;"",YEAR(DATEVALUE('Customers Raw data'!F397)),"")</f>
        <v/>
      </c>
      <c r="I397" t="str">
        <f>IF('Customers Raw data'!F397&lt;&gt;"",MONTH(DATEVALUE('Customers Raw data'!F397)),"")</f>
        <v/>
      </c>
      <c r="J397">
        <f>YEAR(DATEVALUE('Customers Raw data'!B397))</f>
        <v>2024</v>
      </c>
      <c r="K397">
        <f>MONTH(DATEVALUE('Customers Raw data'!B397))</f>
        <v>7</v>
      </c>
      <c r="L397">
        <f ca="1">IF('Customers Raw data'!F397&lt;&gt;"",DATEDIF(DATEVALUE('Customers Raw data'!B397),DATEVALUE('Customers Raw data'!F397),"M"),DATEDIF(DATEVALUE('Customers Raw data'!B397),TODAY(),"M"))</f>
        <v>20</v>
      </c>
      <c r="M397">
        <f t="shared" ca="1" si="30"/>
        <v>10000</v>
      </c>
      <c r="N397">
        <f t="shared" si="31"/>
        <v>3</v>
      </c>
      <c r="O397">
        <f t="shared" ca="1" si="32"/>
        <v>0</v>
      </c>
      <c r="P397">
        <f t="shared" si="33"/>
        <v>0</v>
      </c>
      <c r="Q397" t="e">
        <f t="shared" si="34"/>
        <v>#VALUE!</v>
      </c>
    </row>
    <row r="398" spans="1:17" ht="15" customHeight="1" x14ac:dyDescent="0.25">
      <c r="A398">
        <f>'Customers Raw data'!A398</f>
        <v>1397</v>
      </c>
      <c r="B398" t="str">
        <f>'Customers Raw data'!B398</f>
        <v>2024-05-16</v>
      </c>
      <c r="C398" t="str">
        <f>'Customers Raw data'!C398</f>
        <v>Basic</v>
      </c>
      <c r="D398">
        <f>'Customers Raw data'!D398</f>
        <v>50</v>
      </c>
      <c r="E398">
        <f>'Customers Raw data'!E398</f>
        <v>30</v>
      </c>
      <c r="F398" t="str">
        <f>'Customers Raw data'!F398</f>
        <v>2025-04-23</v>
      </c>
      <c r="G398">
        <f>IF('Customers Raw data'!F398&lt;&gt;"",1,0)</f>
        <v>1</v>
      </c>
      <c r="H398">
        <f>IF('Customers Raw data'!F398&lt;&gt;"",YEAR(DATEVALUE('Customers Raw data'!F398)),"")</f>
        <v>2025</v>
      </c>
      <c r="I398">
        <f>IF('Customers Raw data'!F398&lt;&gt;"",MONTH(DATEVALUE('Customers Raw data'!F398)),"")</f>
        <v>4</v>
      </c>
      <c r="J398">
        <f>YEAR(DATEVALUE('Customers Raw data'!B398))</f>
        <v>2024</v>
      </c>
      <c r="K398">
        <f>MONTH(DATEVALUE('Customers Raw data'!B398))</f>
        <v>5</v>
      </c>
      <c r="L398">
        <f ca="1">IF('Customers Raw data'!F398&lt;&gt;"",DATEDIF(DATEVALUE('Customers Raw data'!B398),DATEVALUE('Customers Raw data'!F398),"M"),DATEDIF(DATEVALUE('Customers Raw data'!B398),TODAY(),"M"))</f>
        <v>11</v>
      </c>
      <c r="M398">
        <f t="shared" ca="1" si="30"/>
        <v>550</v>
      </c>
      <c r="N398">
        <f t="shared" si="31"/>
        <v>1</v>
      </c>
      <c r="O398">
        <f t="shared" ca="1" si="32"/>
        <v>0</v>
      </c>
      <c r="P398">
        <f t="shared" si="33"/>
        <v>50</v>
      </c>
      <c r="Q398" t="str">
        <f t="shared" si="34"/>
        <v>2025-04</v>
      </c>
    </row>
    <row r="399" spans="1:17" ht="15" customHeight="1" x14ac:dyDescent="0.25">
      <c r="A399">
        <f>'Customers Raw data'!A399</f>
        <v>1398</v>
      </c>
      <c r="B399" t="str">
        <f>'Customers Raw data'!B399</f>
        <v>2024-03-10</v>
      </c>
      <c r="C399" t="str">
        <f>'Customers Raw data'!C399</f>
        <v>Pro</v>
      </c>
      <c r="D399">
        <f>'Customers Raw data'!D399</f>
        <v>200</v>
      </c>
      <c r="E399">
        <f>'Customers Raw data'!E399</f>
        <v>100</v>
      </c>
      <c r="F399">
        <f>'Customers Raw data'!F399</f>
        <v>0</v>
      </c>
      <c r="G399">
        <f>IF('Customers Raw data'!F399&lt;&gt;"",1,0)</f>
        <v>0</v>
      </c>
      <c r="H399" t="str">
        <f>IF('Customers Raw data'!F399&lt;&gt;"",YEAR(DATEVALUE('Customers Raw data'!F399)),"")</f>
        <v/>
      </c>
      <c r="I399" t="str">
        <f>IF('Customers Raw data'!F399&lt;&gt;"",MONTH(DATEVALUE('Customers Raw data'!F399)),"")</f>
        <v/>
      </c>
      <c r="J399">
        <f>YEAR(DATEVALUE('Customers Raw data'!B399))</f>
        <v>2024</v>
      </c>
      <c r="K399">
        <f>MONTH(DATEVALUE('Customers Raw data'!B399))</f>
        <v>3</v>
      </c>
      <c r="L399">
        <f ca="1">IF('Customers Raw data'!F399&lt;&gt;"",DATEDIF(DATEVALUE('Customers Raw data'!B399),DATEVALUE('Customers Raw data'!F399),"M"),DATEDIF(DATEVALUE('Customers Raw data'!B399),TODAY(),"M"))</f>
        <v>24</v>
      </c>
      <c r="M399">
        <f t="shared" ca="1" si="30"/>
        <v>4800</v>
      </c>
      <c r="N399">
        <f t="shared" si="31"/>
        <v>2</v>
      </c>
      <c r="O399">
        <f t="shared" ca="1" si="32"/>
        <v>0</v>
      </c>
      <c r="P399">
        <f t="shared" si="33"/>
        <v>0</v>
      </c>
      <c r="Q399" t="e">
        <f t="shared" si="34"/>
        <v>#VALUE!</v>
      </c>
    </row>
    <row r="400" spans="1:17" ht="15" customHeight="1" x14ac:dyDescent="0.25">
      <c r="A400">
        <f>'Customers Raw data'!A400</f>
        <v>1399</v>
      </c>
      <c r="B400" t="str">
        <f>'Customers Raw data'!B400</f>
        <v>2024-08-23</v>
      </c>
      <c r="C400" t="str">
        <f>'Customers Raw data'!C400</f>
        <v>Pro</v>
      </c>
      <c r="D400">
        <f>'Customers Raw data'!D400</f>
        <v>200</v>
      </c>
      <c r="E400">
        <f>'Customers Raw data'!E400</f>
        <v>100</v>
      </c>
      <c r="F400">
        <f>'Customers Raw data'!F400</f>
        <v>0</v>
      </c>
      <c r="G400">
        <f>IF('Customers Raw data'!F400&lt;&gt;"",1,0)</f>
        <v>0</v>
      </c>
      <c r="H400" t="str">
        <f>IF('Customers Raw data'!F400&lt;&gt;"",YEAR(DATEVALUE('Customers Raw data'!F400)),"")</f>
        <v/>
      </c>
      <c r="I400" t="str">
        <f>IF('Customers Raw data'!F400&lt;&gt;"",MONTH(DATEVALUE('Customers Raw data'!F400)),"")</f>
        <v/>
      </c>
      <c r="J400">
        <f>YEAR(DATEVALUE('Customers Raw data'!B400))</f>
        <v>2024</v>
      </c>
      <c r="K400">
        <f>MONTH(DATEVALUE('Customers Raw data'!B400))</f>
        <v>8</v>
      </c>
      <c r="L400">
        <f ca="1">IF('Customers Raw data'!F400&lt;&gt;"",DATEDIF(DATEVALUE('Customers Raw data'!B400),DATEVALUE('Customers Raw data'!F400),"M"),DATEDIF(DATEVALUE('Customers Raw data'!B400),TODAY(),"M"))</f>
        <v>19</v>
      </c>
      <c r="M400">
        <f t="shared" ca="1" si="30"/>
        <v>3800</v>
      </c>
      <c r="N400">
        <f t="shared" si="31"/>
        <v>2</v>
      </c>
      <c r="O400">
        <f t="shared" ca="1" si="32"/>
        <v>0</v>
      </c>
      <c r="P400">
        <f t="shared" si="33"/>
        <v>0</v>
      </c>
      <c r="Q400" t="e">
        <f t="shared" si="34"/>
        <v>#VALUE!</v>
      </c>
    </row>
    <row r="401" spans="1:17" ht="15" customHeight="1" x14ac:dyDescent="0.25">
      <c r="A401">
        <f>'Customers Raw data'!A401</f>
        <v>1400</v>
      </c>
      <c r="B401" t="str">
        <f>'Customers Raw data'!B401</f>
        <v>2024-11-08</v>
      </c>
      <c r="C401" t="str">
        <f>'Customers Raw data'!C401</f>
        <v>Enterprise</v>
      </c>
      <c r="D401">
        <f>'Customers Raw data'!D401</f>
        <v>500</v>
      </c>
      <c r="E401">
        <f>'Customers Raw data'!E401</f>
        <v>200</v>
      </c>
      <c r="F401">
        <f>'Customers Raw data'!F401</f>
        <v>0</v>
      </c>
      <c r="G401">
        <f>IF('Customers Raw data'!F401&lt;&gt;"",1,0)</f>
        <v>0</v>
      </c>
      <c r="H401" t="str">
        <f>IF('Customers Raw data'!F401&lt;&gt;"",YEAR(DATEVALUE('Customers Raw data'!F401)),"")</f>
        <v/>
      </c>
      <c r="I401" t="str">
        <f>IF('Customers Raw data'!F401&lt;&gt;"",MONTH(DATEVALUE('Customers Raw data'!F401)),"")</f>
        <v/>
      </c>
      <c r="J401">
        <f>YEAR(DATEVALUE('Customers Raw data'!B401))</f>
        <v>2024</v>
      </c>
      <c r="K401">
        <f>MONTH(DATEVALUE('Customers Raw data'!B401))</f>
        <v>11</v>
      </c>
      <c r="L401">
        <f ca="1">IF('Customers Raw data'!F401&lt;&gt;"",DATEDIF(DATEVALUE('Customers Raw data'!B401),DATEVALUE('Customers Raw data'!F401),"M"),DATEDIF(DATEVALUE('Customers Raw data'!B401),TODAY(),"M"))</f>
        <v>16</v>
      </c>
      <c r="M401">
        <f t="shared" ca="1" si="30"/>
        <v>8000</v>
      </c>
      <c r="N401">
        <f t="shared" si="31"/>
        <v>3</v>
      </c>
      <c r="O401">
        <f t="shared" ca="1" si="32"/>
        <v>0</v>
      </c>
      <c r="P401">
        <f t="shared" si="33"/>
        <v>0</v>
      </c>
      <c r="Q401" t="e">
        <f t="shared" si="34"/>
        <v>#VALUE!</v>
      </c>
    </row>
    <row r="402" spans="1:17" ht="15" customHeight="1" x14ac:dyDescent="0.25">
      <c r="A402">
        <f>'Customers Raw data'!A402</f>
        <v>1401</v>
      </c>
      <c r="B402" t="str">
        <f>'Customers Raw data'!B402</f>
        <v>2025-01-14</v>
      </c>
      <c r="C402" t="str">
        <f>'Customers Raw data'!C402</f>
        <v>Enterprise</v>
      </c>
      <c r="D402">
        <f>'Customers Raw data'!D402</f>
        <v>500</v>
      </c>
      <c r="E402">
        <f>'Customers Raw data'!E402</f>
        <v>200</v>
      </c>
      <c r="F402" t="str">
        <f>'Customers Raw data'!F402</f>
        <v>2025-05-23</v>
      </c>
      <c r="G402">
        <f>IF('Customers Raw data'!F402&lt;&gt;"",1,0)</f>
        <v>1</v>
      </c>
      <c r="H402">
        <f>IF('Customers Raw data'!F402&lt;&gt;"",YEAR(DATEVALUE('Customers Raw data'!F402)),"")</f>
        <v>2025</v>
      </c>
      <c r="I402">
        <f>IF('Customers Raw data'!F402&lt;&gt;"",MONTH(DATEVALUE('Customers Raw data'!F402)),"")</f>
        <v>5</v>
      </c>
      <c r="J402">
        <f>YEAR(DATEVALUE('Customers Raw data'!B402))</f>
        <v>2025</v>
      </c>
      <c r="K402">
        <f>MONTH(DATEVALUE('Customers Raw data'!B402))</f>
        <v>1</v>
      </c>
      <c r="L402">
        <f ca="1">IF('Customers Raw data'!F402&lt;&gt;"",DATEDIF(DATEVALUE('Customers Raw data'!B402),DATEVALUE('Customers Raw data'!F402),"M"),DATEDIF(DATEVALUE('Customers Raw data'!B402),TODAY(),"M"))</f>
        <v>4</v>
      </c>
      <c r="M402">
        <f t="shared" ca="1" si="30"/>
        <v>2000</v>
      </c>
      <c r="N402">
        <f t="shared" si="31"/>
        <v>3</v>
      </c>
      <c r="O402">
        <f t="shared" ca="1" si="32"/>
        <v>1</v>
      </c>
      <c r="P402">
        <f t="shared" si="33"/>
        <v>500</v>
      </c>
      <c r="Q402" t="str">
        <f t="shared" si="34"/>
        <v>2025-05</v>
      </c>
    </row>
    <row r="403" spans="1:17" ht="15" customHeight="1" x14ac:dyDescent="0.25">
      <c r="A403">
        <f>'Customers Raw data'!A403</f>
        <v>1402</v>
      </c>
      <c r="B403" t="str">
        <f>'Customers Raw data'!B403</f>
        <v>2025-04-26</v>
      </c>
      <c r="C403" t="str">
        <f>'Customers Raw data'!C403</f>
        <v>Basic</v>
      </c>
      <c r="D403">
        <f>'Customers Raw data'!D403</f>
        <v>50</v>
      </c>
      <c r="E403">
        <f>'Customers Raw data'!E403</f>
        <v>30</v>
      </c>
      <c r="F403">
        <f>'Customers Raw data'!F403</f>
        <v>0</v>
      </c>
      <c r="G403">
        <f>IF('Customers Raw data'!F403&lt;&gt;"",1,0)</f>
        <v>0</v>
      </c>
      <c r="H403" t="str">
        <f>IF('Customers Raw data'!F403&lt;&gt;"",YEAR(DATEVALUE('Customers Raw data'!F403)),"")</f>
        <v/>
      </c>
      <c r="I403" t="str">
        <f>IF('Customers Raw data'!F403&lt;&gt;"",MONTH(DATEVALUE('Customers Raw data'!F403)),"")</f>
        <v/>
      </c>
      <c r="J403">
        <f>YEAR(DATEVALUE('Customers Raw data'!B403))</f>
        <v>2025</v>
      </c>
      <c r="K403">
        <f>MONTH(DATEVALUE('Customers Raw data'!B403))</f>
        <v>4</v>
      </c>
      <c r="L403">
        <f ca="1">IF('Customers Raw data'!F403&lt;&gt;"",DATEDIF(DATEVALUE('Customers Raw data'!B403),DATEVALUE('Customers Raw data'!F403),"M"),DATEDIF(DATEVALUE('Customers Raw data'!B403),TODAY(),"M"))</f>
        <v>11</v>
      </c>
      <c r="M403">
        <f t="shared" ca="1" si="30"/>
        <v>550</v>
      </c>
      <c r="N403">
        <f t="shared" si="31"/>
        <v>1</v>
      </c>
      <c r="O403">
        <f t="shared" ca="1" si="32"/>
        <v>0</v>
      </c>
      <c r="P403">
        <f t="shared" si="33"/>
        <v>0</v>
      </c>
      <c r="Q403" t="e">
        <f t="shared" si="34"/>
        <v>#VALUE!</v>
      </c>
    </row>
    <row r="404" spans="1:17" ht="15" customHeight="1" x14ac:dyDescent="0.25">
      <c r="A404">
        <f>'Customers Raw data'!A404</f>
        <v>1403</v>
      </c>
      <c r="B404" t="str">
        <f>'Customers Raw data'!B404</f>
        <v>2025-03-05</v>
      </c>
      <c r="C404" t="str">
        <f>'Customers Raw data'!C404</f>
        <v>Pro</v>
      </c>
      <c r="D404">
        <f>'Customers Raw data'!D404</f>
        <v>200</v>
      </c>
      <c r="E404">
        <f>'Customers Raw data'!E404</f>
        <v>100</v>
      </c>
      <c r="F404" t="str">
        <f>'Customers Raw data'!F404</f>
        <v>2025-04-23</v>
      </c>
      <c r="G404">
        <f>IF('Customers Raw data'!F404&lt;&gt;"",1,0)</f>
        <v>1</v>
      </c>
      <c r="H404">
        <f>IF('Customers Raw data'!F404&lt;&gt;"",YEAR(DATEVALUE('Customers Raw data'!F404)),"")</f>
        <v>2025</v>
      </c>
      <c r="I404">
        <f>IF('Customers Raw data'!F404&lt;&gt;"",MONTH(DATEVALUE('Customers Raw data'!F404)),"")</f>
        <v>4</v>
      </c>
      <c r="J404">
        <f>YEAR(DATEVALUE('Customers Raw data'!B404))</f>
        <v>2025</v>
      </c>
      <c r="K404">
        <f>MONTH(DATEVALUE('Customers Raw data'!B404))</f>
        <v>3</v>
      </c>
      <c r="L404">
        <f ca="1">IF('Customers Raw data'!F404&lt;&gt;"",DATEDIF(DATEVALUE('Customers Raw data'!B404),DATEVALUE('Customers Raw data'!F404),"M"),DATEDIF(DATEVALUE('Customers Raw data'!B404),TODAY(),"M"))</f>
        <v>1</v>
      </c>
      <c r="M404">
        <f t="shared" ca="1" si="30"/>
        <v>200</v>
      </c>
      <c r="N404">
        <f t="shared" si="31"/>
        <v>2</v>
      </c>
      <c r="O404">
        <f t="shared" ca="1" si="32"/>
        <v>1</v>
      </c>
      <c r="P404">
        <f t="shared" si="33"/>
        <v>200</v>
      </c>
      <c r="Q404" t="str">
        <f t="shared" si="34"/>
        <v>2025-04</v>
      </c>
    </row>
    <row r="405" spans="1:17" ht="15" customHeight="1" x14ac:dyDescent="0.25">
      <c r="A405">
        <f>'Customers Raw data'!A405</f>
        <v>1404</v>
      </c>
      <c r="B405" t="str">
        <f>'Customers Raw data'!B405</f>
        <v>2025-04-29</v>
      </c>
      <c r="C405" t="str">
        <f>'Customers Raw data'!C405</f>
        <v>Basic</v>
      </c>
      <c r="D405">
        <f>'Customers Raw data'!D405</f>
        <v>50</v>
      </c>
      <c r="E405">
        <f>'Customers Raw data'!E405</f>
        <v>30</v>
      </c>
      <c r="F405" t="str">
        <f>'Customers Raw data'!F405</f>
        <v>2025-06-01</v>
      </c>
      <c r="G405">
        <f>IF('Customers Raw data'!F405&lt;&gt;"",1,0)</f>
        <v>1</v>
      </c>
      <c r="H405">
        <f>IF('Customers Raw data'!F405&lt;&gt;"",YEAR(DATEVALUE('Customers Raw data'!F405)),"")</f>
        <v>2025</v>
      </c>
      <c r="I405">
        <f>IF('Customers Raw data'!F405&lt;&gt;"",MONTH(DATEVALUE('Customers Raw data'!F405)),"")</f>
        <v>6</v>
      </c>
      <c r="J405">
        <f>YEAR(DATEVALUE('Customers Raw data'!B405))</f>
        <v>2025</v>
      </c>
      <c r="K405">
        <f>MONTH(DATEVALUE('Customers Raw data'!B405))</f>
        <v>4</v>
      </c>
      <c r="L405">
        <f ca="1">IF('Customers Raw data'!F405&lt;&gt;"",DATEDIF(DATEVALUE('Customers Raw data'!B405),DATEVALUE('Customers Raw data'!F405),"M"),DATEDIF(DATEVALUE('Customers Raw data'!B405),TODAY(),"M"))</f>
        <v>1</v>
      </c>
      <c r="M405">
        <f t="shared" ca="1" si="30"/>
        <v>50</v>
      </c>
      <c r="N405">
        <f t="shared" si="31"/>
        <v>1</v>
      </c>
      <c r="O405">
        <f t="shared" ca="1" si="32"/>
        <v>1</v>
      </c>
      <c r="P405">
        <f t="shared" si="33"/>
        <v>50</v>
      </c>
      <c r="Q405" t="str">
        <f t="shared" si="34"/>
        <v>2025-06</v>
      </c>
    </row>
    <row r="406" spans="1:17" ht="15" customHeight="1" x14ac:dyDescent="0.25">
      <c r="A406">
        <f>'Customers Raw data'!A406</f>
        <v>1405</v>
      </c>
      <c r="B406" t="str">
        <f>'Customers Raw data'!B406</f>
        <v>2025-02-06</v>
      </c>
      <c r="C406" t="str">
        <f>'Customers Raw data'!C406</f>
        <v>Enterprise</v>
      </c>
      <c r="D406">
        <f>'Customers Raw data'!D406</f>
        <v>500</v>
      </c>
      <c r="E406">
        <f>'Customers Raw data'!E406</f>
        <v>200</v>
      </c>
      <c r="F406">
        <f>'Customers Raw data'!F406</f>
        <v>0</v>
      </c>
      <c r="G406">
        <f>IF('Customers Raw data'!F406&lt;&gt;"",1,0)</f>
        <v>0</v>
      </c>
      <c r="H406" t="str">
        <f>IF('Customers Raw data'!F406&lt;&gt;"",YEAR(DATEVALUE('Customers Raw data'!F406)),"")</f>
        <v/>
      </c>
      <c r="I406" t="str">
        <f>IF('Customers Raw data'!F406&lt;&gt;"",MONTH(DATEVALUE('Customers Raw data'!F406)),"")</f>
        <v/>
      </c>
      <c r="J406">
        <f>YEAR(DATEVALUE('Customers Raw data'!B406))</f>
        <v>2025</v>
      </c>
      <c r="K406">
        <f>MONTH(DATEVALUE('Customers Raw data'!B406))</f>
        <v>2</v>
      </c>
      <c r="L406">
        <f ca="1">IF('Customers Raw data'!F406&lt;&gt;"",DATEDIF(DATEVALUE('Customers Raw data'!B406),DATEVALUE('Customers Raw data'!F406),"M"),DATEDIF(DATEVALUE('Customers Raw data'!B406),TODAY(),"M"))</f>
        <v>14</v>
      </c>
      <c r="M406">
        <f t="shared" ca="1" si="30"/>
        <v>7000</v>
      </c>
      <c r="N406">
        <f t="shared" si="31"/>
        <v>3</v>
      </c>
      <c r="O406">
        <f t="shared" ca="1" si="32"/>
        <v>0</v>
      </c>
      <c r="P406">
        <f t="shared" si="33"/>
        <v>0</v>
      </c>
      <c r="Q406" t="e">
        <f t="shared" si="34"/>
        <v>#VALUE!</v>
      </c>
    </row>
    <row r="407" spans="1:17" ht="15" customHeight="1" x14ac:dyDescent="0.25">
      <c r="A407">
        <f>'Customers Raw data'!A407</f>
        <v>1406</v>
      </c>
      <c r="B407" t="str">
        <f>'Customers Raw data'!B407</f>
        <v>2025-02-08</v>
      </c>
      <c r="C407" t="str">
        <f>'Customers Raw data'!C407</f>
        <v>Basic</v>
      </c>
      <c r="D407">
        <f>'Customers Raw data'!D407</f>
        <v>50</v>
      </c>
      <c r="E407">
        <f>'Customers Raw data'!E407</f>
        <v>30</v>
      </c>
      <c r="F407">
        <f>'Customers Raw data'!F407</f>
        <v>0</v>
      </c>
      <c r="G407">
        <f>IF('Customers Raw data'!F407&lt;&gt;"",1,0)</f>
        <v>0</v>
      </c>
      <c r="H407" t="str">
        <f>IF('Customers Raw data'!F407&lt;&gt;"",YEAR(DATEVALUE('Customers Raw data'!F407)),"")</f>
        <v/>
      </c>
      <c r="I407" t="str">
        <f>IF('Customers Raw data'!F407&lt;&gt;"",MONTH(DATEVALUE('Customers Raw data'!F407)),"")</f>
        <v/>
      </c>
      <c r="J407">
        <f>YEAR(DATEVALUE('Customers Raw data'!B407))</f>
        <v>2025</v>
      </c>
      <c r="K407">
        <f>MONTH(DATEVALUE('Customers Raw data'!B407))</f>
        <v>2</v>
      </c>
      <c r="L407">
        <f ca="1">IF('Customers Raw data'!F407&lt;&gt;"",DATEDIF(DATEVALUE('Customers Raw data'!B407),DATEVALUE('Customers Raw data'!F407),"M"),DATEDIF(DATEVALUE('Customers Raw data'!B407),TODAY(),"M"))</f>
        <v>13</v>
      </c>
      <c r="M407">
        <f t="shared" ca="1" si="30"/>
        <v>650</v>
      </c>
      <c r="N407">
        <f t="shared" si="31"/>
        <v>1</v>
      </c>
      <c r="O407">
        <f t="shared" ca="1" si="32"/>
        <v>0</v>
      </c>
      <c r="P407">
        <f t="shared" si="33"/>
        <v>0</v>
      </c>
      <c r="Q407" t="e">
        <f t="shared" si="34"/>
        <v>#VALUE!</v>
      </c>
    </row>
    <row r="408" spans="1:17" ht="15" customHeight="1" x14ac:dyDescent="0.25">
      <c r="A408">
        <f>'Customers Raw data'!A408</f>
        <v>1407</v>
      </c>
      <c r="B408" t="str">
        <f>'Customers Raw data'!B408</f>
        <v>2024-11-07</v>
      </c>
      <c r="C408" t="str">
        <f>'Customers Raw data'!C408</f>
        <v>Enterprise</v>
      </c>
      <c r="D408">
        <f>'Customers Raw data'!D408</f>
        <v>500</v>
      </c>
      <c r="E408">
        <f>'Customers Raw data'!E408</f>
        <v>200</v>
      </c>
      <c r="F408">
        <f>'Customers Raw data'!F408</f>
        <v>0</v>
      </c>
      <c r="G408">
        <f>IF('Customers Raw data'!F408&lt;&gt;"",1,0)</f>
        <v>0</v>
      </c>
      <c r="H408" t="str">
        <f>IF('Customers Raw data'!F408&lt;&gt;"",YEAR(DATEVALUE('Customers Raw data'!F408)),"")</f>
        <v/>
      </c>
      <c r="I408" t="str">
        <f>IF('Customers Raw data'!F408&lt;&gt;"",MONTH(DATEVALUE('Customers Raw data'!F408)),"")</f>
        <v/>
      </c>
      <c r="J408">
        <f>YEAR(DATEVALUE('Customers Raw data'!B408))</f>
        <v>2024</v>
      </c>
      <c r="K408">
        <f>MONTH(DATEVALUE('Customers Raw data'!B408))</f>
        <v>11</v>
      </c>
      <c r="L408">
        <f ca="1">IF('Customers Raw data'!F408&lt;&gt;"",DATEDIF(DATEVALUE('Customers Raw data'!B408),DATEVALUE('Customers Raw data'!F408),"M"),DATEDIF(DATEVALUE('Customers Raw data'!B408),TODAY(),"M"))</f>
        <v>17</v>
      </c>
      <c r="M408">
        <f t="shared" ca="1" si="30"/>
        <v>8500</v>
      </c>
      <c r="N408">
        <f t="shared" si="31"/>
        <v>3</v>
      </c>
      <c r="O408">
        <f t="shared" ca="1" si="32"/>
        <v>0</v>
      </c>
      <c r="P408">
        <f t="shared" si="33"/>
        <v>0</v>
      </c>
      <c r="Q408" t="e">
        <f t="shared" si="34"/>
        <v>#VALUE!</v>
      </c>
    </row>
    <row r="409" spans="1:17" ht="15" customHeight="1" x14ac:dyDescent="0.25">
      <c r="A409">
        <f>'Customers Raw data'!A409</f>
        <v>1408</v>
      </c>
      <c r="B409" t="str">
        <f>'Customers Raw data'!B409</f>
        <v>2024-02-13</v>
      </c>
      <c r="C409" t="str">
        <f>'Customers Raw data'!C409</f>
        <v>Pro</v>
      </c>
      <c r="D409">
        <f>'Customers Raw data'!D409</f>
        <v>200</v>
      </c>
      <c r="E409">
        <f>'Customers Raw data'!E409</f>
        <v>100</v>
      </c>
      <c r="F409">
        <f>'Customers Raw data'!F409</f>
        <v>0</v>
      </c>
      <c r="G409">
        <f>IF('Customers Raw data'!F409&lt;&gt;"",1,0)</f>
        <v>0</v>
      </c>
      <c r="H409" t="str">
        <f>IF('Customers Raw data'!F409&lt;&gt;"",YEAR(DATEVALUE('Customers Raw data'!F409)),"")</f>
        <v/>
      </c>
      <c r="I409" t="str">
        <f>IF('Customers Raw data'!F409&lt;&gt;"",MONTH(DATEVALUE('Customers Raw data'!F409)),"")</f>
        <v/>
      </c>
      <c r="J409">
        <f>YEAR(DATEVALUE('Customers Raw data'!B409))</f>
        <v>2024</v>
      </c>
      <c r="K409">
        <f>MONTH(DATEVALUE('Customers Raw data'!B409))</f>
        <v>2</v>
      </c>
      <c r="L409">
        <f ca="1">IF('Customers Raw data'!F409&lt;&gt;"",DATEDIF(DATEVALUE('Customers Raw data'!B409),DATEVALUE('Customers Raw data'!F409),"M"),DATEDIF(DATEVALUE('Customers Raw data'!B409),TODAY(),"M"))</f>
        <v>25</v>
      </c>
      <c r="M409">
        <f t="shared" ca="1" si="30"/>
        <v>5000</v>
      </c>
      <c r="N409">
        <f t="shared" si="31"/>
        <v>2</v>
      </c>
      <c r="O409">
        <f t="shared" ca="1" si="32"/>
        <v>0</v>
      </c>
      <c r="P409">
        <f t="shared" si="33"/>
        <v>0</v>
      </c>
      <c r="Q409" t="e">
        <f t="shared" si="34"/>
        <v>#VALUE!</v>
      </c>
    </row>
    <row r="410" spans="1:17" ht="15" customHeight="1" x14ac:dyDescent="0.25">
      <c r="A410">
        <f>'Customers Raw data'!A410</f>
        <v>1409</v>
      </c>
      <c r="B410" t="str">
        <f>'Customers Raw data'!B410</f>
        <v>2025-03-30</v>
      </c>
      <c r="C410" t="str">
        <f>'Customers Raw data'!C410</f>
        <v>Basic</v>
      </c>
      <c r="D410">
        <f>'Customers Raw data'!D410</f>
        <v>50</v>
      </c>
      <c r="E410">
        <f>'Customers Raw data'!E410</f>
        <v>30</v>
      </c>
      <c r="F410">
        <f>'Customers Raw data'!F410</f>
        <v>0</v>
      </c>
      <c r="G410">
        <f>IF('Customers Raw data'!F410&lt;&gt;"",1,0)</f>
        <v>0</v>
      </c>
      <c r="H410" t="str">
        <f>IF('Customers Raw data'!F410&lt;&gt;"",YEAR(DATEVALUE('Customers Raw data'!F410)),"")</f>
        <v/>
      </c>
      <c r="I410" t="str">
        <f>IF('Customers Raw data'!F410&lt;&gt;"",MONTH(DATEVALUE('Customers Raw data'!F410)),"")</f>
        <v/>
      </c>
      <c r="J410">
        <f>YEAR(DATEVALUE('Customers Raw data'!B410))</f>
        <v>2025</v>
      </c>
      <c r="K410">
        <f>MONTH(DATEVALUE('Customers Raw data'!B410))</f>
        <v>3</v>
      </c>
      <c r="L410">
        <f ca="1">IF('Customers Raw data'!F410&lt;&gt;"",DATEDIF(DATEVALUE('Customers Raw data'!B410),DATEVALUE('Customers Raw data'!F410),"M"),DATEDIF(DATEVALUE('Customers Raw data'!B410),TODAY(),"M"))</f>
        <v>12</v>
      </c>
      <c r="M410">
        <f t="shared" ca="1" si="30"/>
        <v>600</v>
      </c>
      <c r="N410">
        <f t="shared" si="31"/>
        <v>1</v>
      </c>
      <c r="O410">
        <f t="shared" ca="1" si="32"/>
        <v>0</v>
      </c>
      <c r="P410">
        <f t="shared" si="33"/>
        <v>0</v>
      </c>
      <c r="Q410" t="e">
        <f t="shared" si="34"/>
        <v>#VALUE!</v>
      </c>
    </row>
    <row r="411" spans="1:17" ht="15" customHeight="1" x14ac:dyDescent="0.25">
      <c r="A411">
        <f>'Customers Raw data'!A411</f>
        <v>1410</v>
      </c>
      <c r="B411" t="str">
        <f>'Customers Raw data'!B411</f>
        <v>2025-06-26</v>
      </c>
      <c r="C411" t="str">
        <f>'Customers Raw data'!C411</f>
        <v>Pro</v>
      </c>
      <c r="D411">
        <f>'Customers Raw data'!D411</f>
        <v>200</v>
      </c>
      <c r="E411">
        <f>'Customers Raw data'!E411</f>
        <v>100</v>
      </c>
      <c r="F411">
        <f>'Customers Raw data'!F411</f>
        <v>0</v>
      </c>
      <c r="G411">
        <f>IF('Customers Raw data'!F411&lt;&gt;"",1,0)</f>
        <v>0</v>
      </c>
      <c r="H411" t="str">
        <f>IF('Customers Raw data'!F411&lt;&gt;"",YEAR(DATEVALUE('Customers Raw data'!F411)),"")</f>
        <v/>
      </c>
      <c r="I411" t="str">
        <f>IF('Customers Raw data'!F411&lt;&gt;"",MONTH(DATEVALUE('Customers Raw data'!F411)),"")</f>
        <v/>
      </c>
      <c r="J411">
        <f>YEAR(DATEVALUE('Customers Raw data'!B411))</f>
        <v>2025</v>
      </c>
      <c r="K411">
        <f>MONTH(DATEVALUE('Customers Raw data'!B411))</f>
        <v>6</v>
      </c>
      <c r="L411">
        <f ca="1">IF('Customers Raw data'!F411&lt;&gt;"",DATEDIF(DATEVALUE('Customers Raw data'!B411),DATEVALUE('Customers Raw data'!F411),"M"),DATEDIF(DATEVALUE('Customers Raw data'!B411),TODAY(),"M"))</f>
        <v>9</v>
      </c>
      <c r="M411">
        <f t="shared" ca="1" si="30"/>
        <v>1800</v>
      </c>
      <c r="N411">
        <f t="shared" si="31"/>
        <v>2</v>
      </c>
      <c r="O411">
        <f t="shared" ca="1" si="32"/>
        <v>0</v>
      </c>
      <c r="P411">
        <f t="shared" si="33"/>
        <v>0</v>
      </c>
      <c r="Q411" t="e">
        <f t="shared" si="34"/>
        <v>#VALUE!</v>
      </c>
    </row>
    <row r="412" spans="1:17" ht="15" customHeight="1" x14ac:dyDescent="0.25">
      <c r="A412">
        <f>'Customers Raw data'!A412</f>
        <v>1411</v>
      </c>
      <c r="B412" t="str">
        <f>'Customers Raw data'!B412</f>
        <v>2024-10-29</v>
      </c>
      <c r="C412" t="str">
        <f>'Customers Raw data'!C412</f>
        <v>Pro</v>
      </c>
      <c r="D412">
        <f>'Customers Raw data'!D412</f>
        <v>200</v>
      </c>
      <c r="E412">
        <f>'Customers Raw data'!E412</f>
        <v>100</v>
      </c>
      <c r="F412">
        <f>'Customers Raw data'!F412</f>
        <v>0</v>
      </c>
      <c r="G412">
        <f>IF('Customers Raw data'!F412&lt;&gt;"",1,0)</f>
        <v>0</v>
      </c>
      <c r="H412" t="str">
        <f>IF('Customers Raw data'!F412&lt;&gt;"",YEAR(DATEVALUE('Customers Raw data'!F412)),"")</f>
        <v/>
      </c>
      <c r="I412" t="str">
        <f>IF('Customers Raw data'!F412&lt;&gt;"",MONTH(DATEVALUE('Customers Raw data'!F412)),"")</f>
        <v/>
      </c>
      <c r="J412">
        <f>YEAR(DATEVALUE('Customers Raw data'!B412))</f>
        <v>2024</v>
      </c>
      <c r="K412">
        <f>MONTH(DATEVALUE('Customers Raw data'!B412))</f>
        <v>10</v>
      </c>
      <c r="L412">
        <f ca="1">IF('Customers Raw data'!F412&lt;&gt;"",DATEDIF(DATEVALUE('Customers Raw data'!B412),DATEVALUE('Customers Raw data'!F412),"M"),DATEDIF(DATEVALUE('Customers Raw data'!B412),TODAY(),"M"))</f>
        <v>17</v>
      </c>
      <c r="M412">
        <f t="shared" ca="1" si="30"/>
        <v>3400</v>
      </c>
      <c r="N412">
        <f t="shared" si="31"/>
        <v>2</v>
      </c>
      <c r="O412">
        <f t="shared" ca="1" si="32"/>
        <v>0</v>
      </c>
      <c r="P412">
        <f t="shared" si="33"/>
        <v>0</v>
      </c>
      <c r="Q412" t="e">
        <f t="shared" si="34"/>
        <v>#VALUE!</v>
      </c>
    </row>
    <row r="413" spans="1:17" ht="15" customHeight="1" x14ac:dyDescent="0.25">
      <c r="A413">
        <f>'Customers Raw data'!A413</f>
        <v>1412</v>
      </c>
      <c r="B413" t="str">
        <f>'Customers Raw data'!B413</f>
        <v>2025-05-26</v>
      </c>
      <c r="C413" t="str">
        <f>'Customers Raw data'!C413</f>
        <v>Pro</v>
      </c>
      <c r="D413">
        <f>'Customers Raw data'!D413</f>
        <v>200</v>
      </c>
      <c r="E413">
        <f>'Customers Raw data'!E413</f>
        <v>100</v>
      </c>
      <c r="F413">
        <f>'Customers Raw data'!F413</f>
        <v>0</v>
      </c>
      <c r="G413">
        <f>IF('Customers Raw data'!F413&lt;&gt;"",1,0)</f>
        <v>0</v>
      </c>
      <c r="H413" t="str">
        <f>IF('Customers Raw data'!F413&lt;&gt;"",YEAR(DATEVALUE('Customers Raw data'!F413)),"")</f>
        <v/>
      </c>
      <c r="I413" t="str">
        <f>IF('Customers Raw data'!F413&lt;&gt;"",MONTH(DATEVALUE('Customers Raw data'!F413)),"")</f>
        <v/>
      </c>
      <c r="J413">
        <f>YEAR(DATEVALUE('Customers Raw data'!B413))</f>
        <v>2025</v>
      </c>
      <c r="K413">
        <f>MONTH(DATEVALUE('Customers Raw data'!B413))</f>
        <v>5</v>
      </c>
      <c r="L413">
        <f ca="1">IF('Customers Raw data'!F413&lt;&gt;"",DATEDIF(DATEVALUE('Customers Raw data'!B413),DATEVALUE('Customers Raw data'!F413),"M"),DATEDIF(DATEVALUE('Customers Raw data'!B413),TODAY(),"M"))</f>
        <v>10</v>
      </c>
      <c r="M413">
        <f t="shared" ca="1" si="30"/>
        <v>2000</v>
      </c>
      <c r="N413">
        <f t="shared" si="31"/>
        <v>2</v>
      </c>
      <c r="O413">
        <f t="shared" ca="1" si="32"/>
        <v>0</v>
      </c>
      <c r="P413">
        <f t="shared" si="33"/>
        <v>0</v>
      </c>
      <c r="Q413" t="e">
        <f t="shared" si="34"/>
        <v>#VALUE!</v>
      </c>
    </row>
    <row r="414" spans="1:17" ht="15" customHeight="1" x14ac:dyDescent="0.25">
      <c r="A414">
        <f>'Customers Raw data'!A414</f>
        <v>1413</v>
      </c>
      <c r="B414" t="str">
        <f>'Customers Raw data'!B414</f>
        <v>2024-02-28</v>
      </c>
      <c r="C414" t="str">
        <f>'Customers Raw data'!C414</f>
        <v>Pro</v>
      </c>
      <c r="D414">
        <f>'Customers Raw data'!D414</f>
        <v>200</v>
      </c>
      <c r="E414">
        <f>'Customers Raw data'!E414</f>
        <v>100</v>
      </c>
      <c r="F414">
        <f>'Customers Raw data'!F414</f>
        <v>0</v>
      </c>
      <c r="G414">
        <f>IF('Customers Raw data'!F414&lt;&gt;"",1,0)</f>
        <v>0</v>
      </c>
      <c r="H414" t="str">
        <f>IF('Customers Raw data'!F414&lt;&gt;"",YEAR(DATEVALUE('Customers Raw data'!F414)),"")</f>
        <v/>
      </c>
      <c r="I414" t="str">
        <f>IF('Customers Raw data'!F414&lt;&gt;"",MONTH(DATEVALUE('Customers Raw data'!F414)),"")</f>
        <v/>
      </c>
      <c r="J414">
        <f>YEAR(DATEVALUE('Customers Raw data'!B414))</f>
        <v>2024</v>
      </c>
      <c r="K414">
        <f>MONTH(DATEVALUE('Customers Raw data'!B414))</f>
        <v>2</v>
      </c>
      <c r="L414">
        <f ca="1">IF('Customers Raw data'!F414&lt;&gt;"",DATEDIF(DATEVALUE('Customers Raw data'!B414),DATEVALUE('Customers Raw data'!F414),"M"),DATEDIF(DATEVALUE('Customers Raw data'!B414),TODAY(),"M"))</f>
        <v>25</v>
      </c>
      <c r="M414">
        <f t="shared" ca="1" si="30"/>
        <v>5000</v>
      </c>
      <c r="N414">
        <f t="shared" si="31"/>
        <v>2</v>
      </c>
      <c r="O414">
        <f t="shared" ca="1" si="32"/>
        <v>0</v>
      </c>
      <c r="P414">
        <f t="shared" si="33"/>
        <v>0</v>
      </c>
      <c r="Q414" t="e">
        <f t="shared" si="34"/>
        <v>#VALUE!</v>
      </c>
    </row>
    <row r="415" spans="1:17" ht="15" customHeight="1" x14ac:dyDescent="0.25">
      <c r="A415">
        <f>'Customers Raw data'!A415</f>
        <v>1414</v>
      </c>
      <c r="B415" t="str">
        <f>'Customers Raw data'!B415</f>
        <v>2025-02-28</v>
      </c>
      <c r="C415" t="str">
        <f>'Customers Raw data'!C415</f>
        <v>Enterprise</v>
      </c>
      <c r="D415">
        <f>'Customers Raw data'!D415</f>
        <v>500</v>
      </c>
      <c r="E415">
        <f>'Customers Raw data'!E415</f>
        <v>200</v>
      </c>
      <c r="F415" t="str">
        <f>'Customers Raw data'!F415</f>
        <v>2025-06-21</v>
      </c>
      <c r="G415">
        <f>IF('Customers Raw data'!F415&lt;&gt;"",1,0)</f>
        <v>1</v>
      </c>
      <c r="H415">
        <f>IF('Customers Raw data'!F415&lt;&gt;"",YEAR(DATEVALUE('Customers Raw data'!F415)),"")</f>
        <v>2025</v>
      </c>
      <c r="I415">
        <f>IF('Customers Raw data'!F415&lt;&gt;"",MONTH(DATEVALUE('Customers Raw data'!F415)),"")</f>
        <v>6</v>
      </c>
      <c r="J415">
        <f>YEAR(DATEVALUE('Customers Raw data'!B415))</f>
        <v>2025</v>
      </c>
      <c r="K415">
        <f>MONTH(DATEVALUE('Customers Raw data'!B415))</f>
        <v>2</v>
      </c>
      <c r="L415">
        <f ca="1">IF('Customers Raw data'!F415&lt;&gt;"",DATEDIF(DATEVALUE('Customers Raw data'!B415),DATEVALUE('Customers Raw data'!F415),"M"),DATEDIF(DATEVALUE('Customers Raw data'!B415),TODAY(),"M"))</f>
        <v>3</v>
      </c>
      <c r="M415">
        <f t="shared" ca="1" si="30"/>
        <v>1500</v>
      </c>
      <c r="N415">
        <f t="shared" si="31"/>
        <v>3</v>
      </c>
      <c r="O415">
        <f t="shared" ca="1" si="32"/>
        <v>1</v>
      </c>
      <c r="P415">
        <f t="shared" si="33"/>
        <v>500</v>
      </c>
      <c r="Q415" t="str">
        <f t="shared" si="34"/>
        <v>2025-06</v>
      </c>
    </row>
    <row r="416" spans="1:17" ht="15" customHeight="1" x14ac:dyDescent="0.25">
      <c r="A416">
        <f>'Customers Raw data'!A416</f>
        <v>1415</v>
      </c>
      <c r="B416" t="str">
        <f>'Customers Raw data'!B416</f>
        <v>2025-02-27</v>
      </c>
      <c r="C416" t="str">
        <f>'Customers Raw data'!C416</f>
        <v>Basic</v>
      </c>
      <c r="D416">
        <f>'Customers Raw data'!D416</f>
        <v>50</v>
      </c>
      <c r="E416">
        <f>'Customers Raw data'!E416</f>
        <v>30</v>
      </c>
      <c r="F416">
        <f>'Customers Raw data'!F416</f>
        <v>0</v>
      </c>
      <c r="G416">
        <f>IF('Customers Raw data'!F416&lt;&gt;"",1,0)</f>
        <v>0</v>
      </c>
      <c r="H416" t="str">
        <f>IF('Customers Raw data'!F416&lt;&gt;"",YEAR(DATEVALUE('Customers Raw data'!F416)),"")</f>
        <v/>
      </c>
      <c r="I416" t="str">
        <f>IF('Customers Raw data'!F416&lt;&gt;"",MONTH(DATEVALUE('Customers Raw data'!F416)),"")</f>
        <v/>
      </c>
      <c r="J416">
        <f>YEAR(DATEVALUE('Customers Raw data'!B416))</f>
        <v>2025</v>
      </c>
      <c r="K416">
        <f>MONTH(DATEVALUE('Customers Raw data'!B416))</f>
        <v>2</v>
      </c>
      <c r="L416">
        <f ca="1">IF('Customers Raw data'!F416&lt;&gt;"",DATEDIF(DATEVALUE('Customers Raw data'!B416),DATEVALUE('Customers Raw data'!F416),"M"),DATEDIF(DATEVALUE('Customers Raw data'!B416),TODAY(),"M"))</f>
        <v>13</v>
      </c>
      <c r="M416">
        <f t="shared" ca="1" si="30"/>
        <v>650</v>
      </c>
      <c r="N416">
        <f t="shared" si="31"/>
        <v>1</v>
      </c>
      <c r="O416">
        <f t="shared" ca="1" si="32"/>
        <v>0</v>
      </c>
      <c r="P416">
        <f t="shared" si="33"/>
        <v>0</v>
      </c>
      <c r="Q416" t="e">
        <f t="shared" si="34"/>
        <v>#VALUE!</v>
      </c>
    </row>
    <row r="417" spans="1:17" ht="15" customHeight="1" x14ac:dyDescent="0.25">
      <c r="A417">
        <f>'Customers Raw data'!A417</f>
        <v>1416</v>
      </c>
      <c r="B417" t="str">
        <f>'Customers Raw data'!B417</f>
        <v>2024-02-02</v>
      </c>
      <c r="C417" t="str">
        <f>'Customers Raw data'!C417</f>
        <v>Pro</v>
      </c>
      <c r="D417">
        <f>'Customers Raw data'!D417</f>
        <v>200</v>
      </c>
      <c r="E417">
        <f>'Customers Raw data'!E417</f>
        <v>100</v>
      </c>
      <c r="F417">
        <f>'Customers Raw data'!F417</f>
        <v>0</v>
      </c>
      <c r="G417">
        <f>IF('Customers Raw data'!F417&lt;&gt;"",1,0)</f>
        <v>0</v>
      </c>
      <c r="H417" t="str">
        <f>IF('Customers Raw data'!F417&lt;&gt;"",YEAR(DATEVALUE('Customers Raw data'!F417)),"")</f>
        <v/>
      </c>
      <c r="I417" t="str">
        <f>IF('Customers Raw data'!F417&lt;&gt;"",MONTH(DATEVALUE('Customers Raw data'!F417)),"")</f>
        <v/>
      </c>
      <c r="J417">
        <f>YEAR(DATEVALUE('Customers Raw data'!B417))</f>
        <v>2024</v>
      </c>
      <c r="K417">
        <f>MONTH(DATEVALUE('Customers Raw data'!B417))</f>
        <v>2</v>
      </c>
      <c r="L417">
        <f ca="1">IF('Customers Raw data'!F417&lt;&gt;"",DATEDIF(DATEVALUE('Customers Raw data'!B417),DATEVALUE('Customers Raw data'!F417),"M"),DATEDIF(DATEVALUE('Customers Raw data'!B417),TODAY(),"M"))</f>
        <v>26</v>
      </c>
      <c r="M417">
        <f t="shared" ca="1" si="30"/>
        <v>5200</v>
      </c>
      <c r="N417">
        <f t="shared" si="31"/>
        <v>2</v>
      </c>
      <c r="O417">
        <f t="shared" ca="1" si="32"/>
        <v>0</v>
      </c>
      <c r="P417">
        <f t="shared" si="33"/>
        <v>0</v>
      </c>
      <c r="Q417" t="e">
        <f t="shared" si="34"/>
        <v>#VALUE!</v>
      </c>
    </row>
    <row r="418" spans="1:17" ht="15" customHeight="1" x14ac:dyDescent="0.25">
      <c r="A418">
        <f>'Customers Raw data'!A418</f>
        <v>1417</v>
      </c>
      <c r="B418" t="str">
        <f>'Customers Raw data'!B418</f>
        <v>2024-11-04</v>
      </c>
      <c r="C418" t="str">
        <f>'Customers Raw data'!C418</f>
        <v>Pro</v>
      </c>
      <c r="D418">
        <f>'Customers Raw data'!D418</f>
        <v>200</v>
      </c>
      <c r="E418">
        <f>'Customers Raw data'!E418</f>
        <v>100</v>
      </c>
      <c r="F418">
        <f>'Customers Raw data'!F418</f>
        <v>0</v>
      </c>
      <c r="G418">
        <f>IF('Customers Raw data'!F418&lt;&gt;"",1,0)</f>
        <v>0</v>
      </c>
      <c r="H418" t="str">
        <f>IF('Customers Raw data'!F418&lt;&gt;"",YEAR(DATEVALUE('Customers Raw data'!F418)),"")</f>
        <v/>
      </c>
      <c r="I418" t="str">
        <f>IF('Customers Raw data'!F418&lt;&gt;"",MONTH(DATEVALUE('Customers Raw data'!F418)),"")</f>
        <v/>
      </c>
      <c r="J418">
        <f>YEAR(DATEVALUE('Customers Raw data'!B418))</f>
        <v>2024</v>
      </c>
      <c r="K418">
        <f>MONTH(DATEVALUE('Customers Raw data'!B418))</f>
        <v>11</v>
      </c>
      <c r="L418">
        <f ca="1">IF('Customers Raw data'!F418&lt;&gt;"",DATEDIF(DATEVALUE('Customers Raw data'!B418),DATEVALUE('Customers Raw data'!F418),"M"),DATEDIF(DATEVALUE('Customers Raw data'!B418),TODAY(),"M"))</f>
        <v>17</v>
      </c>
      <c r="M418">
        <f t="shared" ca="1" si="30"/>
        <v>3400</v>
      </c>
      <c r="N418">
        <f t="shared" si="31"/>
        <v>2</v>
      </c>
      <c r="O418">
        <f t="shared" ca="1" si="32"/>
        <v>0</v>
      </c>
      <c r="P418">
        <f t="shared" si="33"/>
        <v>0</v>
      </c>
      <c r="Q418" t="e">
        <f t="shared" si="34"/>
        <v>#VALUE!</v>
      </c>
    </row>
    <row r="419" spans="1:17" ht="15" customHeight="1" x14ac:dyDescent="0.25">
      <c r="A419">
        <f>'Customers Raw data'!A419</f>
        <v>1418</v>
      </c>
      <c r="B419" t="str">
        <f>'Customers Raw data'!B419</f>
        <v>2025-05-01</v>
      </c>
      <c r="C419" t="str">
        <f>'Customers Raw data'!C419</f>
        <v>Pro</v>
      </c>
      <c r="D419">
        <f>'Customers Raw data'!D419</f>
        <v>200</v>
      </c>
      <c r="E419">
        <f>'Customers Raw data'!E419</f>
        <v>100</v>
      </c>
      <c r="F419">
        <f>'Customers Raw data'!F419</f>
        <v>0</v>
      </c>
      <c r="G419">
        <f>IF('Customers Raw data'!F419&lt;&gt;"",1,0)</f>
        <v>0</v>
      </c>
      <c r="H419" t="str">
        <f>IF('Customers Raw data'!F419&lt;&gt;"",YEAR(DATEVALUE('Customers Raw data'!F419)),"")</f>
        <v/>
      </c>
      <c r="I419" t="str">
        <f>IF('Customers Raw data'!F419&lt;&gt;"",MONTH(DATEVALUE('Customers Raw data'!F419)),"")</f>
        <v/>
      </c>
      <c r="J419">
        <f>YEAR(DATEVALUE('Customers Raw data'!B419))</f>
        <v>2025</v>
      </c>
      <c r="K419">
        <f>MONTH(DATEVALUE('Customers Raw data'!B419))</f>
        <v>5</v>
      </c>
      <c r="L419">
        <f ca="1">IF('Customers Raw data'!F419&lt;&gt;"",DATEDIF(DATEVALUE('Customers Raw data'!B419),DATEVALUE('Customers Raw data'!F419),"M"),DATEDIF(DATEVALUE('Customers Raw data'!B419),TODAY(),"M"))</f>
        <v>11</v>
      </c>
      <c r="M419">
        <f t="shared" ca="1" si="30"/>
        <v>2200</v>
      </c>
      <c r="N419">
        <f t="shared" si="31"/>
        <v>2</v>
      </c>
      <c r="O419">
        <f t="shared" ca="1" si="32"/>
        <v>0</v>
      </c>
      <c r="P419">
        <f t="shared" si="33"/>
        <v>0</v>
      </c>
      <c r="Q419" t="e">
        <f t="shared" si="34"/>
        <v>#VALUE!</v>
      </c>
    </row>
    <row r="420" spans="1:17" ht="15" customHeight="1" x14ac:dyDescent="0.25">
      <c r="A420">
        <f>'Customers Raw data'!A420</f>
        <v>1419</v>
      </c>
      <c r="B420" t="str">
        <f>'Customers Raw data'!B420</f>
        <v>2025-01-31</v>
      </c>
      <c r="C420" t="str">
        <f>'Customers Raw data'!C420</f>
        <v>Pro</v>
      </c>
      <c r="D420">
        <f>'Customers Raw data'!D420</f>
        <v>200</v>
      </c>
      <c r="E420">
        <f>'Customers Raw data'!E420</f>
        <v>100</v>
      </c>
      <c r="F420" t="str">
        <f>'Customers Raw data'!F420</f>
        <v>2025-03-31</v>
      </c>
      <c r="G420">
        <f>IF('Customers Raw data'!F420&lt;&gt;"",1,0)</f>
        <v>1</v>
      </c>
      <c r="H420">
        <f>IF('Customers Raw data'!F420&lt;&gt;"",YEAR(DATEVALUE('Customers Raw data'!F420)),"")</f>
        <v>2025</v>
      </c>
      <c r="I420">
        <f>IF('Customers Raw data'!F420&lt;&gt;"",MONTH(DATEVALUE('Customers Raw data'!F420)),"")</f>
        <v>3</v>
      </c>
      <c r="J420">
        <f>YEAR(DATEVALUE('Customers Raw data'!B420))</f>
        <v>2025</v>
      </c>
      <c r="K420">
        <f>MONTH(DATEVALUE('Customers Raw data'!B420))</f>
        <v>1</v>
      </c>
      <c r="L420">
        <f ca="1">IF('Customers Raw data'!F420&lt;&gt;"",DATEDIF(DATEVALUE('Customers Raw data'!B420),DATEVALUE('Customers Raw data'!F420),"M"),DATEDIF(DATEVALUE('Customers Raw data'!B420),TODAY(),"M"))</f>
        <v>2</v>
      </c>
      <c r="M420">
        <f t="shared" ca="1" si="30"/>
        <v>400</v>
      </c>
      <c r="N420">
        <f t="shared" si="31"/>
        <v>2</v>
      </c>
      <c r="O420">
        <f t="shared" ca="1" si="32"/>
        <v>1</v>
      </c>
      <c r="P420">
        <f t="shared" si="33"/>
        <v>200</v>
      </c>
      <c r="Q420" t="str">
        <f t="shared" si="34"/>
        <v>2025-03</v>
      </c>
    </row>
    <row r="421" spans="1:17" ht="15" customHeight="1" x14ac:dyDescent="0.25">
      <c r="A421">
        <f>'Customers Raw data'!A421</f>
        <v>1420</v>
      </c>
      <c r="B421" t="str">
        <f>'Customers Raw data'!B421</f>
        <v>2024-10-07</v>
      </c>
      <c r="C421" t="str">
        <f>'Customers Raw data'!C421</f>
        <v>Basic</v>
      </c>
      <c r="D421">
        <f>'Customers Raw data'!D421</f>
        <v>50</v>
      </c>
      <c r="E421">
        <f>'Customers Raw data'!E421</f>
        <v>30</v>
      </c>
      <c r="F421">
        <f>'Customers Raw data'!F421</f>
        <v>0</v>
      </c>
      <c r="G421">
        <f>IF('Customers Raw data'!F421&lt;&gt;"",1,0)</f>
        <v>0</v>
      </c>
      <c r="H421" t="str">
        <f>IF('Customers Raw data'!F421&lt;&gt;"",YEAR(DATEVALUE('Customers Raw data'!F421)),"")</f>
        <v/>
      </c>
      <c r="I421" t="str">
        <f>IF('Customers Raw data'!F421&lt;&gt;"",MONTH(DATEVALUE('Customers Raw data'!F421)),"")</f>
        <v/>
      </c>
      <c r="J421">
        <f>YEAR(DATEVALUE('Customers Raw data'!B421))</f>
        <v>2024</v>
      </c>
      <c r="K421">
        <f>MONTH(DATEVALUE('Customers Raw data'!B421))</f>
        <v>10</v>
      </c>
      <c r="L421">
        <f ca="1">IF('Customers Raw data'!F421&lt;&gt;"",DATEDIF(DATEVALUE('Customers Raw data'!B421),DATEVALUE('Customers Raw data'!F421),"M"),DATEDIF(DATEVALUE('Customers Raw data'!B421),TODAY(),"M"))</f>
        <v>18</v>
      </c>
      <c r="M421">
        <f t="shared" ca="1" si="30"/>
        <v>900</v>
      </c>
      <c r="N421">
        <f t="shared" si="31"/>
        <v>1</v>
      </c>
      <c r="O421">
        <f t="shared" ca="1" si="32"/>
        <v>0</v>
      </c>
      <c r="P421">
        <f t="shared" si="33"/>
        <v>0</v>
      </c>
      <c r="Q421" t="e">
        <f t="shared" si="34"/>
        <v>#VALUE!</v>
      </c>
    </row>
    <row r="422" spans="1:17" ht="15" customHeight="1" x14ac:dyDescent="0.25">
      <c r="A422">
        <f>'Customers Raw data'!A422</f>
        <v>1421</v>
      </c>
      <c r="B422" t="str">
        <f>'Customers Raw data'!B422</f>
        <v>2024-01-01</v>
      </c>
      <c r="C422" t="str">
        <f>'Customers Raw data'!C422</f>
        <v>Enterprise</v>
      </c>
      <c r="D422">
        <f>'Customers Raw data'!D422</f>
        <v>500</v>
      </c>
      <c r="E422">
        <f>'Customers Raw data'!E422</f>
        <v>200</v>
      </c>
      <c r="F422">
        <f>'Customers Raw data'!F422</f>
        <v>0</v>
      </c>
      <c r="G422">
        <f>IF('Customers Raw data'!F422&lt;&gt;"",1,0)</f>
        <v>0</v>
      </c>
      <c r="H422" t="str">
        <f>IF('Customers Raw data'!F422&lt;&gt;"",YEAR(DATEVALUE('Customers Raw data'!F422)),"")</f>
        <v/>
      </c>
      <c r="I422" t="str">
        <f>IF('Customers Raw data'!F422&lt;&gt;"",MONTH(DATEVALUE('Customers Raw data'!F422)),"")</f>
        <v/>
      </c>
      <c r="J422">
        <f>YEAR(DATEVALUE('Customers Raw data'!B422))</f>
        <v>2024</v>
      </c>
      <c r="K422">
        <f>MONTH(DATEVALUE('Customers Raw data'!B422))</f>
        <v>1</v>
      </c>
      <c r="L422">
        <f ca="1">IF('Customers Raw data'!F422&lt;&gt;"",DATEDIF(DATEVALUE('Customers Raw data'!B422),DATEVALUE('Customers Raw data'!F422),"M"),DATEDIF(DATEVALUE('Customers Raw data'!B422),TODAY(),"M"))</f>
        <v>27</v>
      </c>
      <c r="M422">
        <f t="shared" ca="1" si="30"/>
        <v>13500</v>
      </c>
      <c r="N422">
        <f t="shared" si="31"/>
        <v>3</v>
      </c>
      <c r="O422">
        <f t="shared" ca="1" si="32"/>
        <v>0</v>
      </c>
      <c r="P422">
        <f t="shared" si="33"/>
        <v>0</v>
      </c>
      <c r="Q422" t="e">
        <f t="shared" si="34"/>
        <v>#VALUE!</v>
      </c>
    </row>
    <row r="423" spans="1:17" ht="15" customHeight="1" x14ac:dyDescent="0.25">
      <c r="A423">
        <f>'Customers Raw data'!A423</f>
        <v>1422</v>
      </c>
      <c r="B423" t="str">
        <f>'Customers Raw data'!B423</f>
        <v>2024-12-09</v>
      </c>
      <c r="C423" t="str">
        <f>'Customers Raw data'!C423</f>
        <v>Enterprise</v>
      </c>
      <c r="D423">
        <f>'Customers Raw data'!D423</f>
        <v>500</v>
      </c>
      <c r="E423">
        <f>'Customers Raw data'!E423</f>
        <v>200</v>
      </c>
      <c r="F423">
        <f>'Customers Raw data'!F423</f>
        <v>0</v>
      </c>
      <c r="G423">
        <f>IF('Customers Raw data'!F423&lt;&gt;"",1,0)</f>
        <v>0</v>
      </c>
      <c r="H423" t="str">
        <f>IF('Customers Raw data'!F423&lt;&gt;"",YEAR(DATEVALUE('Customers Raw data'!F423)),"")</f>
        <v/>
      </c>
      <c r="I423" t="str">
        <f>IF('Customers Raw data'!F423&lt;&gt;"",MONTH(DATEVALUE('Customers Raw data'!F423)),"")</f>
        <v/>
      </c>
      <c r="J423">
        <f>YEAR(DATEVALUE('Customers Raw data'!B423))</f>
        <v>2024</v>
      </c>
      <c r="K423">
        <f>MONTH(DATEVALUE('Customers Raw data'!B423))</f>
        <v>12</v>
      </c>
      <c r="L423">
        <f ca="1">IF('Customers Raw data'!F423&lt;&gt;"",DATEDIF(DATEVALUE('Customers Raw data'!B423),DATEVALUE('Customers Raw data'!F423),"M"),DATEDIF(DATEVALUE('Customers Raw data'!B423),TODAY(),"M"))</f>
        <v>15</v>
      </c>
      <c r="M423">
        <f t="shared" ca="1" si="30"/>
        <v>7500</v>
      </c>
      <c r="N423">
        <f t="shared" si="31"/>
        <v>3</v>
      </c>
      <c r="O423">
        <f t="shared" ca="1" si="32"/>
        <v>0</v>
      </c>
      <c r="P423">
        <f t="shared" si="33"/>
        <v>0</v>
      </c>
      <c r="Q423" t="e">
        <f t="shared" si="34"/>
        <v>#VALUE!</v>
      </c>
    </row>
    <row r="424" spans="1:17" ht="15" customHeight="1" x14ac:dyDescent="0.25">
      <c r="A424">
        <f>'Customers Raw data'!A424</f>
        <v>1423</v>
      </c>
      <c r="B424" t="str">
        <f>'Customers Raw data'!B424</f>
        <v>2024-07-13</v>
      </c>
      <c r="C424" t="str">
        <f>'Customers Raw data'!C424</f>
        <v>Basic</v>
      </c>
      <c r="D424">
        <f>'Customers Raw data'!D424</f>
        <v>50</v>
      </c>
      <c r="E424">
        <f>'Customers Raw data'!E424</f>
        <v>30</v>
      </c>
      <c r="F424">
        <f>'Customers Raw data'!F424</f>
        <v>0</v>
      </c>
      <c r="G424">
        <f>IF('Customers Raw data'!F424&lt;&gt;"",1,0)</f>
        <v>0</v>
      </c>
      <c r="H424" t="str">
        <f>IF('Customers Raw data'!F424&lt;&gt;"",YEAR(DATEVALUE('Customers Raw data'!F424)),"")</f>
        <v/>
      </c>
      <c r="I424" t="str">
        <f>IF('Customers Raw data'!F424&lt;&gt;"",MONTH(DATEVALUE('Customers Raw data'!F424)),"")</f>
        <v/>
      </c>
      <c r="J424">
        <f>YEAR(DATEVALUE('Customers Raw data'!B424))</f>
        <v>2024</v>
      </c>
      <c r="K424">
        <f>MONTH(DATEVALUE('Customers Raw data'!B424))</f>
        <v>7</v>
      </c>
      <c r="L424">
        <f ca="1">IF('Customers Raw data'!F424&lt;&gt;"",DATEDIF(DATEVALUE('Customers Raw data'!B424),DATEVALUE('Customers Raw data'!F424),"M"),DATEDIF(DATEVALUE('Customers Raw data'!B424),TODAY(),"M"))</f>
        <v>20</v>
      </c>
      <c r="M424">
        <f t="shared" ca="1" si="30"/>
        <v>1000</v>
      </c>
      <c r="N424">
        <f t="shared" si="31"/>
        <v>1</v>
      </c>
      <c r="O424">
        <f t="shared" ca="1" si="32"/>
        <v>0</v>
      </c>
      <c r="P424">
        <f t="shared" si="33"/>
        <v>0</v>
      </c>
      <c r="Q424" t="e">
        <f t="shared" si="34"/>
        <v>#VALUE!</v>
      </c>
    </row>
    <row r="425" spans="1:17" ht="15" customHeight="1" x14ac:dyDescent="0.25">
      <c r="A425">
        <f>'Customers Raw data'!A425</f>
        <v>1424</v>
      </c>
      <c r="B425" t="str">
        <f>'Customers Raw data'!B425</f>
        <v>2025-04-27</v>
      </c>
      <c r="C425" t="str">
        <f>'Customers Raw data'!C425</f>
        <v>Enterprise</v>
      </c>
      <c r="D425">
        <f>'Customers Raw data'!D425</f>
        <v>500</v>
      </c>
      <c r="E425">
        <f>'Customers Raw data'!E425</f>
        <v>200</v>
      </c>
      <c r="F425" t="str">
        <f>'Customers Raw data'!F425</f>
        <v>2025-06-10</v>
      </c>
      <c r="G425">
        <f>IF('Customers Raw data'!F425&lt;&gt;"",1,0)</f>
        <v>1</v>
      </c>
      <c r="H425">
        <f>IF('Customers Raw data'!F425&lt;&gt;"",YEAR(DATEVALUE('Customers Raw data'!F425)),"")</f>
        <v>2025</v>
      </c>
      <c r="I425">
        <f>IF('Customers Raw data'!F425&lt;&gt;"",MONTH(DATEVALUE('Customers Raw data'!F425)),"")</f>
        <v>6</v>
      </c>
      <c r="J425">
        <f>YEAR(DATEVALUE('Customers Raw data'!B425))</f>
        <v>2025</v>
      </c>
      <c r="K425">
        <f>MONTH(DATEVALUE('Customers Raw data'!B425))</f>
        <v>4</v>
      </c>
      <c r="L425">
        <f ca="1">IF('Customers Raw data'!F425&lt;&gt;"",DATEDIF(DATEVALUE('Customers Raw data'!B425),DATEVALUE('Customers Raw data'!F425),"M"),DATEDIF(DATEVALUE('Customers Raw data'!B425),TODAY(),"M"))</f>
        <v>1</v>
      </c>
      <c r="M425">
        <f t="shared" ca="1" si="30"/>
        <v>500</v>
      </c>
      <c r="N425">
        <f t="shared" si="31"/>
        <v>3</v>
      </c>
      <c r="O425">
        <f t="shared" ca="1" si="32"/>
        <v>1</v>
      </c>
      <c r="P425">
        <f t="shared" si="33"/>
        <v>500</v>
      </c>
      <c r="Q425" t="str">
        <f t="shared" si="34"/>
        <v>2025-06</v>
      </c>
    </row>
    <row r="426" spans="1:17" ht="15" customHeight="1" x14ac:dyDescent="0.25">
      <c r="A426">
        <f>'Customers Raw data'!A426</f>
        <v>1425</v>
      </c>
      <c r="B426" t="str">
        <f>'Customers Raw data'!B426</f>
        <v>2024-08-23</v>
      </c>
      <c r="C426" t="str">
        <f>'Customers Raw data'!C426</f>
        <v>Enterprise</v>
      </c>
      <c r="D426">
        <f>'Customers Raw data'!D426</f>
        <v>500</v>
      </c>
      <c r="E426">
        <f>'Customers Raw data'!E426</f>
        <v>200</v>
      </c>
      <c r="F426">
        <f>'Customers Raw data'!F426</f>
        <v>0</v>
      </c>
      <c r="G426">
        <f>IF('Customers Raw data'!F426&lt;&gt;"",1,0)</f>
        <v>0</v>
      </c>
      <c r="H426" t="str">
        <f>IF('Customers Raw data'!F426&lt;&gt;"",YEAR(DATEVALUE('Customers Raw data'!F426)),"")</f>
        <v/>
      </c>
      <c r="I426" t="str">
        <f>IF('Customers Raw data'!F426&lt;&gt;"",MONTH(DATEVALUE('Customers Raw data'!F426)),"")</f>
        <v/>
      </c>
      <c r="J426">
        <f>YEAR(DATEVALUE('Customers Raw data'!B426))</f>
        <v>2024</v>
      </c>
      <c r="K426">
        <f>MONTH(DATEVALUE('Customers Raw data'!B426))</f>
        <v>8</v>
      </c>
      <c r="L426">
        <f ca="1">IF('Customers Raw data'!F426&lt;&gt;"",DATEDIF(DATEVALUE('Customers Raw data'!B426),DATEVALUE('Customers Raw data'!F426),"M"),DATEDIF(DATEVALUE('Customers Raw data'!B426),TODAY(),"M"))</f>
        <v>19</v>
      </c>
      <c r="M426">
        <f t="shared" ca="1" si="30"/>
        <v>9500</v>
      </c>
      <c r="N426">
        <f t="shared" si="31"/>
        <v>3</v>
      </c>
      <c r="O426">
        <f t="shared" ca="1" si="32"/>
        <v>0</v>
      </c>
      <c r="P426">
        <f t="shared" si="33"/>
        <v>0</v>
      </c>
      <c r="Q426" t="e">
        <f t="shared" si="34"/>
        <v>#VALUE!</v>
      </c>
    </row>
    <row r="427" spans="1:17" ht="15" customHeight="1" x14ac:dyDescent="0.25">
      <c r="A427">
        <f>'Customers Raw data'!A427</f>
        <v>1426</v>
      </c>
      <c r="B427" t="str">
        <f>'Customers Raw data'!B427</f>
        <v>2024-02-03</v>
      </c>
      <c r="C427" t="str">
        <f>'Customers Raw data'!C427</f>
        <v>Enterprise</v>
      </c>
      <c r="D427">
        <f>'Customers Raw data'!D427</f>
        <v>500</v>
      </c>
      <c r="E427">
        <f>'Customers Raw data'!E427</f>
        <v>200</v>
      </c>
      <c r="F427">
        <f>'Customers Raw data'!F427</f>
        <v>0</v>
      </c>
      <c r="G427">
        <f>IF('Customers Raw data'!F427&lt;&gt;"",1,0)</f>
        <v>0</v>
      </c>
      <c r="H427" t="str">
        <f>IF('Customers Raw data'!F427&lt;&gt;"",YEAR(DATEVALUE('Customers Raw data'!F427)),"")</f>
        <v/>
      </c>
      <c r="I427" t="str">
        <f>IF('Customers Raw data'!F427&lt;&gt;"",MONTH(DATEVALUE('Customers Raw data'!F427)),"")</f>
        <v/>
      </c>
      <c r="J427">
        <f>YEAR(DATEVALUE('Customers Raw data'!B427))</f>
        <v>2024</v>
      </c>
      <c r="K427">
        <f>MONTH(DATEVALUE('Customers Raw data'!B427))</f>
        <v>2</v>
      </c>
      <c r="L427">
        <f ca="1">IF('Customers Raw data'!F427&lt;&gt;"",DATEDIF(DATEVALUE('Customers Raw data'!B427),DATEVALUE('Customers Raw data'!F427),"M"),DATEDIF(DATEVALUE('Customers Raw data'!B427),TODAY(),"M"))</f>
        <v>26</v>
      </c>
      <c r="M427">
        <f t="shared" ca="1" si="30"/>
        <v>13000</v>
      </c>
      <c r="N427">
        <f t="shared" si="31"/>
        <v>3</v>
      </c>
      <c r="O427">
        <f t="shared" ca="1" si="32"/>
        <v>0</v>
      </c>
      <c r="P427">
        <f t="shared" si="33"/>
        <v>0</v>
      </c>
      <c r="Q427" t="e">
        <f t="shared" si="34"/>
        <v>#VALUE!</v>
      </c>
    </row>
    <row r="428" spans="1:17" ht="15" customHeight="1" x14ac:dyDescent="0.25">
      <c r="A428">
        <f>'Customers Raw data'!A428</f>
        <v>1427</v>
      </c>
      <c r="B428" t="str">
        <f>'Customers Raw data'!B428</f>
        <v>2024-05-07</v>
      </c>
      <c r="C428" t="str">
        <f>'Customers Raw data'!C428</f>
        <v>Pro</v>
      </c>
      <c r="D428">
        <f>'Customers Raw data'!D428</f>
        <v>200</v>
      </c>
      <c r="E428">
        <f>'Customers Raw data'!E428</f>
        <v>100</v>
      </c>
      <c r="F428">
        <f>'Customers Raw data'!F428</f>
        <v>0</v>
      </c>
      <c r="G428">
        <f>IF('Customers Raw data'!F428&lt;&gt;"",1,0)</f>
        <v>0</v>
      </c>
      <c r="H428" t="str">
        <f>IF('Customers Raw data'!F428&lt;&gt;"",YEAR(DATEVALUE('Customers Raw data'!F428)),"")</f>
        <v/>
      </c>
      <c r="I428" t="str">
        <f>IF('Customers Raw data'!F428&lt;&gt;"",MONTH(DATEVALUE('Customers Raw data'!F428)),"")</f>
        <v/>
      </c>
      <c r="J428">
        <f>YEAR(DATEVALUE('Customers Raw data'!B428))</f>
        <v>2024</v>
      </c>
      <c r="K428">
        <f>MONTH(DATEVALUE('Customers Raw data'!B428))</f>
        <v>5</v>
      </c>
      <c r="L428">
        <f ca="1">IF('Customers Raw data'!F428&lt;&gt;"",DATEDIF(DATEVALUE('Customers Raw data'!B428),DATEVALUE('Customers Raw data'!F428),"M"),DATEDIF(DATEVALUE('Customers Raw data'!B428),TODAY(),"M"))</f>
        <v>23</v>
      </c>
      <c r="M428">
        <f t="shared" ca="1" si="30"/>
        <v>4600</v>
      </c>
      <c r="N428">
        <f t="shared" si="31"/>
        <v>2</v>
      </c>
      <c r="O428">
        <f t="shared" ca="1" si="32"/>
        <v>0</v>
      </c>
      <c r="P428">
        <f t="shared" si="33"/>
        <v>0</v>
      </c>
      <c r="Q428" t="e">
        <f t="shared" si="34"/>
        <v>#VALUE!</v>
      </c>
    </row>
    <row r="429" spans="1:17" ht="15" customHeight="1" x14ac:dyDescent="0.25">
      <c r="A429">
        <f>'Customers Raw data'!A429</f>
        <v>1428</v>
      </c>
      <c r="B429" t="str">
        <f>'Customers Raw data'!B429</f>
        <v>2024-06-13</v>
      </c>
      <c r="C429" t="str">
        <f>'Customers Raw data'!C429</f>
        <v>Enterprise</v>
      </c>
      <c r="D429">
        <f>'Customers Raw data'!D429</f>
        <v>500</v>
      </c>
      <c r="E429">
        <f>'Customers Raw data'!E429</f>
        <v>200</v>
      </c>
      <c r="F429" t="str">
        <f>'Customers Raw data'!F429</f>
        <v>2025-02-24</v>
      </c>
      <c r="G429">
        <f>IF('Customers Raw data'!F429&lt;&gt;"",1,0)</f>
        <v>1</v>
      </c>
      <c r="H429">
        <f>IF('Customers Raw data'!F429&lt;&gt;"",YEAR(DATEVALUE('Customers Raw data'!F429)),"")</f>
        <v>2025</v>
      </c>
      <c r="I429">
        <f>IF('Customers Raw data'!F429&lt;&gt;"",MONTH(DATEVALUE('Customers Raw data'!F429)),"")</f>
        <v>2</v>
      </c>
      <c r="J429">
        <f>YEAR(DATEVALUE('Customers Raw data'!B429))</f>
        <v>2024</v>
      </c>
      <c r="K429">
        <f>MONTH(DATEVALUE('Customers Raw data'!B429))</f>
        <v>6</v>
      </c>
      <c r="L429">
        <f ca="1">IF('Customers Raw data'!F429&lt;&gt;"",DATEDIF(DATEVALUE('Customers Raw data'!B429),DATEVALUE('Customers Raw data'!F429),"M"),DATEDIF(DATEVALUE('Customers Raw data'!B429),TODAY(),"M"))</f>
        <v>8</v>
      </c>
      <c r="M429">
        <f t="shared" ca="1" si="30"/>
        <v>4000</v>
      </c>
      <c r="N429">
        <f t="shared" si="31"/>
        <v>3</v>
      </c>
      <c r="O429">
        <f t="shared" ca="1" si="32"/>
        <v>0</v>
      </c>
      <c r="P429">
        <f t="shared" si="33"/>
        <v>500</v>
      </c>
      <c r="Q429" t="str">
        <f t="shared" si="34"/>
        <v>2025-02</v>
      </c>
    </row>
    <row r="430" spans="1:17" ht="15" customHeight="1" x14ac:dyDescent="0.25">
      <c r="A430">
        <f>'Customers Raw data'!A430</f>
        <v>1429</v>
      </c>
      <c r="B430" t="str">
        <f>'Customers Raw data'!B430</f>
        <v>2024-02-06</v>
      </c>
      <c r="C430" t="str">
        <f>'Customers Raw data'!C430</f>
        <v>Basic</v>
      </c>
      <c r="D430">
        <f>'Customers Raw data'!D430</f>
        <v>50</v>
      </c>
      <c r="E430">
        <f>'Customers Raw data'!E430</f>
        <v>30</v>
      </c>
      <c r="F430">
        <f>'Customers Raw data'!F430</f>
        <v>0</v>
      </c>
      <c r="G430">
        <f>IF('Customers Raw data'!F430&lt;&gt;"",1,0)</f>
        <v>0</v>
      </c>
      <c r="H430" t="str">
        <f>IF('Customers Raw data'!F430&lt;&gt;"",YEAR(DATEVALUE('Customers Raw data'!F430)),"")</f>
        <v/>
      </c>
      <c r="I430" t="str">
        <f>IF('Customers Raw data'!F430&lt;&gt;"",MONTH(DATEVALUE('Customers Raw data'!F430)),"")</f>
        <v/>
      </c>
      <c r="J430">
        <f>YEAR(DATEVALUE('Customers Raw data'!B430))</f>
        <v>2024</v>
      </c>
      <c r="K430">
        <f>MONTH(DATEVALUE('Customers Raw data'!B430))</f>
        <v>2</v>
      </c>
      <c r="L430">
        <f ca="1">IF('Customers Raw data'!F430&lt;&gt;"",DATEDIF(DATEVALUE('Customers Raw data'!B430),DATEVALUE('Customers Raw data'!F430),"M"),DATEDIF(DATEVALUE('Customers Raw data'!B430),TODAY(),"M"))</f>
        <v>26</v>
      </c>
      <c r="M430">
        <f t="shared" ca="1" si="30"/>
        <v>1300</v>
      </c>
      <c r="N430">
        <f t="shared" si="31"/>
        <v>1</v>
      </c>
      <c r="O430">
        <f t="shared" ca="1" si="32"/>
        <v>0</v>
      </c>
      <c r="P430">
        <f t="shared" si="33"/>
        <v>0</v>
      </c>
      <c r="Q430" t="e">
        <f t="shared" si="34"/>
        <v>#VALUE!</v>
      </c>
    </row>
    <row r="431" spans="1:17" ht="15" customHeight="1" x14ac:dyDescent="0.25">
      <c r="A431">
        <f>'Customers Raw data'!A431</f>
        <v>1430</v>
      </c>
      <c r="B431" t="str">
        <f>'Customers Raw data'!B431</f>
        <v>2024-10-03</v>
      </c>
      <c r="C431" t="str">
        <f>'Customers Raw data'!C431</f>
        <v>Basic</v>
      </c>
      <c r="D431">
        <f>'Customers Raw data'!D431</f>
        <v>50</v>
      </c>
      <c r="E431">
        <f>'Customers Raw data'!E431</f>
        <v>30</v>
      </c>
      <c r="F431">
        <f>'Customers Raw data'!F431</f>
        <v>0</v>
      </c>
      <c r="G431">
        <f>IF('Customers Raw data'!F431&lt;&gt;"",1,0)</f>
        <v>0</v>
      </c>
      <c r="H431" t="str">
        <f>IF('Customers Raw data'!F431&lt;&gt;"",YEAR(DATEVALUE('Customers Raw data'!F431)),"")</f>
        <v/>
      </c>
      <c r="I431" t="str">
        <f>IF('Customers Raw data'!F431&lt;&gt;"",MONTH(DATEVALUE('Customers Raw data'!F431)),"")</f>
        <v/>
      </c>
      <c r="J431">
        <f>YEAR(DATEVALUE('Customers Raw data'!B431))</f>
        <v>2024</v>
      </c>
      <c r="K431">
        <f>MONTH(DATEVALUE('Customers Raw data'!B431))</f>
        <v>10</v>
      </c>
      <c r="L431">
        <f ca="1">IF('Customers Raw data'!F431&lt;&gt;"",DATEDIF(DATEVALUE('Customers Raw data'!B431),DATEVALUE('Customers Raw data'!F431),"M"),DATEDIF(DATEVALUE('Customers Raw data'!B431),TODAY(),"M"))</f>
        <v>18</v>
      </c>
      <c r="M431">
        <f t="shared" ca="1" si="30"/>
        <v>900</v>
      </c>
      <c r="N431">
        <f t="shared" si="31"/>
        <v>1</v>
      </c>
      <c r="O431">
        <f t="shared" ca="1" si="32"/>
        <v>0</v>
      </c>
      <c r="P431">
        <f t="shared" si="33"/>
        <v>0</v>
      </c>
      <c r="Q431" t="e">
        <f t="shared" si="34"/>
        <v>#VALUE!</v>
      </c>
    </row>
    <row r="432" spans="1:17" ht="15" customHeight="1" x14ac:dyDescent="0.25">
      <c r="A432">
        <f>'Customers Raw data'!A432</f>
        <v>1431</v>
      </c>
      <c r="B432" t="str">
        <f>'Customers Raw data'!B432</f>
        <v>2024-09-26</v>
      </c>
      <c r="C432" t="str">
        <f>'Customers Raw data'!C432</f>
        <v>Pro</v>
      </c>
      <c r="D432">
        <f>'Customers Raw data'!D432</f>
        <v>200</v>
      </c>
      <c r="E432">
        <f>'Customers Raw data'!E432</f>
        <v>100</v>
      </c>
      <c r="F432">
        <f>'Customers Raw data'!F432</f>
        <v>0</v>
      </c>
      <c r="G432">
        <f>IF('Customers Raw data'!F432&lt;&gt;"",1,0)</f>
        <v>0</v>
      </c>
      <c r="H432" t="str">
        <f>IF('Customers Raw data'!F432&lt;&gt;"",YEAR(DATEVALUE('Customers Raw data'!F432)),"")</f>
        <v/>
      </c>
      <c r="I432" t="str">
        <f>IF('Customers Raw data'!F432&lt;&gt;"",MONTH(DATEVALUE('Customers Raw data'!F432)),"")</f>
        <v/>
      </c>
      <c r="J432">
        <f>YEAR(DATEVALUE('Customers Raw data'!B432))</f>
        <v>2024</v>
      </c>
      <c r="K432">
        <f>MONTH(DATEVALUE('Customers Raw data'!B432))</f>
        <v>9</v>
      </c>
      <c r="L432">
        <f ca="1">IF('Customers Raw data'!F432&lt;&gt;"",DATEDIF(DATEVALUE('Customers Raw data'!B432),DATEVALUE('Customers Raw data'!F432),"M"),DATEDIF(DATEVALUE('Customers Raw data'!B432),TODAY(),"M"))</f>
        <v>18</v>
      </c>
      <c r="M432">
        <f t="shared" ca="1" si="30"/>
        <v>3600</v>
      </c>
      <c r="N432">
        <f t="shared" si="31"/>
        <v>2</v>
      </c>
      <c r="O432">
        <f t="shared" ca="1" si="32"/>
        <v>0</v>
      </c>
      <c r="P432">
        <f t="shared" si="33"/>
        <v>0</v>
      </c>
      <c r="Q432" t="e">
        <f t="shared" si="34"/>
        <v>#VALUE!</v>
      </c>
    </row>
    <row r="433" spans="1:17" ht="15" customHeight="1" x14ac:dyDescent="0.25">
      <c r="A433">
        <f>'Customers Raw data'!A433</f>
        <v>1432</v>
      </c>
      <c r="B433" t="str">
        <f>'Customers Raw data'!B433</f>
        <v>2024-07-25</v>
      </c>
      <c r="C433" t="str">
        <f>'Customers Raw data'!C433</f>
        <v>Pro</v>
      </c>
      <c r="D433">
        <f>'Customers Raw data'!D433</f>
        <v>200</v>
      </c>
      <c r="E433">
        <f>'Customers Raw data'!E433</f>
        <v>100</v>
      </c>
      <c r="F433">
        <f>'Customers Raw data'!F433</f>
        <v>0</v>
      </c>
      <c r="G433">
        <f>IF('Customers Raw data'!F433&lt;&gt;"",1,0)</f>
        <v>0</v>
      </c>
      <c r="H433" t="str">
        <f>IF('Customers Raw data'!F433&lt;&gt;"",YEAR(DATEVALUE('Customers Raw data'!F433)),"")</f>
        <v/>
      </c>
      <c r="I433" t="str">
        <f>IF('Customers Raw data'!F433&lt;&gt;"",MONTH(DATEVALUE('Customers Raw data'!F433)),"")</f>
        <v/>
      </c>
      <c r="J433">
        <f>YEAR(DATEVALUE('Customers Raw data'!B433))</f>
        <v>2024</v>
      </c>
      <c r="K433">
        <f>MONTH(DATEVALUE('Customers Raw data'!B433))</f>
        <v>7</v>
      </c>
      <c r="L433">
        <f ca="1">IF('Customers Raw data'!F433&lt;&gt;"",DATEDIF(DATEVALUE('Customers Raw data'!B433),DATEVALUE('Customers Raw data'!F433),"M"),DATEDIF(DATEVALUE('Customers Raw data'!B433),TODAY(),"M"))</f>
        <v>20</v>
      </c>
      <c r="M433">
        <f t="shared" ca="1" si="30"/>
        <v>4000</v>
      </c>
      <c r="N433">
        <f t="shared" si="31"/>
        <v>2</v>
      </c>
      <c r="O433">
        <f t="shared" ca="1" si="32"/>
        <v>0</v>
      </c>
      <c r="P433">
        <f t="shared" si="33"/>
        <v>0</v>
      </c>
      <c r="Q433" t="e">
        <f t="shared" si="34"/>
        <v>#VALUE!</v>
      </c>
    </row>
    <row r="434" spans="1:17" ht="15" customHeight="1" x14ac:dyDescent="0.25">
      <c r="A434">
        <f>'Customers Raw data'!A434</f>
        <v>1433</v>
      </c>
      <c r="B434" t="str">
        <f>'Customers Raw data'!B434</f>
        <v>2025-05-25</v>
      </c>
      <c r="C434" t="str">
        <f>'Customers Raw data'!C434</f>
        <v>Pro</v>
      </c>
      <c r="D434">
        <f>'Customers Raw data'!D434</f>
        <v>200</v>
      </c>
      <c r="E434">
        <f>'Customers Raw data'!E434</f>
        <v>100</v>
      </c>
      <c r="F434">
        <f>'Customers Raw data'!F434</f>
        <v>0</v>
      </c>
      <c r="G434">
        <f>IF('Customers Raw data'!F434&lt;&gt;"",1,0)</f>
        <v>0</v>
      </c>
      <c r="H434" t="str">
        <f>IF('Customers Raw data'!F434&lt;&gt;"",YEAR(DATEVALUE('Customers Raw data'!F434)),"")</f>
        <v/>
      </c>
      <c r="I434" t="str">
        <f>IF('Customers Raw data'!F434&lt;&gt;"",MONTH(DATEVALUE('Customers Raw data'!F434)),"")</f>
        <v/>
      </c>
      <c r="J434">
        <f>YEAR(DATEVALUE('Customers Raw data'!B434))</f>
        <v>2025</v>
      </c>
      <c r="K434">
        <f>MONTH(DATEVALUE('Customers Raw data'!B434))</f>
        <v>5</v>
      </c>
      <c r="L434">
        <f ca="1">IF('Customers Raw data'!F434&lt;&gt;"",DATEDIF(DATEVALUE('Customers Raw data'!B434),DATEVALUE('Customers Raw data'!F434),"M"),DATEDIF(DATEVALUE('Customers Raw data'!B434),TODAY(),"M"))</f>
        <v>10</v>
      </c>
      <c r="M434">
        <f t="shared" ca="1" si="30"/>
        <v>2000</v>
      </c>
      <c r="N434">
        <f t="shared" si="31"/>
        <v>2</v>
      </c>
      <c r="O434">
        <f t="shared" ca="1" si="32"/>
        <v>0</v>
      </c>
      <c r="P434">
        <f t="shared" si="33"/>
        <v>0</v>
      </c>
      <c r="Q434" t="e">
        <f t="shared" si="34"/>
        <v>#VALUE!</v>
      </c>
    </row>
    <row r="435" spans="1:17" ht="15" customHeight="1" x14ac:dyDescent="0.25">
      <c r="A435">
        <f>'Customers Raw data'!A435</f>
        <v>1434</v>
      </c>
      <c r="B435" t="str">
        <f>'Customers Raw data'!B435</f>
        <v>2024-10-27</v>
      </c>
      <c r="C435" t="str">
        <f>'Customers Raw data'!C435</f>
        <v>Pro</v>
      </c>
      <c r="D435">
        <f>'Customers Raw data'!D435</f>
        <v>200</v>
      </c>
      <c r="E435">
        <f>'Customers Raw data'!E435</f>
        <v>100</v>
      </c>
      <c r="F435">
        <f>'Customers Raw data'!F435</f>
        <v>0</v>
      </c>
      <c r="G435">
        <f>IF('Customers Raw data'!F435&lt;&gt;"",1,0)</f>
        <v>0</v>
      </c>
      <c r="H435" t="str">
        <f>IF('Customers Raw data'!F435&lt;&gt;"",YEAR(DATEVALUE('Customers Raw data'!F435)),"")</f>
        <v/>
      </c>
      <c r="I435" t="str">
        <f>IF('Customers Raw data'!F435&lt;&gt;"",MONTH(DATEVALUE('Customers Raw data'!F435)),"")</f>
        <v/>
      </c>
      <c r="J435">
        <f>YEAR(DATEVALUE('Customers Raw data'!B435))</f>
        <v>2024</v>
      </c>
      <c r="K435">
        <f>MONTH(DATEVALUE('Customers Raw data'!B435))</f>
        <v>10</v>
      </c>
      <c r="L435">
        <f ca="1">IF('Customers Raw data'!F435&lt;&gt;"",DATEDIF(DATEVALUE('Customers Raw data'!B435),DATEVALUE('Customers Raw data'!F435),"M"),DATEDIF(DATEVALUE('Customers Raw data'!B435),TODAY(),"M"))</f>
        <v>17</v>
      </c>
      <c r="M435">
        <f t="shared" ca="1" si="30"/>
        <v>3400</v>
      </c>
      <c r="N435">
        <f t="shared" si="31"/>
        <v>2</v>
      </c>
      <c r="O435">
        <f t="shared" ca="1" si="32"/>
        <v>0</v>
      </c>
      <c r="P435">
        <f t="shared" si="33"/>
        <v>0</v>
      </c>
      <c r="Q435" t="e">
        <f t="shared" si="34"/>
        <v>#VALUE!</v>
      </c>
    </row>
    <row r="436" spans="1:17" ht="15" customHeight="1" x14ac:dyDescent="0.25">
      <c r="A436">
        <f>'Customers Raw data'!A436</f>
        <v>1435</v>
      </c>
      <c r="B436" t="str">
        <f>'Customers Raw data'!B436</f>
        <v>2024-09-28</v>
      </c>
      <c r="C436" t="str">
        <f>'Customers Raw data'!C436</f>
        <v>Pro</v>
      </c>
      <c r="D436">
        <f>'Customers Raw data'!D436</f>
        <v>200</v>
      </c>
      <c r="E436">
        <f>'Customers Raw data'!E436</f>
        <v>100</v>
      </c>
      <c r="F436">
        <f>'Customers Raw data'!F436</f>
        <v>0</v>
      </c>
      <c r="G436">
        <f>IF('Customers Raw data'!F436&lt;&gt;"",1,0)</f>
        <v>0</v>
      </c>
      <c r="H436" t="str">
        <f>IF('Customers Raw data'!F436&lt;&gt;"",YEAR(DATEVALUE('Customers Raw data'!F436)),"")</f>
        <v/>
      </c>
      <c r="I436" t="str">
        <f>IF('Customers Raw data'!F436&lt;&gt;"",MONTH(DATEVALUE('Customers Raw data'!F436)),"")</f>
        <v/>
      </c>
      <c r="J436">
        <f>YEAR(DATEVALUE('Customers Raw data'!B436))</f>
        <v>2024</v>
      </c>
      <c r="K436">
        <f>MONTH(DATEVALUE('Customers Raw data'!B436))</f>
        <v>9</v>
      </c>
      <c r="L436">
        <f ca="1">IF('Customers Raw data'!F436&lt;&gt;"",DATEDIF(DATEVALUE('Customers Raw data'!B436),DATEVALUE('Customers Raw data'!F436),"M"),DATEDIF(DATEVALUE('Customers Raw data'!B436),TODAY(),"M"))</f>
        <v>18</v>
      </c>
      <c r="M436">
        <f t="shared" ca="1" si="30"/>
        <v>3600</v>
      </c>
      <c r="N436">
        <f t="shared" si="31"/>
        <v>2</v>
      </c>
      <c r="O436">
        <f t="shared" ca="1" si="32"/>
        <v>0</v>
      </c>
      <c r="P436">
        <f t="shared" si="33"/>
        <v>0</v>
      </c>
      <c r="Q436" t="e">
        <f t="shared" si="34"/>
        <v>#VALUE!</v>
      </c>
    </row>
    <row r="437" spans="1:17" ht="15" customHeight="1" x14ac:dyDescent="0.25">
      <c r="A437">
        <f>'Customers Raw data'!A437</f>
        <v>1436</v>
      </c>
      <c r="B437" t="str">
        <f>'Customers Raw data'!B437</f>
        <v>2024-12-25</v>
      </c>
      <c r="C437" t="str">
        <f>'Customers Raw data'!C437</f>
        <v>Enterprise</v>
      </c>
      <c r="D437">
        <f>'Customers Raw data'!D437</f>
        <v>500</v>
      </c>
      <c r="E437">
        <f>'Customers Raw data'!E437</f>
        <v>200</v>
      </c>
      <c r="F437">
        <f>'Customers Raw data'!F437</f>
        <v>0</v>
      </c>
      <c r="G437">
        <f>IF('Customers Raw data'!F437&lt;&gt;"",1,0)</f>
        <v>0</v>
      </c>
      <c r="H437" t="str">
        <f>IF('Customers Raw data'!F437&lt;&gt;"",YEAR(DATEVALUE('Customers Raw data'!F437)),"")</f>
        <v/>
      </c>
      <c r="I437" t="str">
        <f>IF('Customers Raw data'!F437&lt;&gt;"",MONTH(DATEVALUE('Customers Raw data'!F437)),"")</f>
        <v/>
      </c>
      <c r="J437">
        <f>YEAR(DATEVALUE('Customers Raw data'!B437))</f>
        <v>2024</v>
      </c>
      <c r="K437">
        <f>MONTH(DATEVALUE('Customers Raw data'!B437))</f>
        <v>12</v>
      </c>
      <c r="L437">
        <f ca="1">IF('Customers Raw data'!F437&lt;&gt;"",DATEDIF(DATEVALUE('Customers Raw data'!B437),DATEVALUE('Customers Raw data'!F437),"M"),DATEDIF(DATEVALUE('Customers Raw data'!B437),TODAY(),"M"))</f>
        <v>15</v>
      </c>
      <c r="M437">
        <f t="shared" ca="1" si="30"/>
        <v>7500</v>
      </c>
      <c r="N437">
        <f t="shared" si="31"/>
        <v>3</v>
      </c>
      <c r="O437">
        <f t="shared" ca="1" si="32"/>
        <v>0</v>
      </c>
      <c r="P437">
        <f t="shared" si="33"/>
        <v>0</v>
      </c>
      <c r="Q437" t="e">
        <f t="shared" si="34"/>
        <v>#VALUE!</v>
      </c>
    </row>
    <row r="438" spans="1:17" ht="15" customHeight="1" x14ac:dyDescent="0.25">
      <c r="A438">
        <f>'Customers Raw data'!A438</f>
        <v>1437</v>
      </c>
      <c r="B438" t="str">
        <f>'Customers Raw data'!B438</f>
        <v>2024-03-27</v>
      </c>
      <c r="C438" t="str">
        <f>'Customers Raw data'!C438</f>
        <v>Basic</v>
      </c>
      <c r="D438">
        <f>'Customers Raw data'!D438</f>
        <v>50</v>
      </c>
      <c r="E438">
        <f>'Customers Raw data'!E438</f>
        <v>30</v>
      </c>
      <c r="F438">
        <f>'Customers Raw data'!F438</f>
        <v>0</v>
      </c>
      <c r="G438">
        <f>IF('Customers Raw data'!F438&lt;&gt;"",1,0)</f>
        <v>0</v>
      </c>
      <c r="H438" t="str">
        <f>IF('Customers Raw data'!F438&lt;&gt;"",YEAR(DATEVALUE('Customers Raw data'!F438)),"")</f>
        <v/>
      </c>
      <c r="I438" t="str">
        <f>IF('Customers Raw data'!F438&lt;&gt;"",MONTH(DATEVALUE('Customers Raw data'!F438)),"")</f>
        <v/>
      </c>
      <c r="J438">
        <f>YEAR(DATEVALUE('Customers Raw data'!B438))</f>
        <v>2024</v>
      </c>
      <c r="K438">
        <f>MONTH(DATEVALUE('Customers Raw data'!B438))</f>
        <v>3</v>
      </c>
      <c r="L438">
        <f ca="1">IF('Customers Raw data'!F438&lt;&gt;"",DATEDIF(DATEVALUE('Customers Raw data'!B438),DATEVALUE('Customers Raw data'!F438),"M"),DATEDIF(DATEVALUE('Customers Raw data'!B438),TODAY(),"M"))</f>
        <v>24</v>
      </c>
      <c r="M438">
        <f t="shared" ca="1" si="30"/>
        <v>1200</v>
      </c>
      <c r="N438">
        <f t="shared" si="31"/>
        <v>1</v>
      </c>
      <c r="O438">
        <f t="shared" ca="1" si="32"/>
        <v>0</v>
      </c>
      <c r="P438">
        <f t="shared" si="33"/>
        <v>0</v>
      </c>
      <c r="Q438" t="e">
        <f t="shared" si="34"/>
        <v>#VALUE!</v>
      </c>
    </row>
    <row r="439" spans="1:17" ht="15" customHeight="1" x14ac:dyDescent="0.25">
      <c r="A439">
        <f>'Customers Raw data'!A439</f>
        <v>1438</v>
      </c>
      <c r="B439" t="str">
        <f>'Customers Raw data'!B439</f>
        <v>2025-03-28</v>
      </c>
      <c r="C439" t="str">
        <f>'Customers Raw data'!C439</f>
        <v>Pro</v>
      </c>
      <c r="D439">
        <f>'Customers Raw data'!D439</f>
        <v>200</v>
      </c>
      <c r="E439">
        <f>'Customers Raw data'!E439</f>
        <v>100</v>
      </c>
      <c r="F439" t="str">
        <f>'Customers Raw data'!F439</f>
        <v>2025-05-24</v>
      </c>
      <c r="G439">
        <f>IF('Customers Raw data'!F439&lt;&gt;"",1,0)</f>
        <v>1</v>
      </c>
      <c r="H439">
        <f>IF('Customers Raw data'!F439&lt;&gt;"",YEAR(DATEVALUE('Customers Raw data'!F439)),"")</f>
        <v>2025</v>
      </c>
      <c r="I439">
        <f>IF('Customers Raw data'!F439&lt;&gt;"",MONTH(DATEVALUE('Customers Raw data'!F439)),"")</f>
        <v>5</v>
      </c>
      <c r="J439">
        <f>YEAR(DATEVALUE('Customers Raw data'!B439))</f>
        <v>2025</v>
      </c>
      <c r="K439">
        <f>MONTH(DATEVALUE('Customers Raw data'!B439))</f>
        <v>3</v>
      </c>
      <c r="L439">
        <f ca="1">IF('Customers Raw data'!F439&lt;&gt;"",DATEDIF(DATEVALUE('Customers Raw data'!B439),DATEVALUE('Customers Raw data'!F439),"M"),DATEDIF(DATEVALUE('Customers Raw data'!B439),TODAY(),"M"))</f>
        <v>1</v>
      </c>
      <c r="M439">
        <f t="shared" ca="1" si="30"/>
        <v>200</v>
      </c>
      <c r="N439">
        <f t="shared" si="31"/>
        <v>2</v>
      </c>
      <c r="O439">
        <f t="shared" ca="1" si="32"/>
        <v>1</v>
      </c>
      <c r="P439">
        <f t="shared" si="33"/>
        <v>200</v>
      </c>
      <c r="Q439" t="str">
        <f t="shared" si="34"/>
        <v>2025-05</v>
      </c>
    </row>
    <row r="440" spans="1:17" ht="15" customHeight="1" x14ac:dyDescent="0.25">
      <c r="A440">
        <f>'Customers Raw data'!A440</f>
        <v>1439</v>
      </c>
      <c r="B440" t="str">
        <f>'Customers Raw data'!B440</f>
        <v>2024-01-31</v>
      </c>
      <c r="C440" t="str">
        <f>'Customers Raw data'!C440</f>
        <v>Enterprise</v>
      </c>
      <c r="D440">
        <f>'Customers Raw data'!D440</f>
        <v>500</v>
      </c>
      <c r="E440">
        <f>'Customers Raw data'!E440</f>
        <v>200</v>
      </c>
      <c r="F440">
        <f>'Customers Raw data'!F440</f>
        <v>0</v>
      </c>
      <c r="G440">
        <f>IF('Customers Raw data'!F440&lt;&gt;"",1,0)</f>
        <v>0</v>
      </c>
      <c r="H440" t="str">
        <f>IF('Customers Raw data'!F440&lt;&gt;"",YEAR(DATEVALUE('Customers Raw data'!F440)),"")</f>
        <v/>
      </c>
      <c r="I440" t="str">
        <f>IF('Customers Raw data'!F440&lt;&gt;"",MONTH(DATEVALUE('Customers Raw data'!F440)),"")</f>
        <v/>
      </c>
      <c r="J440">
        <f>YEAR(DATEVALUE('Customers Raw data'!B440))</f>
        <v>2024</v>
      </c>
      <c r="K440">
        <f>MONTH(DATEVALUE('Customers Raw data'!B440))</f>
        <v>1</v>
      </c>
      <c r="L440">
        <f ca="1">IF('Customers Raw data'!F440&lt;&gt;"",DATEDIF(DATEVALUE('Customers Raw data'!B440),DATEVALUE('Customers Raw data'!F440),"M"),DATEDIF(DATEVALUE('Customers Raw data'!B440),TODAY(),"M"))</f>
        <v>26</v>
      </c>
      <c r="M440">
        <f t="shared" ca="1" si="30"/>
        <v>13000</v>
      </c>
      <c r="N440">
        <f t="shared" si="31"/>
        <v>3</v>
      </c>
      <c r="O440">
        <f t="shared" ca="1" si="32"/>
        <v>0</v>
      </c>
      <c r="P440">
        <f t="shared" si="33"/>
        <v>0</v>
      </c>
      <c r="Q440" t="e">
        <f t="shared" si="34"/>
        <v>#VALUE!</v>
      </c>
    </row>
    <row r="441" spans="1:17" ht="15" customHeight="1" x14ac:dyDescent="0.25">
      <c r="A441">
        <f>'Customers Raw data'!A441</f>
        <v>1440</v>
      </c>
      <c r="B441" t="str">
        <f>'Customers Raw data'!B441</f>
        <v>2024-06-19</v>
      </c>
      <c r="C441" t="str">
        <f>'Customers Raw data'!C441</f>
        <v>Enterprise</v>
      </c>
      <c r="D441">
        <f>'Customers Raw data'!D441</f>
        <v>500</v>
      </c>
      <c r="E441">
        <f>'Customers Raw data'!E441</f>
        <v>200</v>
      </c>
      <c r="F441">
        <f>'Customers Raw data'!F441</f>
        <v>0</v>
      </c>
      <c r="G441">
        <f>IF('Customers Raw data'!F441&lt;&gt;"",1,0)</f>
        <v>0</v>
      </c>
      <c r="H441" t="str">
        <f>IF('Customers Raw data'!F441&lt;&gt;"",YEAR(DATEVALUE('Customers Raw data'!F441)),"")</f>
        <v/>
      </c>
      <c r="I441" t="str">
        <f>IF('Customers Raw data'!F441&lt;&gt;"",MONTH(DATEVALUE('Customers Raw data'!F441)),"")</f>
        <v/>
      </c>
      <c r="J441">
        <f>YEAR(DATEVALUE('Customers Raw data'!B441))</f>
        <v>2024</v>
      </c>
      <c r="K441">
        <f>MONTH(DATEVALUE('Customers Raw data'!B441))</f>
        <v>6</v>
      </c>
      <c r="L441">
        <f ca="1">IF('Customers Raw data'!F441&lt;&gt;"",DATEDIF(DATEVALUE('Customers Raw data'!B441),DATEVALUE('Customers Raw data'!F441),"M"),DATEDIF(DATEVALUE('Customers Raw data'!B441),TODAY(),"M"))</f>
        <v>21</v>
      </c>
      <c r="M441">
        <f t="shared" ca="1" si="30"/>
        <v>10500</v>
      </c>
      <c r="N441">
        <f t="shared" si="31"/>
        <v>3</v>
      </c>
      <c r="O441">
        <f t="shared" ca="1" si="32"/>
        <v>0</v>
      </c>
      <c r="P441">
        <f t="shared" si="33"/>
        <v>0</v>
      </c>
      <c r="Q441" t="e">
        <f t="shared" si="34"/>
        <v>#VALUE!</v>
      </c>
    </row>
    <row r="442" spans="1:17" ht="15" customHeight="1" x14ac:dyDescent="0.25">
      <c r="A442">
        <f>'Customers Raw data'!A442</f>
        <v>1441</v>
      </c>
      <c r="B442" t="str">
        <f>'Customers Raw data'!B442</f>
        <v>2024-01-30</v>
      </c>
      <c r="C442" t="str">
        <f>'Customers Raw data'!C442</f>
        <v>Pro</v>
      </c>
      <c r="D442">
        <f>'Customers Raw data'!D442</f>
        <v>200</v>
      </c>
      <c r="E442">
        <f>'Customers Raw data'!E442</f>
        <v>100</v>
      </c>
      <c r="F442">
        <f>'Customers Raw data'!F442</f>
        <v>0</v>
      </c>
      <c r="G442">
        <f>IF('Customers Raw data'!F442&lt;&gt;"",1,0)</f>
        <v>0</v>
      </c>
      <c r="H442" t="str">
        <f>IF('Customers Raw data'!F442&lt;&gt;"",YEAR(DATEVALUE('Customers Raw data'!F442)),"")</f>
        <v/>
      </c>
      <c r="I442" t="str">
        <f>IF('Customers Raw data'!F442&lt;&gt;"",MONTH(DATEVALUE('Customers Raw data'!F442)),"")</f>
        <v/>
      </c>
      <c r="J442">
        <f>YEAR(DATEVALUE('Customers Raw data'!B442))</f>
        <v>2024</v>
      </c>
      <c r="K442">
        <f>MONTH(DATEVALUE('Customers Raw data'!B442))</f>
        <v>1</v>
      </c>
      <c r="L442">
        <f ca="1">IF('Customers Raw data'!F442&lt;&gt;"",DATEDIF(DATEVALUE('Customers Raw data'!B442),DATEVALUE('Customers Raw data'!F442),"M"),DATEDIF(DATEVALUE('Customers Raw data'!B442),TODAY(),"M"))</f>
        <v>26</v>
      </c>
      <c r="M442">
        <f t="shared" ca="1" si="30"/>
        <v>5200</v>
      </c>
      <c r="N442">
        <f t="shared" si="31"/>
        <v>2</v>
      </c>
      <c r="O442">
        <f t="shared" ca="1" si="32"/>
        <v>0</v>
      </c>
      <c r="P442">
        <f t="shared" si="33"/>
        <v>0</v>
      </c>
      <c r="Q442" t="e">
        <f t="shared" si="34"/>
        <v>#VALUE!</v>
      </c>
    </row>
    <row r="443" spans="1:17" ht="15" customHeight="1" x14ac:dyDescent="0.25">
      <c r="A443">
        <f>'Customers Raw data'!A443</f>
        <v>1442</v>
      </c>
      <c r="B443" t="str">
        <f>'Customers Raw data'!B443</f>
        <v>2025-01-29</v>
      </c>
      <c r="C443" t="str">
        <f>'Customers Raw data'!C443</f>
        <v>Basic</v>
      </c>
      <c r="D443">
        <f>'Customers Raw data'!D443</f>
        <v>50</v>
      </c>
      <c r="E443">
        <f>'Customers Raw data'!E443</f>
        <v>30</v>
      </c>
      <c r="F443" t="str">
        <f>'Customers Raw data'!F443</f>
        <v>2025-04-08</v>
      </c>
      <c r="G443">
        <f>IF('Customers Raw data'!F443&lt;&gt;"",1,0)</f>
        <v>1</v>
      </c>
      <c r="H443">
        <f>IF('Customers Raw data'!F443&lt;&gt;"",YEAR(DATEVALUE('Customers Raw data'!F443)),"")</f>
        <v>2025</v>
      </c>
      <c r="I443">
        <f>IF('Customers Raw data'!F443&lt;&gt;"",MONTH(DATEVALUE('Customers Raw data'!F443)),"")</f>
        <v>4</v>
      </c>
      <c r="J443">
        <f>YEAR(DATEVALUE('Customers Raw data'!B443))</f>
        <v>2025</v>
      </c>
      <c r="K443">
        <f>MONTH(DATEVALUE('Customers Raw data'!B443))</f>
        <v>1</v>
      </c>
      <c r="L443">
        <f ca="1">IF('Customers Raw data'!F443&lt;&gt;"",DATEDIF(DATEVALUE('Customers Raw data'!B443),DATEVALUE('Customers Raw data'!F443),"M"),DATEDIF(DATEVALUE('Customers Raw data'!B443),TODAY(),"M"))</f>
        <v>2</v>
      </c>
      <c r="M443">
        <f t="shared" ca="1" si="30"/>
        <v>100</v>
      </c>
      <c r="N443">
        <f t="shared" si="31"/>
        <v>1</v>
      </c>
      <c r="O443">
        <f t="shared" ca="1" si="32"/>
        <v>1</v>
      </c>
      <c r="P443">
        <f t="shared" si="33"/>
        <v>50</v>
      </c>
      <c r="Q443" t="str">
        <f t="shared" si="34"/>
        <v>2025-04</v>
      </c>
    </row>
    <row r="444" spans="1:17" ht="15" customHeight="1" x14ac:dyDescent="0.25">
      <c r="A444">
        <f>'Customers Raw data'!A444</f>
        <v>1443</v>
      </c>
      <c r="B444" t="str">
        <f>'Customers Raw data'!B444</f>
        <v>2025-02-08</v>
      </c>
      <c r="C444" t="str">
        <f>'Customers Raw data'!C444</f>
        <v>Enterprise</v>
      </c>
      <c r="D444">
        <f>'Customers Raw data'!D444</f>
        <v>500</v>
      </c>
      <c r="E444">
        <f>'Customers Raw data'!E444</f>
        <v>200</v>
      </c>
      <c r="F444" t="str">
        <f>'Customers Raw data'!F444</f>
        <v>2025-06-11</v>
      </c>
      <c r="G444">
        <f>IF('Customers Raw data'!F444&lt;&gt;"",1,0)</f>
        <v>1</v>
      </c>
      <c r="H444">
        <f>IF('Customers Raw data'!F444&lt;&gt;"",YEAR(DATEVALUE('Customers Raw data'!F444)),"")</f>
        <v>2025</v>
      </c>
      <c r="I444">
        <f>IF('Customers Raw data'!F444&lt;&gt;"",MONTH(DATEVALUE('Customers Raw data'!F444)),"")</f>
        <v>6</v>
      </c>
      <c r="J444">
        <f>YEAR(DATEVALUE('Customers Raw data'!B444))</f>
        <v>2025</v>
      </c>
      <c r="K444">
        <f>MONTH(DATEVALUE('Customers Raw data'!B444))</f>
        <v>2</v>
      </c>
      <c r="L444">
        <f ca="1">IF('Customers Raw data'!F444&lt;&gt;"",DATEDIF(DATEVALUE('Customers Raw data'!B444),DATEVALUE('Customers Raw data'!F444),"M"),DATEDIF(DATEVALUE('Customers Raw data'!B444),TODAY(),"M"))</f>
        <v>4</v>
      </c>
      <c r="M444">
        <f t="shared" ca="1" si="30"/>
        <v>2000</v>
      </c>
      <c r="N444">
        <f t="shared" si="31"/>
        <v>3</v>
      </c>
      <c r="O444">
        <f t="shared" ca="1" si="32"/>
        <v>1</v>
      </c>
      <c r="P444">
        <f t="shared" si="33"/>
        <v>500</v>
      </c>
      <c r="Q444" t="str">
        <f t="shared" si="34"/>
        <v>2025-06</v>
      </c>
    </row>
    <row r="445" spans="1:17" ht="15" customHeight="1" x14ac:dyDescent="0.25">
      <c r="A445">
        <f>'Customers Raw data'!A445</f>
        <v>1444</v>
      </c>
      <c r="B445" t="str">
        <f>'Customers Raw data'!B445</f>
        <v>2025-04-16</v>
      </c>
      <c r="C445" t="str">
        <f>'Customers Raw data'!C445</f>
        <v>Basic</v>
      </c>
      <c r="D445">
        <f>'Customers Raw data'!D445</f>
        <v>50</v>
      </c>
      <c r="E445">
        <f>'Customers Raw data'!E445</f>
        <v>30</v>
      </c>
      <c r="F445">
        <f>'Customers Raw data'!F445</f>
        <v>0</v>
      </c>
      <c r="G445">
        <f>IF('Customers Raw data'!F445&lt;&gt;"",1,0)</f>
        <v>0</v>
      </c>
      <c r="H445" t="str">
        <f>IF('Customers Raw data'!F445&lt;&gt;"",YEAR(DATEVALUE('Customers Raw data'!F445)),"")</f>
        <v/>
      </c>
      <c r="I445" t="str">
        <f>IF('Customers Raw data'!F445&lt;&gt;"",MONTH(DATEVALUE('Customers Raw data'!F445)),"")</f>
        <v/>
      </c>
      <c r="J445">
        <f>YEAR(DATEVALUE('Customers Raw data'!B445))</f>
        <v>2025</v>
      </c>
      <c r="K445">
        <f>MONTH(DATEVALUE('Customers Raw data'!B445))</f>
        <v>4</v>
      </c>
      <c r="L445">
        <f ca="1">IF('Customers Raw data'!F445&lt;&gt;"",DATEDIF(DATEVALUE('Customers Raw data'!B445),DATEVALUE('Customers Raw data'!F445),"M"),DATEDIF(DATEVALUE('Customers Raw data'!B445),TODAY(),"M"))</f>
        <v>11</v>
      </c>
      <c r="M445">
        <f t="shared" ca="1" si="30"/>
        <v>550</v>
      </c>
      <c r="N445">
        <f t="shared" si="31"/>
        <v>1</v>
      </c>
      <c r="O445">
        <f t="shared" ca="1" si="32"/>
        <v>0</v>
      </c>
      <c r="P445">
        <f t="shared" si="33"/>
        <v>0</v>
      </c>
      <c r="Q445" t="e">
        <f t="shared" si="34"/>
        <v>#VALUE!</v>
      </c>
    </row>
    <row r="446" spans="1:17" ht="15" customHeight="1" x14ac:dyDescent="0.25">
      <c r="A446">
        <f>'Customers Raw data'!A446</f>
        <v>1445</v>
      </c>
      <c r="B446" t="str">
        <f>'Customers Raw data'!B446</f>
        <v>2025-01-06</v>
      </c>
      <c r="C446" t="str">
        <f>'Customers Raw data'!C446</f>
        <v>Pro</v>
      </c>
      <c r="D446">
        <f>'Customers Raw data'!D446</f>
        <v>200</v>
      </c>
      <c r="E446">
        <f>'Customers Raw data'!E446</f>
        <v>100</v>
      </c>
      <c r="F446">
        <f>'Customers Raw data'!F446</f>
        <v>0</v>
      </c>
      <c r="G446">
        <f>IF('Customers Raw data'!F446&lt;&gt;"",1,0)</f>
        <v>0</v>
      </c>
      <c r="H446" t="str">
        <f>IF('Customers Raw data'!F446&lt;&gt;"",YEAR(DATEVALUE('Customers Raw data'!F446)),"")</f>
        <v/>
      </c>
      <c r="I446" t="str">
        <f>IF('Customers Raw data'!F446&lt;&gt;"",MONTH(DATEVALUE('Customers Raw data'!F446)),"")</f>
        <v/>
      </c>
      <c r="J446">
        <f>YEAR(DATEVALUE('Customers Raw data'!B446))</f>
        <v>2025</v>
      </c>
      <c r="K446">
        <f>MONTH(DATEVALUE('Customers Raw data'!B446))</f>
        <v>1</v>
      </c>
      <c r="L446">
        <f ca="1">IF('Customers Raw data'!F446&lt;&gt;"",DATEDIF(DATEVALUE('Customers Raw data'!B446),DATEVALUE('Customers Raw data'!F446),"M"),DATEDIF(DATEVALUE('Customers Raw data'!B446),TODAY(),"M"))</f>
        <v>15</v>
      </c>
      <c r="M446">
        <f t="shared" ca="1" si="30"/>
        <v>3000</v>
      </c>
      <c r="N446">
        <f t="shared" si="31"/>
        <v>2</v>
      </c>
      <c r="O446">
        <f t="shared" ca="1" si="32"/>
        <v>0</v>
      </c>
      <c r="P446">
        <f t="shared" si="33"/>
        <v>0</v>
      </c>
      <c r="Q446" t="e">
        <f t="shared" si="34"/>
        <v>#VALUE!</v>
      </c>
    </row>
    <row r="447" spans="1:17" ht="15" customHeight="1" x14ac:dyDescent="0.25">
      <c r="A447">
        <f>'Customers Raw data'!A447</f>
        <v>1446</v>
      </c>
      <c r="B447" t="str">
        <f>'Customers Raw data'!B447</f>
        <v>2025-05-02</v>
      </c>
      <c r="C447" t="str">
        <f>'Customers Raw data'!C447</f>
        <v>Pro</v>
      </c>
      <c r="D447">
        <f>'Customers Raw data'!D447</f>
        <v>200</v>
      </c>
      <c r="E447">
        <f>'Customers Raw data'!E447</f>
        <v>100</v>
      </c>
      <c r="F447">
        <f>'Customers Raw data'!F447</f>
        <v>0</v>
      </c>
      <c r="G447">
        <f>IF('Customers Raw data'!F447&lt;&gt;"",1,0)</f>
        <v>0</v>
      </c>
      <c r="H447" t="str">
        <f>IF('Customers Raw data'!F447&lt;&gt;"",YEAR(DATEVALUE('Customers Raw data'!F447)),"")</f>
        <v/>
      </c>
      <c r="I447" t="str">
        <f>IF('Customers Raw data'!F447&lt;&gt;"",MONTH(DATEVALUE('Customers Raw data'!F447)),"")</f>
        <v/>
      </c>
      <c r="J447">
        <f>YEAR(DATEVALUE('Customers Raw data'!B447))</f>
        <v>2025</v>
      </c>
      <c r="K447">
        <f>MONTH(DATEVALUE('Customers Raw data'!B447))</f>
        <v>5</v>
      </c>
      <c r="L447">
        <f ca="1">IF('Customers Raw data'!F447&lt;&gt;"",DATEDIF(DATEVALUE('Customers Raw data'!B447),DATEVALUE('Customers Raw data'!F447),"M"),DATEDIF(DATEVALUE('Customers Raw data'!B447),TODAY(),"M"))</f>
        <v>11</v>
      </c>
      <c r="M447">
        <f t="shared" ca="1" si="30"/>
        <v>2200</v>
      </c>
      <c r="N447">
        <f t="shared" si="31"/>
        <v>2</v>
      </c>
      <c r="O447">
        <f t="shared" ca="1" si="32"/>
        <v>0</v>
      </c>
      <c r="P447">
        <f t="shared" si="33"/>
        <v>0</v>
      </c>
      <c r="Q447" t="e">
        <f t="shared" si="34"/>
        <v>#VALUE!</v>
      </c>
    </row>
    <row r="448" spans="1:17" ht="15" customHeight="1" x14ac:dyDescent="0.25">
      <c r="A448">
        <f>'Customers Raw data'!A448</f>
        <v>1447</v>
      </c>
      <c r="B448" t="str">
        <f>'Customers Raw data'!B448</f>
        <v>2025-04-26</v>
      </c>
      <c r="C448" t="str">
        <f>'Customers Raw data'!C448</f>
        <v>Pro</v>
      </c>
      <c r="D448">
        <f>'Customers Raw data'!D448</f>
        <v>200</v>
      </c>
      <c r="E448">
        <f>'Customers Raw data'!E448</f>
        <v>100</v>
      </c>
      <c r="F448">
        <f>'Customers Raw data'!F448</f>
        <v>0</v>
      </c>
      <c r="G448">
        <f>IF('Customers Raw data'!F448&lt;&gt;"",1,0)</f>
        <v>0</v>
      </c>
      <c r="H448" t="str">
        <f>IF('Customers Raw data'!F448&lt;&gt;"",YEAR(DATEVALUE('Customers Raw data'!F448)),"")</f>
        <v/>
      </c>
      <c r="I448" t="str">
        <f>IF('Customers Raw data'!F448&lt;&gt;"",MONTH(DATEVALUE('Customers Raw data'!F448)),"")</f>
        <v/>
      </c>
      <c r="J448">
        <f>YEAR(DATEVALUE('Customers Raw data'!B448))</f>
        <v>2025</v>
      </c>
      <c r="K448">
        <f>MONTH(DATEVALUE('Customers Raw data'!B448))</f>
        <v>4</v>
      </c>
      <c r="L448">
        <f ca="1">IF('Customers Raw data'!F448&lt;&gt;"",DATEDIF(DATEVALUE('Customers Raw data'!B448),DATEVALUE('Customers Raw data'!F448),"M"),DATEDIF(DATEVALUE('Customers Raw data'!B448),TODAY(),"M"))</f>
        <v>11</v>
      </c>
      <c r="M448">
        <f t="shared" ca="1" si="30"/>
        <v>2200</v>
      </c>
      <c r="N448">
        <f t="shared" si="31"/>
        <v>2</v>
      </c>
      <c r="O448">
        <f t="shared" ca="1" si="32"/>
        <v>0</v>
      </c>
      <c r="P448">
        <f t="shared" si="33"/>
        <v>0</v>
      </c>
      <c r="Q448" t="e">
        <f t="shared" si="34"/>
        <v>#VALUE!</v>
      </c>
    </row>
    <row r="449" spans="1:17" ht="15" customHeight="1" x14ac:dyDescent="0.25">
      <c r="A449">
        <f>'Customers Raw data'!A449</f>
        <v>1448</v>
      </c>
      <c r="B449" t="str">
        <f>'Customers Raw data'!B449</f>
        <v>2024-06-30</v>
      </c>
      <c r="C449" t="str">
        <f>'Customers Raw data'!C449</f>
        <v>Pro</v>
      </c>
      <c r="D449">
        <f>'Customers Raw data'!D449</f>
        <v>200</v>
      </c>
      <c r="E449">
        <f>'Customers Raw data'!E449</f>
        <v>100</v>
      </c>
      <c r="F449" t="str">
        <f>'Customers Raw data'!F449</f>
        <v>2024-09-05</v>
      </c>
      <c r="G449">
        <f>IF('Customers Raw data'!F449&lt;&gt;"",1,0)</f>
        <v>1</v>
      </c>
      <c r="H449">
        <f>IF('Customers Raw data'!F449&lt;&gt;"",YEAR(DATEVALUE('Customers Raw data'!F449)),"")</f>
        <v>2024</v>
      </c>
      <c r="I449">
        <f>IF('Customers Raw data'!F449&lt;&gt;"",MONTH(DATEVALUE('Customers Raw data'!F449)),"")</f>
        <v>9</v>
      </c>
      <c r="J449">
        <f>YEAR(DATEVALUE('Customers Raw data'!B449))</f>
        <v>2024</v>
      </c>
      <c r="K449">
        <f>MONTH(DATEVALUE('Customers Raw data'!B449))</f>
        <v>6</v>
      </c>
      <c r="L449">
        <f ca="1">IF('Customers Raw data'!F449&lt;&gt;"",DATEDIF(DATEVALUE('Customers Raw data'!B449),DATEVALUE('Customers Raw data'!F449),"M"),DATEDIF(DATEVALUE('Customers Raw data'!B449),TODAY(),"M"))</f>
        <v>2</v>
      </c>
      <c r="M449">
        <f t="shared" ca="1" si="30"/>
        <v>400</v>
      </c>
      <c r="N449">
        <f t="shared" si="31"/>
        <v>2</v>
      </c>
      <c r="O449">
        <f t="shared" ca="1" si="32"/>
        <v>1</v>
      </c>
      <c r="P449">
        <f t="shared" si="33"/>
        <v>200</v>
      </c>
      <c r="Q449" t="str">
        <f t="shared" si="34"/>
        <v>2024-09</v>
      </c>
    </row>
    <row r="450" spans="1:17" ht="15" customHeight="1" x14ac:dyDescent="0.25">
      <c r="A450">
        <f>'Customers Raw data'!A450</f>
        <v>1449</v>
      </c>
      <c r="B450" t="str">
        <f>'Customers Raw data'!B450</f>
        <v>2024-05-06</v>
      </c>
      <c r="C450" t="str">
        <f>'Customers Raw data'!C450</f>
        <v>Enterprise</v>
      </c>
      <c r="D450">
        <f>'Customers Raw data'!D450</f>
        <v>500</v>
      </c>
      <c r="E450">
        <f>'Customers Raw data'!E450</f>
        <v>200</v>
      </c>
      <c r="F450">
        <f>'Customers Raw data'!F450</f>
        <v>0</v>
      </c>
      <c r="G450">
        <f>IF('Customers Raw data'!F450&lt;&gt;"",1,0)</f>
        <v>0</v>
      </c>
      <c r="H450" t="str">
        <f>IF('Customers Raw data'!F450&lt;&gt;"",YEAR(DATEVALUE('Customers Raw data'!F450)),"")</f>
        <v/>
      </c>
      <c r="I450" t="str">
        <f>IF('Customers Raw data'!F450&lt;&gt;"",MONTH(DATEVALUE('Customers Raw data'!F450)),"")</f>
        <v/>
      </c>
      <c r="J450">
        <f>YEAR(DATEVALUE('Customers Raw data'!B450))</f>
        <v>2024</v>
      </c>
      <c r="K450">
        <f>MONTH(DATEVALUE('Customers Raw data'!B450))</f>
        <v>5</v>
      </c>
      <c r="L450">
        <f ca="1">IF('Customers Raw data'!F450&lt;&gt;"",DATEDIF(DATEVALUE('Customers Raw data'!B450),DATEVALUE('Customers Raw data'!F450),"M"),DATEDIF(DATEVALUE('Customers Raw data'!B450),TODAY(),"M"))</f>
        <v>23</v>
      </c>
      <c r="M450">
        <f t="shared" ref="M450:M513" ca="1" si="35">D450*L450</f>
        <v>11500</v>
      </c>
      <c r="N450">
        <f t="shared" ref="N450:N513" si="36">IF(C450="Basic",1,IF(C450="Pro",2,IF(C450="Enterprise",3,0)))</f>
        <v>3</v>
      </c>
      <c r="O450">
        <f t="shared" ref="O450:O513" ca="1" si="37">IF(AND(G450=1,L450&lt;6),1,0)</f>
        <v>0</v>
      </c>
      <c r="P450">
        <f t="shared" ref="P450:P513" si="38">IF(G450=1,D450,0)</f>
        <v>0</v>
      </c>
      <c r="Q450" t="e">
        <f t="shared" ref="Q450:Q513" si="39">IF(F450&lt;&gt;"",TEXT(DATEVALUE(F450),"YYYY-MM"),"")</f>
        <v>#VALUE!</v>
      </c>
    </row>
    <row r="451" spans="1:17" ht="15" customHeight="1" x14ac:dyDescent="0.25">
      <c r="A451">
        <f>'Customers Raw data'!A451</f>
        <v>1450</v>
      </c>
      <c r="B451" t="str">
        <f>'Customers Raw data'!B451</f>
        <v>2024-03-21</v>
      </c>
      <c r="C451" t="str">
        <f>'Customers Raw data'!C451</f>
        <v>Basic</v>
      </c>
      <c r="D451">
        <f>'Customers Raw data'!D451</f>
        <v>50</v>
      </c>
      <c r="E451">
        <f>'Customers Raw data'!E451</f>
        <v>30</v>
      </c>
      <c r="F451" t="str">
        <f>'Customers Raw data'!F451</f>
        <v>2025-04-27</v>
      </c>
      <c r="G451">
        <f>IF('Customers Raw data'!F451&lt;&gt;"",1,0)</f>
        <v>1</v>
      </c>
      <c r="H451">
        <f>IF('Customers Raw data'!F451&lt;&gt;"",YEAR(DATEVALUE('Customers Raw data'!F451)),"")</f>
        <v>2025</v>
      </c>
      <c r="I451">
        <f>IF('Customers Raw data'!F451&lt;&gt;"",MONTH(DATEVALUE('Customers Raw data'!F451)),"")</f>
        <v>4</v>
      </c>
      <c r="J451">
        <f>YEAR(DATEVALUE('Customers Raw data'!B451))</f>
        <v>2024</v>
      </c>
      <c r="K451">
        <f>MONTH(DATEVALUE('Customers Raw data'!B451))</f>
        <v>3</v>
      </c>
      <c r="L451">
        <f ca="1">IF('Customers Raw data'!F451&lt;&gt;"",DATEDIF(DATEVALUE('Customers Raw data'!B451),DATEVALUE('Customers Raw data'!F451),"M"),DATEDIF(DATEVALUE('Customers Raw data'!B451),TODAY(),"M"))</f>
        <v>13</v>
      </c>
      <c r="M451">
        <f t="shared" ca="1" si="35"/>
        <v>650</v>
      </c>
      <c r="N451">
        <f t="shared" si="36"/>
        <v>1</v>
      </c>
      <c r="O451">
        <f t="shared" ca="1" si="37"/>
        <v>0</v>
      </c>
      <c r="P451">
        <f t="shared" si="38"/>
        <v>50</v>
      </c>
      <c r="Q451" t="str">
        <f t="shared" si="39"/>
        <v>2025-04</v>
      </c>
    </row>
    <row r="452" spans="1:17" ht="15" customHeight="1" x14ac:dyDescent="0.25">
      <c r="A452">
        <f>'Customers Raw data'!A452</f>
        <v>1451</v>
      </c>
      <c r="B452" t="str">
        <f>'Customers Raw data'!B452</f>
        <v>2025-05-30</v>
      </c>
      <c r="C452" t="str">
        <f>'Customers Raw data'!C452</f>
        <v>Basic</v>
      </c>
      <c r="D452">
        <f>'Customers Raw data'!D452</f>
        <v>50</v>
      </c>
      <c r="E452">
        <f>'Customers Raw data'!E452</f>
        <v>30</v>
      </c>
      <c r="F452">
        <f>'Customers Raw data'!F452</f>
        <v>0</v>
      </c>
      <c r="G452">
        <f>IF('Customers Raw data'!F452&lt;&gt;"",1,0)</f>
        <v>0</v>
      </c>
      <c r="H452" t="str">
        <f>IF('Customers Raw data'!F452&lt;&gt;"",YEAR(DATEVALUE('Customers Raw data'!F452)),"")</f>
        <v/>
      </c>
      <c r="I452" t="str">
        <f>IF('Customers Raw data'!F452&lt;&gt;"",MONTH(DATEVALUE('Customers Raw data'!F452)),"")</f>
        <v/>
      </c>
      <c r="J452">
        <f>YEAR(DATEVALUE('Customers Raw data'!B452))</f>
        <v>2025</v>
      </c>
      <c r="K452">
        <f>MONTH(DATEVALUE('Customers Raw data'!B452))</f>
        <v>5</v>
      </c>
      <c r="L452">
        <f ca="1">IF('Customers Raw data'!F452&lt;&gt;"",DATEDIF(DATEVALUE('Customers Raw data'!B452),DATEVALUE('Customers Raw data'!F452),"M"),DATEDIF(DATEVALUE('Customers Raw data'!B452),TODAY(),"M"))</f>
        <v>10</v>
      </c>
      <c r="M452">
        <f t="shared" ca="1" si="35"/>
        <v>500</v>
      </c>
      <c r="N452">
        <f t="shared" si="36"/>
        <v>1</v>
      </c>
      <c r="O452">
        <f t="shared" ca="1" si="37"/>
        <v>0</v>
      </c>
      <c r="P452">
        <f t="shared" si="38"/>
        <v>0</v>
      </c>
      <c r="Q452" t="e">
        <f t="shared" si="39"/>
        <v>#VALUE!</v>
      </c>
    </row>
    <row r="453" spans="1:17" ht="15" customHeight="1" x14ac:dyDescent="0.25">
      <c r="A453">
        <f>'Customers Raw data'!A453</f>
        <v>1452</v>
      </c>
      <c r="B453" t="str">
        <f>'Customers Raw data'!B453</f>
        <v>2024-12-15</v>
      </c>
      <c r="C453" t="str">
        <f>'Customers Raw data'!C453</f>
        <v>Pro</v>
      </c>
      <c r="D453">
        <f>'Customers Raw data'!D453</f>
        <v>200</v>
      </c>
      <c r="E453">
        <f>'Customers Raw data'!E453</f>
        <v>100</v>
      </c>
      <c r="F453">
        <f>'Customers Raw data'!F453</f>
        <v>0</v>
      </c>
      <c r="G453">
        <f>IF('Customers Raw data'!F453&lt;&gt;"",1,0)</f>
        <v>0</v>
      </c>
      <c r="H453" t="str">
        <f>IF('Customers Raw data'!F453&lt;&gt;"",YEAR(DATEVALUE('Customers Raw data'!F453)),"")</f>
        <v/>
      </c>
      <c r="I453" t="str">
        <f>IF('Customers Raw data'!F453&lt;&gt;"",MONTH(DATEVALUE('Customers Raw data'!F453)),"")</f>
        <v/>
      </c>
      <c r="J453">
        <f>YEAR(DATEVALUE('Customers Raw data'!B453))</f>
        <v>2024</v>
      </c>
      <c r="K453">
        <f>MONTH(DATEVALUE('Customers Raw data'!B453))</f>
        <v>12</v>
      </c>
      <c r="L453">
        <f ca="1">IF('Customers Raw data'!F453&lt;&gt;"",DATEDIF(DATEVALUE('Customers Raw data'!B453),DATEVALUE('Customers Raw data'!F453),"M"),DATEDIF(DATEVALUE('Customers Raw data'!B453),TODAY(),"M"))</f>
        <v>15</v>
      </c>
      <c r="M453">
        <f t="shared" ca="1" si="35"/>
        <v>3000</v>
      </c>
      <c r="N453">
        <f t="shared" si="36"/>
        <v>2</v>
      </c>
      <c r="O453">
        <f t="shared" ca="1" si="37"/>
        <v>0</v>
      </c>
      <c r="P453">
        <f t="shared" si="38"/>
        <v>0</v>
      </c>
      <c r="Q453" t="e">
        <f t="shared" si="39"/>
        <v>#VALUE!</v>
      </c>
    </row>
    <row r="454" spans="1:17" ht="15" customHeight="1" x14ac:dyDescent="0.25">
      <c r="A454">
        <f>'Customers Raw data'!A454</f>
        <v>1453</v>
      </c>
      <c r="B454" t="str">
        <f>'Customers Raw data'!B454</f>
        <v>2025-04-24</v>
      </c>
      <c r="C454" t="str">
        <f>'Customers Raw data'!C454</f>
        <v>Enterprise</v>
      </c>
      <c r="D454">
        <f>'Customers Raw data'!D454</f>
        <v>500</v>
      </c>
      <c r="E454">
        <f>'Customers Raw data'!E454</f>
        <v>200</v>
      </c>
      <c r="F454" t="str">
        <f>'Customers Raw data'!F454</f>
        <v>2025-06-16</v>
      </c>
      <c r="G454">
        <f>IF('Customers Raw data'!F454&lt;&gt;"",1,0)</f>
        <v>1</v>
      </c>
      <c r="H454">
        <f>IF('Customers Raw data'!F454&lt;&gt;"",YEAR(DATEVALUE('Customers Raw data'!F454)),"")</f>
        <v>2025</v>
      </c>
      <c r="I454">
        <f>IF('Customers Raw data'!F454&lt;&gt;"",MONTH(DATEVALUE('Customers Raw data'!F454)),"")</f>
        <v>6</v>
      </c>
      <c r="J454">
        <f>YEAR(DATEVALUE('Customers Raw data'!B454))</f>
        <v>2025</v>
      </c>
      <c r="K454">
        <f>MONTH(DATEVALUE('Customers Raw data'!B454))</f>
        <v>4</v>
      </c>
      <c r="L454">
        <f ca="1">IF('Customers Raw data'!F454&lt;&gt;"",DATEDIF(DATEVALUE('Customers Raw data'!B454),DATEVALUE('Customers Raw data'!F454),"M"),DATEDIF(DATEVALUE('Customers Raw data'!B454),TODAY(),"M"))</f>
        <v>1</v>
      </c>
      <c r="M454">
        <f t="shared" ca="1" si="35"/>
        <v>500</v>
      </c>
      <c r="N454">
        <f t="shared" si="36"/>
        <v>3</v>
      </c>
      <c r="O454">
        <f t="shared" ca="1" si="37"/>
        <v>1</v>
      </c>
      <c r="P454">
        <f t="shared" si="38"/>
        <v>500</v>
      </c>
      <c r="Q454" t="str">
        <f t="shared" si="39"/>
        <v>2025-06</v>
      </c>
    </row>
    <row r="455" spans="1:17" ht="15" customHeight="1" x14ac:dyDescent="0.25">
      <c r="A455">
        <f>'Customers Raw data'!A455</f>
        <v>1454</v>
      </c>
      <c r="B455" t="str">
        <f>'Customers Raw data'!B455</f>
        <v>2024-02-22</v>
      </c>
      <c r="C455" t="str">
        <f>'Customers Raw data'!C455</f>
        <v>Enterprise</v>
      </c>
      <c r="D455">
        <f>'Customers Raw data'!D455</f>
        <v>500</v>
      </c>
      <c r="E455">
        <f>'Customers Raw data'!E455</f>
        <v>200</v>
      </c>
      <c r="F455">
        <f>'Customers Raw data'!F455</f>
        <v>0</v>
      </c>
      <c r="G455">
        <f>IF('Customers Raw data'!F455&lt;&gt;"",1,0)</f>
        <v>0</v>
      </c>
      <c r="H455" t="str">
        <f>IF('Customers Raw data'!F455&lt;&gt;"",YEAR(DATEVALUE('Customers Raw data'!F455)),"")</f>
        <v/>
      </c>
      <c r="I455" t="str">
        <f>IF('Customers Raw data'!F455&lt;&gt;"",MONTH(DATEVALUE('Customers Raw data'!F455)),"")</f>
        <v/>
      </c>
      <c r="J455">
        <f>YEAR(DATEVALUE('Customers Raw data'!B455))</f>
        <v>2024</v>
      </c>
      <c r="K455">
        <f>MONTH(DATEVALUE('Customers Raw data'!B455))</f>
        <v>2</v>
      </c>
      <c r="L455">
        <f ca="1">IF('Customers Raw data'!F455&lt;&gt;"",DATEDIF(DATEVALUE('Customers Raw data'!B455),DATEVALUE('Customers Raw data'!F455),"M"),DATEDIF(DATEVALUE('Customers Raw data'!B455),TODAY(),"M"))</f>
        <v>25</v>
      </c>
      <c r="M455">
        <f t="shared" ca="1" si="35"/>
        <v>12500</v>
      </c>
      <c r="N455">
        <f t="shared" si="36"/>
        <v>3</v>
      </c>
      <c r="O455">
        <f t="shared" ca="1" si="37"/>
        <v>0</v>
      </c>
      <c r="P455">
        <f t="shared" si="38"/>
        <v>0</v>
      </c>
      <c r="Q455" t="e">
        <f t="shared" si="39"/>
        <v>#VALUE!</v>
      </c>
    </row>
    <row r="456" spans="1:17" ht="15" customHeight="1" x14ac:dyDescent="0.25">
      <c r="A456">
        <f>'Customers Raw data'!A456</f>
        <v>1455</v>
      </c>
      <c r="B456" t="str">
        <f>'Customers Raw data'!B456</f>
        <v>2024-11-18</v>
      </c>
      <c r="C456" t="str">
        <f>'Customers Raw data'!C456</f>
        <v>Enterprise</v>
      </c>
      <c r="D456">
        <f>'Customers Raw data'!D456</f>
        <v>500</v>
      </c>
      <c r="E456">
        <f>'Customers Raw data'!E456</f>
        <v>200</v>
      </c>
      <c r="F456">
        <f>'Customers Raw data'!F456</f>
        <v>0</v>
      </c>
      <c r="G456">
        <f>IF('Customers Raw data'!F456&lt;&gt;"",1,0)</f>
        <v>0</v>
      </c>
      <c r="H456" t="str">
        <f>IF('Customers Raw data'!F456&lt;&gt;"",YEAR(DATEVALUE('Customers Raw data'!F456)),"")</f>
        <v/>
      </c>
      <c r="I456" t="str">
        <f>IF('Customers Raw data'!F456&lt;&gt;"",MONTH(DATEVALUE('Customers Raw data'!F456)),"")</f>
        <v/>
      </c>
      <c r="J456">
        <f>YEAR(DATEVALUE('Customers Raw data'!B456))</f>
        <v>2024</v>
      </c>
      <c r="K456">
        <f>MONTH(DATEVALUE('Customers Raw data'!B456))</f>
        <v>11</v>
      </c>
      <c r="L456">
        <f ca="1">IF('Customers Raw data'!F456&lt;&gt;"",DATEDIF(DATEVALUE('Customers Raw data'!B456),DATEVALUE('Customers Raw data'!F456),"M"),DATEDIF(DATEVALUE('Customers Raw data'!B456),TODAY(),"M"))</f>
        <v>16</v>
      </c>
      <c r="M456">
        <f t="shared" ca="1" si="35"/>
        <v>8000</v>
      </c>
      <c r="N456">
        <f t="shared" si="36"/>
        <v>3</v>
      </c>
      <c r="O456">
        <f t="shared" ca="1" si="37"/>
        <v>0</v>
      </c>
      <c r="P456">
        <f t="shared" si="38"/>
        <v>0</v>
      </c>
      <c r="Q456" t="e">
        <f t="shared" si="39"/>
        <v>#VALUE!</v>
      </c>
    </row>
    <row r="457" spans="1:17" ht="15" customHeight="1" x14ac:dyDescent="0.25">
      <c r="A457">
        <f>'Customers Raw data'!A457</f>
        <v>1456</v>
      </c>
      <c r="B457" t="str">
        <f>'Customers Raw data'!B457</f>
        <v>2024-08-19</v>
      </c>
      <c r="C457" t="str">
        <f>'Customers Raw data'!C457</f>
        <v>Enterprise</v>
      </c>
      <c r="D457">
        <f>'Customers Raw data'!D457</f>
        <v>500</v>
      </c>
      <c r="E457">
        <f>'Customers Raw data'!E457</f>
        <v>200</v>
      </c>
      <c r="F457">
        <f>'Customers Raw data'!F457</f>
        <v>0</v>
      </c>
      <c r="G457">
        <f>IF('Customers Raw data'!F457&lt;&gt;"",1,0)</f>
        <v>0</v>
      </c>
      <c r="H457" t="str">
        <f>IF('Customers Raw data'!F457&lt;&gt;"",YEAR(DATEVALUE('Customers Raw data'!F457)),"")</f>
        <v/>
      </c>
      <c r="I457" t="str">
        <f>IF('Customers Raw data'!F457&lt;&gt;"",MONTH(DATEVALUE('Customers Raw data'!F457)),"")</f>
        <v/>
      </c>
      <c r="J457">
        <f>YEAR(DATEVALUE('Customers Raw data'!B457))</f>
        <v>2024</v>
      </c>
      <c r="K457">
        <f>MONTH(DATEVALUE('Customers Raw data'!B457))</f>
        <v>8</v>
      </c>
      <c r="L457">
        <f ca="1">IF('Customers Raw data'!F457&lt;&gt;"",DATEDIF(DATEVALUE('Customers Raw data'!B457),DATEVALUE('Customers Raw data'!F457),"M"),DATEDIF(DATEVALUE('Customers Raw data'!B457),TODAY(),"M"))</f>
        <v>19</v>
      </c>
      <c r="M457">
        <f t="shared" ca="1" si="35"/>
        <v>9500</v>
      </c>
      <c r="N457">
        <f t="shared" si="36"/>
        <v>3</v>
      </c>
      <c r="O457">
        <f t="shared" ca="1" si="37"/>
        <v>0</v>
      </c>
      <c r="P457">
        <f t="shared" si="38"/>
        <v>0</v>
      </c>
      <c r="Q457" t="e">
        <f t="shared" si="39"/>
        <v>#VALUE!</v>
      </c>
    </row>
    <row r="458" spans="1:17" ht="15" customHeight="1" x14ac:dyDescent="0.25">
      <c r="A458">
        <f>'Customers Raw data'!A458</f>
        <v>1457</v>
      </c>
      <c r="B458" t="str">
        <f>'Customers Raw data'!B458</f>
        <v>2025-01-30</v>
      </c>
      <c r="C458" t="str">
        <f>'Customers Raw data'!C458</f>
        <v>Enterprise</v>
      </c>
      <c r="D458">
        <f>'Customers Raw data'!D458</f>
        <v>500</v>
      </c>
      <c r="E458">
        <f>'Customers Raw data'!E458</f>
        <v>200</v>
      </c>
      <c r="F458" t="str">
        <f>'Customers Raw data'!F458</f>
        <v>2025-06-03</v>
      </c>
      <c r="G458">
        <f>IF('Customers Raw data'!F458&lt;&gt;"",1,0)</f>
        <v>1</v>
      </c>
      <c r="H458">
        <f>IF('Customers Raw data'!F458&lt;&gt;"",YEAR(DATEVALUE('Customers Raw data'!F458)),"")</f>
        <v>2025</v>
      </c>
      <c r="I458">
        <f>IF('Customers Raw data'!F458&lt;&gt;"",MONTH(DATEVALUE('Customers Raw data'!F458)),"")</f>
        <v>6</v>
      </c>
      <c r="J458">
        <f>YEAR(DATEVALUE('Customers Raw data'!B458))</f>
        <v>2025</v>
      </c>
      <c r="K458">
        <f>MONTH(DATEVALUE('Customers Raw data'!B458))</f>
        <v>1</v>
      </c>
      <c r="L458">
        <f ca="1">IF('Customers Raw data'!F458&lt;&gt;"",DATEDIF(DATEVALUE('Customers Raw data'!B458),DATEVALUE('Customers Raw data'!F458),"M"),DATEDIF(DATEVALUE('Customers Raw data'!B458),TODAY(),"M"))</f>
        <v>4</v>
      </c>
      <c r="M458">
        <f t="shared" ca="1" si="35"/>
        <v>2000</v>
      </c>
      <c r="N458">
        <f t="shared" si="36"/>
        <v>3</v>
      </c>
      <c r="O458">
        <f t="shared" ca="1" si="37"/>
        <v>1</v>
      </c>
      <c r="P458">
        <f t="shared" si="38"/>
        <v>500</v>
      </c>
      <c r="Q458" t="str">
        <f t="shared" si="39"/>
        <v>2025-06</v>
      </c>
    </row>
    <row r="459" spans="1:17" ht="15" customHeight="1" x14ac:dyDescent="0.25">
      <c r="A459">
        <f>'Customers Raw data'!A459</f>
        <v>1458</v>
      </c>
      <c r="B459" t="str">
        <f>'Customers Raw data'!B459</f>
        <v>2024-06-25</v>
      </c>
      <c r="C459" t="str">
        <f>'Customers Raw data'!C459</f>
        <v>Enterprise</v>
      </c>
      <c r="D459">
        <f>'Customers Raw data'!D459</f>
        <v>500</v>
      </c>
      <c r="E459">
        <f>'Customers Raw data'!E459</f>
        <v>200</v>
      </c>
      <c r="F459">
        <f>'Customers Raw data'!F459</f>
        <v>0</v>
      </c>
      <c r="G459">
        <f>IF('Customers Raw data'!F459&lt;&gt;"",1,0)</f>
        <v>0</v>
      </c>
      <c r="H459" t="str">
        <f>IF('Customers Raw data'!F459&lt;&gt;"",YEAR(DATEVALUE('Customers Raw data'!F459)),"")</f>
        <v/>
      </c>
      <c r="I459" t="str">
        <f>IF('Customers Raw data'!F459&lt;&gt;"",MONTH(DATEVALUE('Customers Raw data'!F459)),"")</f>
        <v/>
      </c>
      <c r="J459">
        <f>YEAR(DATEVALUE('Customers Raw data'!B459))</f>
        <v>2024</v>
      </c>
      <c r="K459">
        <f>MONTH(DATEVALUE('Customers Raw data'!B459))</f>
        <v>6</v>
      </c>
      <c r="L459">
        <f ca="1">IF('Customers Raw data'!F459&lt;&gt;"",DATEDIF(DATEVALUE('Customers Raw data'!B459),DATEVALUE('Customers Raw data'!F459),"M"),DATEDIF(DATEVALUE('Customers Raw data'!B459),TODAY(),"M"))</f>
        <v>21</v>
      </c>
      <c r="M459">
        <f t="shared" ca="1" si="35"/>
        <v>10500</v>
      </c>
      <c r="N459">
        <f t="shared" si="36"/>
        <v>3</v>
      </c>
      <c r="O459">
        <f t="shared" ca="1" si="37"/>
        <v>0</v>
      </c>
      <c r="P459">
        <f t="shared" si="38"/>
        <v>0</v>
      </c>
      <c r="Q459" t="e">
        <f t="shared" si="39"/>
        <v>#VALUE!</v>
      </c>
    </row>
    <row r="460" spans="1:17" ht="15" customHeight="1" x14ac:dyDescent="0.25">
      <c r="A460">
        <f>'Customers Raw data'!A460</f>
        <v>1459</v>
      </c>
      <c r="B460" t="str">
        <f>'Customers Raw data'!B460</f>
        <v>2024-08-10</v>
      </c>
      <c r="C460" t="str">
        <f>'Customers Raw data'!C460</f>
        <v>Basic</v>
      </c>
      <c r="D460">
        <f>'Customers Raw data'!D460</f>
        <v>50</v>
      </c>
      <c r="E460">
        <f>'Customers Raw data'!E460</f>
        <v>30</v>
      </c>
      <c r="F460">
        <f>'Customers Raw data'!F460</f>
        <v>0</v>
      </c>
      <c r="G460">
        <f>IF('Customers Raw data'!F460&lt;&gt;"",1,0)</f>
        <v>0</v>
      </c>
      <c r="H460" t="str">
        <f>IF('Customers Raw data'!F460&lt;&gt;"",YEAR(DATEVALUE('Customers Raw data'!F460)),"")</f>
        <v/>
      </c>
      <c r="I460" t="str">
        <f>IF('Customers Raw data'!F460&lt;&gt;"",MONTH(DATEVALUE('Customers Raw data'!F460)),"")</f>
        <v/>
      </c>
      <c r="J460">
        <f>YEAR(DATEVALUE('Customers Raw data'!B460))</f>
        <v>2024</v>
      </c>
      <c r="K460">
        <f>MONTH(DATEVALUE('Customers Raw data'!B460))</f>
        <v>8</v>
      </c>
      <c r="L460">
        <f ca="1">IF('Customers Raw data'!F460&lt;&gt;"",DATEDIF(DATEVALUE('Customers Raw data'!B460),DATEVALUE('Customers Raw data'!F460),"M"),DATEDIF(DATEVALUE('Customers Raw data'!B460),TODAY(),"M"))</f>
        <v>19</v>
      </c>
      <c r="M460">
        <f t="shared" ca="1" si="35"/>
        <v>950</v>
      </c>
      <c r="N460">
        <f t="shared" si="36"/>
        <v>1</v>
      </c>
      <c r="O460">
        <f t="shared" ca="1" si="37"/>
        <v>0</v>
      </c>
      <c r="P460">
        <f t="shared" si="38"/>
        <v>0</v>
      </c>
      <c r="Q460" t="e">
        <f t="shared" si="39"/>
        <v>#VALUE!</v>
      </c>
    </row>
    <row r="461" spans="1:17" ht="15" customHeight="1" x14ac:dyDescent="0.25">
      <c r="A461">
        <f>'Customers Raw data'!A461</f>
        <v>1460</v>
      </c>
      <c r="B461" t="str">
        <f>'Customers Raw data'!B461</f>
        <v>2024-03-07</v>
      </c>
      <c r="C461" t="str">
        <f>'Customers Raw data'!C461</f>
        <v>Basic</v>
      </c>
      <c r="D461">
        <f>'Customers Raw data'!D461</f>
        <v>50</v>
      </c>
      <c r="E461">
        <f>'Customers Raw data'!E461</f>
        <v>30</v>
      </c>
      <c r="F461">
        <f>'Customers Raw data'!F461</f>
        <v>0</v>
      </c>
      <c r="G461">
        <f>IF('Customers Raw data'!F461&lt;&gt;"",1,0)</f>
        <v>0</v>
      </c>
      <c r="H461" t="str">
        <f>IF('Customers Raw data'!F461&lt;&gt;"",YEAR(DATEVALUE('Customers Raw data'!F461)),"")</f>
        <v/>
      </c>
      <c r="I461" t="str">
        <f>IF('Customers Raw data'!F461&lt;&gt;"",MONTH(DATEVALUE('Customers Raw data'!F461)),"")</f>
        <v/>
      </c>
      <c r="J461">
        <f>YEAR(DATEVALUE('Customers Raw data'!B461))</f>
        <v>2024</v>
      </c>
      <c r="K461">
        <f>MONTH(DATEVALUE('Customers Raw data'!B461))</f>
        <v>3</v>
      </c>
      <c r="L461">
        <f ca="1">IF('Customers Raw data'!F461&lt;&gt;"",DATEDIF(DATEVALUE('Customers Raw data'!B461),DATEVALUE('Customers Raw data'!F461),"M"),DATEDIF(DATEVALUE('Customers Raw data'!B461),TODAY(),"M"))</f>
        <v>25</v>
      </c>
      <c r="M461">
        <f t="shared" ca="1" si="35"/>
        <v>1250</v>
      </c>
      <c r="N461">
        <f t="shared" si="36"/>
        <v>1</v>
      </c>
      <c r="O461">
        <f t="shared" ca="1" si="37"/>
        <v>0</v>
      </c>
      <c r="P461">
        <f t="shared" si="38"/>
        <v>0</v>
      </c>
      <c r="Q461" t="e">
        <f t="shared" si="39"/>
        <v>#VALUE!</v>
      </c>
    </row>
    <row r="462" spans="1:17" ht="15" customHeight="1" x14ac:dyDescent="0.25">
      <c r="A462">
        <f>'Customers Raw data'!A462</f>
        <v>1461</v>
      </c>
      <c r="B462" t="str">
        <f>'Customers Raw data'!B462</f>
        <v>2025-05-14</v>
      </c>
      <c r="C462" t="str">
        <f>'Customers Raw data'!C462</f>
        <v>Enterprise</v>
      </c>
      <c r="D462">
        <f>'Customers Raw data'!D462</f>
        <v>500</v>
      </c>
      <c r="E462">
        <f>'Customers Raw data'!E462</f>
        <v>200</v>
      </c>
      <c r="F462">
        <f>'Customers Raw data'!F462</f>
        <v>0</v>
      </c>
      <c r="G462">
        <f>IF('Customers Raw data'!F462&lt;&gt;"",1,0)</f>
        <v>0</v>
      </c>
      <c r="H462" t="str">
        <f>IF('Customers Raw data'!F462&lt;&gt;"",YEAR(DATEVALUE('Customers Raw data'!F462)),"")</f>
        <v/>
      </c>
      <c r="I462" t="str">
        <f>IF('Customers Raw data'!F462&lt;&gt;"",MONTH(DATEVALUE('Customers Raw data'!F462)),"")</f>
        <v/>
      </c>
      <c r="J462">
        <f>YEAR(DATEVALUE('Customers Raw data'!B462))</f>
        <v>2025</v>
      </c>
      <c r="K462">
        <f>MONTH(DATEVALUE('Customers Raw data'!B462))</f>
        <v>5</v>
      </c>
      <c r="L462">
        <f ca="1">IF('Customers Raw data'!F462&lt;&gt;"",DATEDIF(DATEVALUE('Customers Raw data'!B462),DATEVALUE('Customers Raw data'!F462),"M"),DATEDIF(DATEVALUE('Customers Raw data'!B462),TODAY(),"M"))</f>
        <v>10</v>
      </c>
      <c r="M462">
        <f t="shared" ca="1" si="35"/>
        <v>5000</v>
      </c>
      <c r="N462">
        <f t="shared" si="36"/>
        <v>3</v>
      </c>
      <c r="O462">
        <f t="shared" ca="1" si="37"/>
        <v>0</v>
      </c>
      <c r="P462">
        <f t="shared" si="38"/>
        <v>0</v>
      </c>
      <c r="Q462" t="e">
        <f t="shared" si="39"/>
        <v>#VALUE!</v>
      </c>
    </row>
    <row r="463" spans="1:17" ht="15" customHeight="1" x14ac:dyDescent="0.25">
      <c r="A463">
        <f>'Customers Raw data'!A463</f>
        <v>1462</v>
      </c>
      <c r="B463" t="str">
        <f>'Customers Raw data'!B463</f>
        <v>2024-03-31</v>
      </c>
      <c r="C463" t="str">
        <f>'Customers Raw data'!C463</f>
        <v>Pro</v>
      </c>
      <c r="D463">
        <f>'Customers Raw data'!D463</f>
        <v>200</v>
      </c>
      <c r="E463">
        <f>'Customers Raw data'!E463</f>
        <v>100</v>
      </c>
      <c r="F463">
        <f>'Customers Raw data'!F463</f>
        <v>0</v>
      </c>
      <c r="G463">
        <f>IF('Customers Raw data'!F463&lt;&gt;"",1,0)</f>
        <v>0</v>
      </c>
      <c r="H463" t="str">
        <f>IF('Customers Raw data'!F463&lt;&gt;"",YEAR(DATEVALUE('Customers Raw data'!F463)),"")</f>
        <v/>
      </c>
      <c r="I463" t="str">
        <f>IF('Customers Raw data'!F463&lt;&gt;"",MONTH(DATEVALUE('Customers Raw data'!F463)),"")</f>
        <v/>
      </c>
      <c r="J463">
        <f>YEAR(DATEVALUE('Customers Raw data'!B463))</f>
        <v>2024</v>
      </c>
      <c r="K463">
        <f>MONTH(DATEVALUE('Customers Raw data'!B463))</f>
        <v>3</v>
      </c>
      <c r="L463">
        <f ca="1">IF('Customers Raw data'!F463&lt;&gt;"",DATEDIF(DATEVALUE('Customers Raw data'!B463),DATEVALUE('Customers Raw data'!F463),"M"),DATEDIF(DATEVALUE('Customers Raw data'!B463),TODAY(),"M"))</f>
        <v>24</v>
      </c>
      <c r="M463">
        <f t="shared" ca="1" si="35"/>
        <v>4800</v>
      </c>
      <c r="N463">
        <f t="shared" si="36"/>
        <v>2</v>
      </c>
      <c r="O463">
        <f t="shared" ca="1" si="37"/>
        <v>0</v>
      </c>
      <c r="P463">
        <f t="shared" si="38"/>
        <v>0</v>
      </c>
      <c r="Q463" t="e">
        <f t="shared" si="39"/>
        <v>#VALUE!</v>
      </c>
    </row>
    <row r="464" spans="1:17" ht="15" customHeight="1" x14ac:dyDescent="0.25">
      <c r="A464">
        <f>'Customers Raw data'!A464</f>
        <v>1463</v>
      </c>
      <c r="B464" t="str">
        <f>'Customers Raw data'!B464</f>
        <v>2024-08-18</v>
      </c>
      <c r="C464" t="str">
        <f>'Customers Raw data'!C464</f>
        <v>Pro</v>
      </c>
      <c r="D464">
        <f>'Customers Raw data'!D464</f>
        <v>200</v>
      </c>
      <c r="E464">
        <f>'Customers Raw data'!E464</f>
        <v>100</v>
      </c>
      <c r="F464">
        <f>'Customers Raw data'!F464</f>
        <v>0</v>
      </c>
      <c r="G464">
        <f>IF('Customers Raw data'!F464&lt;&gt;"",1,0)</f>
        <v>0</v>
      </c>
      <c r="H464" t="str">
        <f>IF('Customers Raw data'!F464&lt;&gt;"",YEAR(DATEVALUE('Customers Raw data'!F464)),"")</f>
        <v/>
      </c>
      <c r="I464" t="str">
        <f>IF('Customers Raw data'!F464&lt;&gt;"",MONTH(DATEVALUE('Customers Raw data'!F464)),"")</f>
        <v/>
      </c>
      <c r="J464">
        <f>YEAR(DATEVALUE('Customers Raw data'!B464))</f>
        <v>2024</v>
      </c>
      <c r="K464">
        <f>MONTH(DATEVALUE('Customers Raw data'!B464))</f>
        <v>8</v>
      </c>
      <c r="L464">
        <f ca="1">IF('Customers Raw data'!F464&lt;&gt;"",DATEDIF(DATEVALUE('Customers Raw data'!B464),DATEVALUE('Customers Raw data'!F464),"M"),DATEDIF(DATEVALUE('Customers Raw data'!B464),TODAY(),"M"))</f>
        <v>19</v>
      </c>
      <c r="M464">
        <f t="shared" ca="1" si="35"/>
        <v>3800</v>
      </c>
      <c r="N464">
        <f t="shared" si="36"/>
        <v>2</v>
      </c>
      <c r="O464">
        <f t="shared" ca="1" si="37"/>
        <v>0</v>
      </c>
      <c r="P464">
        <f t="shared" si="38"/>
        <v>0</v>
      </c>
      <c r="Q464" t="e">
        <f t="shared" si="39"/>
        <v>#VALUE!</v>
      </c>
    </row>
    <row r="465" spans="1:17" ht="15" customHeight="1" x14ac:dyDescent="0.25">
      <c r="A465">
        <f>'Customers Raw data'!A465</f>
        <v>1464</v>
      </c>
      <c r="B465" t="str">
        <f>'Customers Raw data'!B465</f>
        <v>2024-09-09</v>
      </c>
      <c r="C465" t="str">
        <f>'Customers Raw data'!C465</f>
        <v>Basic</v>
      </c>
      <c r="D465">
        <f>'Customers Raw data'!D465</f>
        <v>50</v>
      </c>
      <c r="E465">
        <f>'Customers Raw data'!E465</f>
        <v>30</v>
      </c>
      <c r="F465">
        <f>'Customers Raw data'!F465</f>
        <v>0</v>
      </c>
      <c r="G465">
        <f>IF('Customers Raw data'!F465&lt;&gt;"",1,0)</f>
        <v>0</v>
      </c>
      <c r="H465" t="str">
        <f>IF('Customers Raw data'!F465&lt;&gt;"",YEAR(DATEVALUE('Customers Raw data'!F465)),"")</f>
        <v/>
      </c>
      <c r="I465" t="str">
        <f>IF('Customers Raw data'!F465&lt;&gt;"",MONTH(DATEVALUE('Customers Raw data'!F465)),"")</f>
        <v/>
      </c>
      <c r="J465">
        <f>YEAR(DATEVALUE('Customers Raw data'!B465))</f>
        <v>2024</v>
      </c>
      <c r="K465">
        <f>MONTH(DATEVALUE('Customers Raw data'!B465))</f>
        <v>9</v>
      </c>
      <c r="L465">
        <f ca="1">IF('Customers Raw data'!F465&lt;&gt;"",DATEDIF(DATEVALUE('Customers Raw data'!B465),DATEVALUE('Customers Raw data'!F465),"M"),DATEDIF(DATEVALUE('Customers Raw data'!B465),TODAY(),"M"))</f>
        <v>18</v>
      </c>
      <c r="M465">
        <f t="shared" ca="1" si="35"/>
        <v>900</v>
      </c>
      <c r="N465">
        <f t="shared" si="36"/>
        <v>1</v>
      </c>
      <c r="O465">
        <f t="shared" ca="1" si="37"/>
        <v>0</v>
      </c>
      <c r="P465">
        <f t="shared" si="38"/>
        <v>0</v>
      </c>
      <c r="Q465" t="e">
        <f t="shared" si="39"/>
        <v>#VALUE!</v>
      </c>
    </row>
    <row r="466" spans="1:17" ht="15" customHeight="1" x14ac:dyDescent="0.25">
      <c r="A466">
        <f>'Customers Raw data'!A466</f>
        <v>1465</v>
      </c>
      <c r="B466" t="str">
        <f>'Customers Raw data'!B466</f>
        <v>2024-09-08</v>
      </c>
      <c r="C466" t="str">
        <f>'Customers Raw data'!C466</f>
        <v>Basic</v>
      </c>
      <c r="D466">
        <f>'Customers Raw data'!D466</f>
        <v>50</v>
      </c>
      <c r="E466">
        <f>'Customers Raw data'!E466</f>
        <v>30</v>
      </c>
      <c r="F466" t="str">
        <f>'Customers Raw data'!F466</f>
        <v>2024-11-28</v>
      </c>
      <c r="G466">
        <f>IF('Customers Raw data'!F466&lt;&gt;"",1,0)</f>
        <v>1</v>
      </c>
      <c r="H466">
        <f>IF('Customers Raw data'!F466&lt;&gt;"",YEAR(DATEVALUE('Customers Raw data'!F466)),"")</f>
        <v>2024</v>
      </c>
      <c r="I466">
        <f>IF('Customers Raw data'!F466&lt;&gt;"",MONTH(DATEVALUE('Customers Raw data'!F466)),"")</f>
        <v>11</v>
      </c>
      <c r="J466">
        <f>YEAR(DATEVALUE('Customers Raw data'!B466))</f>
        <v>2024</v>
      </c>
      <c r="K466">
        <f>MONTH(DATEVALUE('Customers Raw data'!B466))</f>
        <v>9</v>
      </c>
      <c r="L466">
        <f ca="1">IF('Customers Raw data'!F466&lt;&gt;"",DATEDIF(DATEVALUE('Customers Raw data'!B466),DATEVALUE('Customers Raw data'!F466),"M"),DATEDIF(DATEVALUE('Customers Raw data'!B466),TODAY(),"M"))</f>
        <v>2</v>
      </c>
      <c r="M466">
        <f t="shared" ca="1" si="35"/>
        <v>100</v>
      </c>
      <c r="N466">
        <f t="shared" si="36"/>
        <v>1</v>
      </c>
      <c r="O466">
        <f t="shared" ca="1" si="37"/>
        <v>1</v>
      </c>
      <c r="P466">
        <f t="shared" si="38"/>
        <v>50</v>
      </c>
      <c r="Q466" t="str">
        <f t="shared" si="39"/>
        <v>2024-11</v>
      </c>
    </row>
    <row r="467" spans="1:17" ht="15" customHeight="1" x14ac:dyDescent="0.25">
      <c r="A467">
        <f>'Customers Raw data'!A467</f>
        <v>1466</v>
      </c>
      <c r="B467" t="str">
        <f>'Customers Raw data'!B467</f>
        <v>2024-06-26</v>
      </c>
      <c r="C467" t="str">
        <f>'Customers Raw data'!C467</f>
        <v>Basic</v>
      </c>
      <c r="D467">
        <f>'Customers Raw data'!D467</f>
        <v>50</v>
      </c>
      <c r="E467">
        <f>'Customers Raw data'!E467</f>
        <v>30</v>
      </c>
      <c r="F467">
        <f>'Customers Raw data'!F467</f>
        <v>0</v>
      </c>
      <c r="G467">
        <f>IF('Customers Raw data'!F467&lt;&gt;"",1,0)</f>
        <v>0</v>
      </c>
      <c r="H467" t="str">
        <f>IF('Customers Raw data'!F467&lt;&gt;"",YEAR(DATEVALUE('Customers Raw data'!F467)),"")</f>
        <v/>
      </c>
      <c r="I467" t="str">
        <f>IF('Customers Raw data'!F467&lt;&gt;"",MONTH(DATEVALUE('Customers Raw data'!F467)),"")</f>
        <v/>
      </c>
      <c r="J467">
        <f>YEAR(DATEVALUE('Customers Raw data'!B467))</f>
        <v>2024</v>
      </c>
      <c r="K467">
        <f>MONTH(DATEVALUE('Customers Raw data'!B467))</f>
        <v>6</v>
      </c>
      <c r="L467">
        <f ca="1">IF('Customers Raw data'!F467&lt;&gt;"",DATEDIF(DATEVALUE('Customers Raw data'!B467),DATEVALUE('Customers Raw data'!F467),"M"),DATEDIF(DATEVALUE('Customers Raw data'!B467),TODAY(),"M"))</f>
        <v>21</v>
      </c>
      <c r="M467">
        <f t="shared" ca="1" si="35"/>
        <v>1050</v>
      </c>
      <c r="N467">
        <f t="shared" si="36"/>
        <v>1</v>
      </c>
      <c r="O467">
        <f t="shared" ca="1" si="37"/>
        <v>0</v>
      </c>
      <c r="P467">
        <f t="shared" si="38"/>
        <v>0</v>
      </c>
      <c r="Q467" t="e">
        <f t="shared" si="39"/>
        <v>#VALUE!</v>
      </c>
    </row>
    <row r="468" spans="1:17" ht="15" customHeight="1" x14ac:dyDescent="0.25">
      <c r="A468">
        <f>'Customers Raw data'!A468</f>
        <v>1467</v>
      </c>
      <c r="B468" t="str">
        <f>'Customers Raw data'!B468</f>
        <v>2024-10-31</v>
      </c>
      <c r="C468" t="str">
        <f>'Customers Raw data'!C468</f>
        <v>Pro</v>
      </c>
      <c r="D468">
        <f>'Customers Raw data'!D468</f>
        <v>200</v>
      </c>
      <c r="E468">
        <f>'Customers Raw data'!E468</f>
        <v>100</v>
      </c>
      <c r="F468">
        <f>'Customers Raw data'!F468</f>
        <v>0</v>
      </c>
      <c r="G468">
        <f>IF('Customers Raw data'!F468&lt;&gt;"",1,0)</f>
        <v>0</v>
      </c>
      <c r="H468" t="str">
        <f>IF('Customers Raw data'!F468&lt;&gt;"",YEAR(DATEVALUE('Customers Raw data'!F468)),"")</f>
        <v/>
      </c>
      <c r="I468" t="str">
        <f>IF('Customers Raw data'!F468&lt;&gt;"",MONTH(DATEVALUE('Customers Raw data'!F468)),"")</f>
        <v/>
      </c>
      <c r="J468">
        <f>YEAR(DATEVALUE('Customers Raw data'!B468))</f>
        <v>2024</v>
      </c>
      <c r="K468">
        <f>MONTH(DATEVALUE('Customers Raw data'!B468))</f>
        <v>10</v>
      </c>
      <c r="L468">
        <f ca="1">IF('Customers Raw data'!F468&lt;&gt;"",DATEDIF(DATEVALUE('Customers Raw data'!B468),DATEVALUE('Customers Raw data'!F468),"M"),DATEDIF(DATEVALUE('Customers Raw data'!B468),TODAY(),"M"))</f>
        <v>17</v>
      </c>
      <c r="M468">
        <f t="shared" ca="1" si="35"/>
        <v>3400</v>
      </c>
      <c r="N468">
        <f t="shared" si="36"/>
        <v>2</v>
      </c>
      <c r="O468">
        <f t="shared" ca="1" si="37"/>
        <v>0</v>
      </c>
      <c r="P468">
        <f t="shared" si="38"/>
        <v>0</v>
      </c>
      <c r="Q468" t="e">
        <f t="shared" si="39"/>
        <v>#VALUE!</v>
      </c>
    </row>
    <row r="469" spans="1:17" ht="15" customHeight="1" x14ac:dyDescent="0.25">
      <c r="A469">
        <f>'Customers Raw data'!A469</f>
        <v>1468</v>
      </c>
      <c r="B469" t="str">
        <f>'Customers Raw data'!B469</f>
        <v>2025-04-03</v>
      </c>
      <c r="C469" t="str">
        <f>'Customers Raw data'!C469</f>
        <v>Enterprise</v>
      </c>
      <c r="D469">
        <f>'Customers Raw data'!D469</f>
        <v>500</v>
      </c>
      <c r="E469">
        <f>'Customers Raw data'!E469</f>
        <v>200</v>
      </c>
      <c r="F469">
        <f>'Customers Raw data'!F469</f>
        <v>0</v>
      </c>
      <c r="G469">
        <f>IF('Customers Raw data'!F469&lt;&gt;"",1,0)</f>
        <v>0</v>
      </c>
      <c r="H469" t="str">
        <f>IF('Customers Raw data'!F469&lt;&gt;"",YEAR(DATEVALUE('Customers Raw data'!F469)),"")</f>
        <v/>
      </c>
      <c r="I469" t="str">
        <f>IF('Customers Raw data'!F469&lt;&gt;"",MONTH(DATEVALUE('Customers Raw data'!F469)),"")</f>
        <v/>
      </c>
      <c r="J469">
        <f>YEAR(DATEVALUE('Customers Raw data'!B469))</f>
        <v>2025</v>
      </c>
      <c r="K469">
        <f>MONTH(DATEVALUE('Customers Raw data'!B469))</f>
        <v>4</v>
      </c>
      <c r="L469">
        <f ca="1">IF('Customers Raw data'!F469&lt;&gt;"",DATEDIF(DATEVALUE('Customers Raw data'!B469),DATEVALUE('Customers Raw data'!F469),"M"),DATEDIF(DATEVALUE('Customers Raw data'!B469),TODAY(),"M"))</f>
        <v>12</v>
      </c>
      <c r="M469">
        <f t="shared" ca="1" si="35"/>
        <v>6000</v>
      </c>
      <c r="N469">
        <f t="shared" si="36"/>
        <v>3</v>
      </c>
      <c r="O469">
        <f t="shared" ca="1" si="37"/>
        <v>0</v>
      </c>
      <c r="P469">
        <f t="shared" si="38"/>
        <v>0</v>
      </c>
      <c r="Q469" t="e">
        <f t="shared" si="39"/>
        <v>#VALUE!</v>
      </c>
    </row>
    <row r="470" spans="1:17" ht="15" customHeight="1" x14ac:dyDescent="0.25">
      <c r="A470">
        <f>'Customers Raw data'!A470</f>
        <v>1469</v>
      </c>
      <c r="B470" t="str">
        <f>'Customers Raw data'!B470</f>
        <v>2024-10-25</v>
      </c>
      <c r="C470" t="str">
        <f>'Customers Raw data'!C470</f>
        <v>Basic</v>
      </c>
      <c r="D470">
        <f>'Customers Raw data'!D470</f>
        <v>50</v>
      </c>
      <c r="E470">
        <f>'Customers Raw data'!E470</f>
        <v>30</v>
      </c>
      <c r="F470">
        <f>'Customers Raw data'!F470</f>
        <v>0</v>
      </c>
      <c r="G470">
        <f>IF('Customers Raw data'!F470&lt;&gt;"",1,0)</f>
        <v>0</v>
      </c>
      <c r="H470" t="str">
        <f>IF('Customers Raw data'!F470&lt;&gt;"",YEAR(DATEVALUE('Customers Raw data'!F470)),"")</f>
        <v/>
      </c>
      <c r="I470" t="str">
        <f>IF('Customers Raw data'!F470&lt;&gt;"",MONTH(DATEVALUE('Customers Raw data'!F470)),"")</f>
        <v/>
      </c>
      <c r="J470">
        <f>YEAR(DATEVALUE('Customers Raw data'!B470))</f>
        <v>2024</v>
      </c>
      <c r="K470">
        <f>MONTH(DATEVALUE('Customers Raw data'!B470))</f>
        <v>10</v>
      </c>
      <c r="L470">
        <f ca="1">IF('Customers Raw data'!F470&lt;&gt;"",DATEDIF(DATEVALUE('Customers Raw data'!B470),DATEVALUE('Customers Raw data'!F470),"M"),DATEDIF(DATEVALUE('Customers Raw data'!B470),TODAY(),"M"))</f>
        <v>17</v>
      </c>
      <c r="M470">
        <f t="shared" ca="1" si="35"/>
        <v>850</v>
      </c>
      <c r="N470">
        <f t="shared" si="36"/>
        <v>1</v>
      </c>
      <c r="O470">
        <f t="shared" ca="1" si="37"/>
        <v>0</v>
      </c>
      <c r="P470">
        <f t="shared" si="38"/>
        <v>0</v>
      </c>
      <c r="Q470" t="e">
        <f t="shared" si="39"/>
        <v>#VALUE!</v>
      </c>
    </row>
    <row r="471" spans="1:17" ht="15" customHeight="1" x14ac:dyDescent="0.25">
      <c r="A471">
        <f>'Customers Raw data'!A471</f>
        <v>1470</v>
      </c>
      <c r="B471" t="str">
        <f>'Customers Raw data'!B471</f>
        <v>2024-12-23</v>
      </c>
      <c r="C471" t="str">
        <f>'Customers Raw data'!C471</f>
        <v>Enterprise</v>
      </c>
      <c r="D471">
        <f>'Customers Raw data'!D471</f>
        <v>500</v>
      </c>
      <c r="E471">
        <f>'Customers Raw data'!E471</f>
        <v>200</v>
      </c>
      <c r="F471">
        <f>'Customers Raw data'!F471</f>
        <v>0</v>
      </c>
      <c r="G471">
        <f>IF('Customers Raw data'!F471&lt;&gt;"",1,0)</f>
        <v>0</v>
      </c>
      <c r="H471" t="str">
        <f>IF('Customers Raw data'!F471&lt;&gt;"",YEAR(DATEVALUE('Customers Raw data'!F471)),"")</f>
        <v/>
      </c>
      <c r="I471" t="str">
        <f>IF('Customers Raw data'!F471&lt;&gt;"",MONTH(DATEVALUE('Customers Raw data'!F471)),"")</f>
        <v/>
      </c>
      <c r="J471">
        <f>YEAR(DATEVALUE('Customers Raw data'!B471))</f>
        <v>2024</v>
      </c>
      <c r="K471">
        <f>MONTH(DATEVALUE('Customers Raw data'!B471))</f>
        <v>12</v>
      </c>
      <c r="L471">
        <f ca="1">IF('Customers Raw data'!F471&lt;&gt;"",DATEDIF(DATEVALUE('Customers Raw data'!B471),DATEVALUE('Customers Raw data'!F471),"M"),DATEDIF(DATEVALUE('Customers Raw data'!B471),TODAY(),"M"))</f>
        <v>15</v>
      </c>
      <c r="M471">
        <f t="shared" ca="1" si="35"/>
        <v>7500</v>
      </c>
      <c r="N471">
        <f t="shared" si="36"/>
        <v>3</v>
      </c>
      <c r="O471">
        <f t="shared" ca="1" si="37"/>
        <v>0</v>
      </c>
      <c r="P471">
        <f t="shared" si="38"/>
        <v>0</v>
      </c>
      <c r="Q471" t="e">
        <f t="shared" si="39"/>
        <v>#VALUE!</v>
      </c>
    </row>
    <row r="472" spans="1:17" ht="15" customHeight="1" x14ac:dyDescent="0.25">
      <c r="A472">
        <f>'Customers Raw data'!A472</f>
        <v>1471</v>
      </c>
      <c r="B472" t="str">
        <f>'Customers Raw data'!B472</f>
        <v>2024-01-19</v>
      </c>
      <c r="C472" t="str">
        <f>'Customers Raw data'!C472</f>
        <v>Pro</v>
      </c>
      <c r="D472">
        <f>'Customers Raw data'!D472</f>
        <v>200</v>
      </c>
      <c r="E472">
        <f>'Customers Raw data'!E472</f>
        <v>100</v>
      </c>
      <c r="F472" t="str">
        <f>'Customers Raw data'!F472</f>
        <v>2024-05-26</v>
      </c>
      <c r="G472">
        <f>IF('Customers Raw data'!F472&lt;&gt;"",1,0)</f>
        <v>1</v>
      </c>
      <c r="H472">
        <f>IF('Customers Raw data'!F472&lt;&gt;"",YEAR(DATEVALUE('Customers Raw data'!F472)),"")</f>
        <v>2024</v>
      </c>
      <c r="I472">
        <f>IF('Customers Raw data'!F472&lt;&gt;"",MONTH(DATEVALUE('Customers Raw data'!F472)),"")</f>
        <v>5</v>
      </c>
      <c r="J472">
        <f>YEAR(DATEVALUE('Customers Raw data'!B472))</f>
        <v>2024</v>
      </c>
      <c r="K472">
        <f>MONTH(DATEVALUE('Customers Raw data'!B472))</f>
        <v>1</v>
      </c>
      <c r="L472">
        <f ca="1">IF('Customers Raw data'!F472&lt;&gt;"",DATEDIF(DATEVALUE('Customers Raw data'!B472),DATEVALUE('Customers Raw data'!F472),"M"),DATEDIF(DATEVALUE('Customers Raw data'!B472),TODAY(),"M"))</f>
        <v>4</v>
      </c>
      <c r="M472">
        <f t="shared" ca="1" si="35"/>
        <v>800</v>
      </c>
      <c r="N472">
        <f t="shared" si="36"/>
        <v>2</v>
      </c>
      <c r="O472">
        <f t="shared" ca="1" si="37"/>
        <v>1</v>
      </c>
      <c r="P472">
        <f t="shared" si="38"/>
        <v>200</v>
      </c>
      <c r="Q472" t="str">
        <f t="shared" si="39"/>
        <v>2024-05</v>
      </c>
    </row>
    <row r="473" spans="1:17" ht="15" customHeight="1" x14ac:dyDescent="0.25">
      <c r="A473">
        <f>'Customers Raw data'!A473</f>
        <v>1472</v>
      </c>
      <c r="B473" t="str">
        <f>'Customers Raw data'!B473</f>
        <v>2024-07-06</v>
      </c>
      <c r="C473" t="str">
        <f>'Customers Raw data'!C473</f>
        <v>Pro</v>
      </c>
      <c r="D473">
        <f>'Customers Raw data'!D473</f>
        <v>200</v>
      </c>
      <c r="E473">
        <f>'Customers Raw data'!E473</f>
        <v>100</v>
      </c>
      <c r="F473">
        <f>'Customers Raw data'!F473</f>
        <v>0</v>
      </c>
      <c r="G473">
        <f>IF('Customers Raw data'!F473&lt;&gt;"",1,0)</f>
        <v>0</v>
      </c>
      <c r="H473" t="str">
        <f>IF('Customers Raw data'!F473&lt;&gt;"",YEAR(DATEVALUE('Customers Raw data'!F473)),"")</f>
        <v/>
      </c>
      <c r="I473" t="str">
        <f>IF('Customers Raw data'!F473&lt;&gt;"",MONTH(DATEVALUE('Customers Raw data'!F473)),"")</f>
        <v/>
      </c>
      <c r="J473">
        <f>YEAR(DATEVALUE('Customers Raw data'!B473))</f>
        <v>2024</v>
      </c>
      <c r="K473">
        <f>MONTH(DATEVALUE('Customers Raw data'!B473))</f>
        <v>7</v>
      </c>
      <c r="L473">
        <f ca="1">IF('Customers Raw data'!F473&lt;&gt;"",DATEDIF(DATEVALUE('Customers Raw data'!B473),DATEVALUE('Customers Raw data'!F473),"M"),DATEDIF(DATEVALUE('Customers Raw data'!B473),TODAY(),"M"))</f>
        <v>21</v>
      </c>
      <c r="M473">
        <f t="shared" ca="1" si="35"/>
        <v>4200</v>
      </c>
      <c r="N473">
        <f t="shared" si="36"/>
        <v>2</v>
      </c>
      <c r="O473">
        <f t="shared" ca="1" si="37"/>
        <v>0</v>
      </c>
      <c r="P473">
        <f t="shared" si="38"/>
        <v>0</v>
      </c>
      <c r="Q473" t="e">
        <f t="shared" si="39"/>
        <v>#VALUE!</v>
      </c>
    </row>
    <row r="474" spans="1:17" ht="15" customHeight="1" x14ac:dyDescent="0.25">
      <c r="A474">
        <f>'Customers Raw data'!A474</f>
        <v>1473</v>
      </c>
      <c r="B474" t="str">
        <f>'Customers Raw data'!B474</f>
        <v>2024-03-22</v>
      </c>
      <c r="C474" t="str">
        <f>'Customers Raw data'!C474</f>
        <v>Basic</v>
      </c>
      <c r="D474">
        <f>'Customers Raw data'!D474</f>
        <v>50</v>
      </c>
      <c r="E474">
        <f>'Customers Raw data'!E474</f>
        <v>30</v>
      </c>
      <c r="F474">
        <f>'Customers Raw data'!F474</f>
        <v>0</v>
      </c>
      <c r="G474">
        <f>IF('Customers Raw data'!F474&lt;&gt;"",1,0)</f>
        <v>0</v>
      </c>
      <c r="H474" t="str">
        <f>IF('Customers Raw data'!F474&lt;&gt;"",YEAR(DATEVALUE('Customers Raw data'!F474)),"")</f>
        <v/>
      </c>
      <c r="I474" t="str">
        <f>IF('Customers Raw data'!F474&lt;&gt;"",MONTH(DATEVALUE('Customers Raw data'!F474)),"")</f>
        <v/>
      </c>
      <c r="J474">
        <f>YEAR(DATEVALUE('Customers Raw data'!B474))</f>
        <v>2024</v>
      </c>
      <c r="K474">
        <f>MONTH(DATEVALUE('Customers Raw data'!B474))</f>
        <v>3</v>
      </c>
      <c r="L474">
        <f ca="1">IF('Customers Raw data'!F474&lt;&gt;"",DATEDIF(DATEVALUE('Customers Raw data'!B474),DATEVALUE('Customers Raw data'!F474),"M"),DATEDIF(DATEVALUE('Customers Raw data'!B474),TODAY(),"M"))</f>
        <v>24</v>
      </c>
      <c r="M474">
        <f t="shared" ca="1" si="35"/>
        <v>1200</v>
      </c>
      <c r="N474">
        <f t="shared" si="36"/>
        <v>1</v>
      </c>
      <c r="O474">
        <f t="shared" ca="1" si="37"/>
        <v>0</v>
      </c>
      <c r="P474">
        <f t="shared" si="38"/>
        <v>0</v>
      </c>
      <c r="Q474" t="e">
        <f t="shared" si="39"/>
        <v>#VALUE!</v>
      </c>
    </row>
    <row r="475" spans="1:17" ht="15" customHeight="1" x14ac:dyDescent="0.25">
      <c r="A475">
        <f>'Customers Raw data'!A475</f>
        <v>1474</v>
      </c>
      <c r="B475" t="str">
        <f>'Customers Raw data'!B475</f>
        <v>2024-12-23</v>
      </c>
      <c r="C475" t="str">
        <f>'Customers Raw data'!C475</f>
        <v>Basic</v>
      </c>
      <c r="D475">
        <f>'Customers Raw data'!D475</f>
        <v>50</v>
      </c>
      <c r="E475">
        <f>'Customers Raw data'!E475</f>
        <v>30</v>
      </c>
      <c r="F475">
        <f>'Customers Raw data'!F475</f>
        <v>0</v>
      </c>
      <c r="G475">
        <f>IF('Customers Raw data'!F475&lt;&gt;"",1,0)</f>
        <v>0</v>
      </c>
      <c r="H475" t="str">
        <f>IF('Customers Raw data'!F475&lt;&gt;"",YEAR(DATEVALUE('Customers Raw data'!F475)),"")</f>
        <v/>
      </c>
      <c r="I475" t="str">
        <f>IF('Customers Raw data'!F475&lt;&gt;"",MONTH(DATEVALUE('Customers Raw data'!F475)),"")</f>
        <v/>
      </c>
      <c r="J475">
        <f>YEAR(DATEVALUE('Customers Raw data'!B475))</f>
        <v>2024</v>
      </c>
      <c r="K475">
        <f>MONTH(DATEVALUE('Customers Raw data'!B475))</f>
        <v>12</v>
      </c>
      <c r="L475">
        <f ca="1">IF('Customers Raw data'!F475&lt;&gt;"",DATEDIF(DATEVALUE('Customers Raw data'!B475),DATEVALUE('Customers Raw data'!F475),"M"),DATEDIF(DATEVALUE('Customers Raw data'!B475),TODAY(),"M"))</f>
        <v>15</v>
      </c>
      <c r="M475">
        <f t="shared" ca="1" si="35"/>
        <v>750</v>
      </c>
      <c r="N475">
        <f t="shared" si="36"/>
        <v>1</v>
      </c>
      <c r="O475">
        <f t="shared" ca="1" si="37"/>
        <v>0</v>
      </c>
      <c r="P475">
        <f t="shared" si="38"/>
        <v>0</v>
      </c>
      <c r="Q475" t="e">
        <f t="shared" si="39"/>
        <v>#VALUE!</v>
      </c>
    </row>
    <row r="476" spans="1:17" ht="15" customHeight="1" x14ac:dyDescent="0.25">
      <c r="A476">
        <f>'Customers Raw data'!A476</f>
        <v>1475</v>
      </c>
      <c r="B476" t="str">
        <f>'Customers Raw data'!B476</f>
        <v>2024-08-19</v>
      </c>
      <c r="C476" t="str">
        <f>'Customers Raw data'!C476</f>
        <v>Pro</v>
      </c>
      <c r="D476">
        <f>'Customers Raw data'!D476</f>
        <v>200</v>
      </c>
      <c r="E476">
        <f>'Customers Raw data'!E476</f>
        <v>100</v>
      </c>
      <c r="F476" t="str">
        <f>'Customers Raw data'!F476</f>
        <v>2025-03-27</v>
      </c>
      <c r="G476">
        <f>IF('Customers Raw data'!F476&lt;&gt;"",1,0)</f>
        <v>1</v>
      </c>
      <c r="H476">
        <f>IF('Customers Raw data'!F476&lt;&gt;"",YEAR(DATEVALUE('Customers Raw data'!F476)),"")</f>
        <v>2025</v>
      </c>
      <c r="I476">
        <f>IF('Customers Raw data'!F476&lt;&gt;"",MONTH(DATEVALUE('Customers Raw data'!F476)),"")</f>
        <v>3</v>
      </c>
      <c r="J476">
        <f>YEAR(DATEVALUE('Customers Raw data'!B476))</f>
        <v>2024</v>
      </c>
      <c r="K476">
        <f>MONTH(DATEVALUE('Customers Raw data'!B476))</f>
        <v>8</v>
      </c>
      <c r="L476">
        <f ca="1">IF('Customers Raw data'!F476&lt;&gt;"",DATEDIF(DATEVALUE('Customers Raw data'!B476),DATEVALUE('Customers Raw data'!F476),"M"),DATEDIF(DATEVALUE('Customers Raw data'!B476),TODAY(),"M"))</f>
        <v>7</v>
      </c>
      <c r="M476">
        <f t="shared" ca="1" si="35"/>
        <v>1400</v>
      </c>
      <c r="N476">
        <f t="shared" si="36"/>
        <v>2</v>
      </c>
      <c r="O476">
        <f t="shared" ca="1" si="37"/>
        <v>0</v>
      </c>
      <c r="P476">
        <f t="shared" si="38"/>
        <v>200</v>
      </c>
      <c r="Q476" t="str">
        <f t="shared" si="39"/>
        <v>2025-03</v>
      </c>
    </row>
    <row r="477" spans="1:17" ht="15" customHeight="1" x14ac:dyDescent="0.25">
      <c r="A477">
        <f>'Customers Raw data'!A477</f>
        <v>1476</v>
      </c>
      <c r="B477" t="str">
        <f>'Customers Raw data'!B477</f>
        <v>2024-04-04</v>
      </c>
      <c r="C477" t="str">
        <f>'Customers Raw data'!C477</f>
        <v>Pro</v>
      </c>
      <c r="D477">
        <f>'Customers Raw data'!D477</f>
        <v>200</v>
      </c>
      <c r="E477">
        <f>'Customers Raw data'!E477</f>
        <v>100</v>
      </c>
      <c r="F477">
        <f>'Customers Raw data'!F477</f>
        <v>0</v>
      </c>
      <c r="G477">
        <f>IF('Customers Raw data'!F477&lt;&gt;"",1,0)</f>
        <v>0</v>
      </c>
      <c r="H477" t="str">
        <f>IF('Customers Raw data'!F477&lt;&gt;"",YEAR(DATEVALUE('Customers Raw data'!F477)),"")</f>
        <v/>
      </c>
      <c r="I477" t="str">
        <f>IF('Customers Raw data'!F477&lt;&gt;"",MONTH(DATEVALUE('Customers Raw data'!F477)),"")</f>
        <v/>
      </c>
      <c r="J477">
        <f>YEAR(DATEVALUE('Customers Raw data'!B477))</f>
        <v>2024</v>
      </c>
      <c r="K477">
        <f>MONTH(DATEVALUE('Customers Raw data'!B477))</f>
        <v>4</v>
      </c>
      <c r="L477">
        <f ca="1">IF('Customers Raw data'!F477&lt;&gt;"",DATEDIF(DATEVALUE('Customers Raw data'!B477),DATEVALUE('Customers Raw data'!F477),"M"),DATEDIF(DATEVALUE('Customers Raw data'!B477),TODAY(),"M"))</f>
        <v>24</v>
      </c>
      <c r="M477">
        <f t="shared" ca="1" si="35"/>
        <v>4800</v>
      </c>
      <c r="N477">
        <f t="shared" si="36"/>
        <v>2</v>
      </c>
      <c r="O477">
        <f t="shared" ca="1" si="37"/>
        <v>0</v>
      </c>
      <c r="P477">
        <f t="shared" si="38"/>
        <v>0</v>
      </c>
      <c r="Q477" t="e">
        <f t="shared" si="39"/>
        <v>#VALUE!</v>
      </c>
    </row>
    <row r="478" spans="1:17" ht="15" customHeight="1" x14ac:dyDescent="0.25">
      <c r="A478">
        <f>'Customers Raw data'!A478</f>
        <v>1477</v>
      </c>
      <c r="B478" t="str">
        <f>'Customers Raw data'!B478</f>
        <v>2024-10-30</v>
      </c>
      <c r="C478" t="str">
        <f>'Customers Raw data'!C478</f>
        <v>Pro</v>
      </c>
      <c r="D478">
        <f>'Customers Raw data'!D478</f>
        <v>200</v>
      </c>
      <c r="E478">
        <f>'Customers Raw data'!E478</f>
        <v>100</v>
      </c>
      <c r="F478">
        <f>'Customers Raw data'!F478</f>
        <v>0</v>
      </c>
      <c r="G478">
        <f>IF('Customers Raw data'!F478&lt;&gt;"",1,0)</f>
        <v>0</v>
      </c>
      <c r="H478" t="str">
        <f>IF('Customers Raw data'!F478&lt;&gt;"",YEAR(DATEVALUE('Customers Raw data'!F478)),"")</f>
        <v/>
      </c>
      <c r="I478" t="str">
        <f>IF('Customers Raw data'!F478&lt;&gt;"",MONTH(DATEVALUE('Customers Raw data'!F478)),"")</f>
        <v/>
      </c>
      <c r="J478">
        <f>YEAR(DATEVALUE('Customers Raw data'!B478))</f>
        <v>2024</v>
      </c>
      <c r="K478">
        <f>MONTH(DATEVALUE('Customers Raw data'!B478))</f>
        <v>10</v>
      </c>
      <c r="L478">
        <f ca="1">IF('Customers Raw data'!F478&lt;&gt;"",DATEDIF(DATEVALUE('Customers Raw data'!B478),DATEVALUE('Customers Raw data'!F478),"M"),DATEDIF(DATEVALUE('Customers Raw data'!B478),TODAY(),"M"))</f>
        <v>17</v>
      </c>
      <c r="M478">
        <f t="shared" ca="1" si="35"/>
        <v>3400</v>
      </c>
      <c r="N478">
        <f t="shared" si="36"/>
        <v>2</v>
      </c>
      <c r="O478">
        <f t="shared" ca="1" si="37"/>
        <v>0</v>
      </c>
      <c r="P478">
        <f t="shared" si="38"/>
        <v>0</v>
      </c>
      <c r="Q478" t="e">
        <f t="shared" si="39"/>
        <v>#VALUE!</v>
      </c>
    </row>
    <row r="479" spans="1:17" ht="15" customHeight="1" x14ac:dyDescent="0.25">
      <c r="A479">
        <f>'Customers Raw data'!A479</f>
        <v>1478</v>
      </c>
      <c r="B479" t="str">
        <f>'Customers Raw data'!B479</f>
        <v>2024-03-17</v>
      </c>
      <c r="C479" t="str">
        <f>'Customers Raw data'!C479</f>
        <v>Pro</v>
      </c>
      <c r="D479">
        <f>'Customers Raw data'!D479</f>
        <v>200</v>
      </c>
      <c r="E479">
        <f>'Customers Raw data'!E479</f>
        <v>100</v>
      </c>
      <c r="F479" t="str">
        <f>'Customers Raw data'!F479</f>
        <v>2024-10-12</v>
      </c>
      <c r="G479">
        <f>IF('Customers Raw data'!F479&lt;&gt;"",1,0)</f>
        <v>1</v>
      </c>
      <c r="H479">
        <f>IF('Customers Raw data'!F479&lt;&gt;"",YEAR(DATEVALUE('Customers Raw data'!F479)),"")</f>
        <v>2024</v>
      </c>
      <c r="I479">
        <f>IF('Customers Raw data'!F479&lt;&gt;"",MONTH(DATEVALUE('Customers Raw data'!F479)),"")</f>
        <v>10</v>
      </c>
      <c r="J479">
        <f>YEAR(DATEVALUE('Customers Raw data'!B479))</f>
        <v>2024</v>
      </c>
      <c r="K479">
        <f>MONTH(DATEVALUE('Customers Raw data'!B479))</f>
        <v>3</v>
      </c>
      <c r="L479">
        <f ca="1">IF('Customers Raw data'!F479&lt;&gt;"",DATEDIF(DATEVALUE('Customers Raw data'!B479),DATEVALUE('Customers Raw data'!F479),"M"),DATEDIF(DATEVALUE('Customers Raw data'!B479),TODAY(),"M"))</f>
        <v>6</v>
      </c>
      <c r="M479">
        <f t="shared" ca="1" si="35"/>
        <v>1200</v>
      </c>
      <c r="N479">
        <f t="shared" si="36"/>
        <v>2</v>
      </c>
      <c r="O479">
        <f t="shared" ca="1" si="37"/>
        <v>0</v>
      </c>
      <c r="P479">
        <f t="shared" si="38"/>
        <v>200</v>
      </c>
      <c r="Q479" t="str">
        <f t="shared" si="39"/>
        <v>2024-10</v>
      </c>
    </row>
    <row r="480" spans="1:17" ht="15" customHeight="1" x14ac:dyDescent="0.25">
      <c r="A480">
        <f>'Customers Raw data'!A480</f>
        <v>1479</v>
      </c>
      <c r="B480" t="str">
        <f>'Customers Raw data'!B480</f>
        <v>2024-04-29</v>
      </c>
      <c r="C480" t="str">
        <f>'Customers Raw data'!C480</f>
        <v>Basic</v>
      </c>
      <c r="D480">
        <f>'Customers Raw data'!D480</f>
        <v>50</v>
      </c>
      <c r="E480">
        <f>'Customers Raw data'!E480</f>
        <v>30</v>
      </c>
      <c r="F480">
        <f>'Customers Raw data'!F480</f>
        <v>0</v>
      </c>
      <c r="G480">
        <f>IF('Customers Raw data'!F480&lt;&gt;"",1,0)</f>
        <v>0</v>
      </c>
      <c r="H480" t="str">
        <f>IF('Customers Raw data'!F480&lt;&gt;"",YEAR(DATEVALUE('Customers Raw data'!F480)),"")</f>
        <v/>
      </c>
      <c r="I480" t="str">
        <f>IF('Customers Raw data'!F480&lt;&gt;"",MONTH(DATEVALUE('Customers Raw data'!F480)),"")</f>
        <v/>
      </c>
      <c r="J480">
        <f>YEAR(DATEVALUE('Customers Raw data'!B480))</f>
        <v>2024</v>
      </c>
      <c r="K480">
        <f>MONTH(DATEVALUE('Customers Raw data'!B480))</f>
        <v>4</v>
      </c>
      <c r="L480">
        <f ca="1">IF('Customers Raw data'!F480&lt;&gt;"",DATEDIF(DATEVALUE('Customers Raw data'!B480),DATEVALUE('Customers Raw data'!F480),"M"),DATEDIF(DATEVALUE('Customers Raw data'!B480),TODAY(),"M"))</f>
        <v>23</v>
      </c>
      <c r="M480">
        <f t="shared" ca="1" si="35"/>
        <v>1150</v>
      </c>
      <c r="N480">
        <f t="shared" si="36"/>
        <v>1</v>
      </c>
      <c r="O480">
        <f t="shared" ca="1" si="37"/>
        <v>0</v>
      </c>
      <c r="P480">
        <f t="shared" si="38"/>
        <v>0</v>
      </c>
      <c r="Q480" t="e">
        <f t="shared" si="39"/>
        <v>#VALUE!</v>
      </c>
    </row>
    <row r="481" spans="1:17" ht="15" customHeight="1" x14ac:dyDescent="0.25">
      <c r="A481">
        <f>'Customers Raw data'!A481</f>
        <v>1480</v>
      </c>
      <c r="B481" t="str">
        <f>'Customers Raw data'!B481</f>
        <v>2025-04-03</v>
      </c>
      <c r="C481" t="str">
        <f>'Customers Raw data'!C481</f>
        <v>Enterprise</v>
      </c>
      <c r="D481">
        <f>'Customers Raw data'!D481</f>
        <v>500</v>
      </c>
      <c r="E481">
        <f>'Customers Raw data'!E481</f>
        <v>200</v>
      </c>
      <c r="F481">
        <f>'Customers Raw data'!F481</f>
        <v>0</v>
      </c>
      <c r="G481">
        <f>IF('Customers Raw data'!F481&lt;&gt;"",1,0)</f>
        <v>0</v>
      </c>
      <c r="H481" t="str">
        <f>IF('Customers Raw data'!F481&lt;&gt;"",YEAR(DATEVALUE('Customers Raw data'!F481)),"")</f>
        <v/>
      </c>
      <c r="I481" t="str">
        <f>IF('Customers Raw data'!F481&lt;&gt;"",MONTH(DATEVALUE('Customers Raw data'!F481)),"")</f>
        <v/>
      </c>
      <c r="J481">
        <f>YEAR(DATEVALUE('Customers Raw data'!B481))</f>
        <v>2025</v>
      </c>
      <c r="K481">
        <f>MONTH(DATEVALUE('Customers Raw data'!B481))</f>
        <v>4</v>
      </c>
      <c r="L481">
        <f ca="1">IF('Customers Raw data'!F481&lt;&gt;"",DATEDIF(DATEVALUE('Customers Raw data'!B481),DATEVALUE('Customers Raw data'!F481),"M"),DATEDIF(DATEVALUE('Customers Raw data'!B481),TODAY(),"M"))</f>
        <v>12</v>
      </c>
      <c r="M481">
        <f t="shared" ca="1" si="35"/>
        <v>6000</v>
      </c>
      <c r="N481">
        <f t="shared" si="36"/>
        <v>3</v>
      </c>
      <c r="O481">
        <f t="shared" ca="1" si="37"/>
        <v>0</v>
      </c>
      <c r="P481">
        <f t="shared" si="38"/>
        <v>0</v>
      </c>
      <c r="Q481" t="e">
        <f t="shared" si="39"/>
        <v>#VALUE!</v>
      </c>
    </row>
    <row r="482" spans="1:17" ht="15" customHeight="1" x14ac:dyDescent="0.25">
      <c r="A482">
        <f>'Customers Raw data'!A482</f>
        <v>1481</v>
      </c>
      <c r="B482" t="str">
        <f>'Customers Raw data'!B482</f>
        <v>2025-05-15</v>
      </c>
      <c r="C482" t="str">
        <f>'Customers Raw data'!C482</f>
        <v>Enterprise</v>
      </c>
      <c r="D482">
        <f>'Customers Raw data'!D482</f>
        <v>500</v>
      </c>
      <c r="E482">
        <f>'Customers Raw data'!E482</f>
        <v>200</v>
      </c>
      <c r="F482">
        <f>'Customers Raw data'!F482</f>
        <v>0</v>
      </c>
      <c r="G482">
        <f>IF('Customers Raw data'!F482&lt;&gt;"",1,0)</f>
        <v>0</v>
      </c>
      <c r="H482" t="str">
        <f>IF('Customers Raw data'!F482&lt;&gt;"",YEAR(DATEVALUE('Customers Raw data'!F482)),"")</f>
        <v/>
      </c>
      <c r="I482" t="str">
        <f>IF('Customers Raw data'!F482&lt;&gt;"",MONTH(DATEVALUE('Customers Raw data'!F482)),"")</f>
        <v/>
      </c>
      <c r="J482">
        <f>YEAR(DATEVALUE('Customers Raw data'!B482))</f>
        <v>2025</v>
      </c>
      <c r="K482">
        <f>MONTH(DATEVALUE('Customers Raw data'!B482))</f>
        <v>5</v>
      </c>
      <c r="L482">
        <f ca="1">IF('Customers Raw data'!F482&lt;&gt;"",DATEDIF(DATEVALUE('Customers Raw data'!B482),DATEVALUE('Customers Raw data'!F482),"M"),DATEDIF(DATEVALUE('Customers Raw data'!B482),TODAY(),"M"))</f>
        <v>10</v>
      </c>
      <c r="M482">
        <f t="shared" ca="1" si="35"/>
        <v>5000</v>
      </c>
      <c r="N482">
        <f t="shared" si="36"/>
        <v>3</v>
      </c>
      <c r="O482">
        <f t="shared" ca="1" si="37"/>
        <v>0</v>
      </c>
      <c r="P482">
        <f t="shared" si="38"/>
        <v>0</v>
      </c>
      <c r="Q482" t="e">
        <f t="shared" si="39"/>
        <v>#VALUE!</v>
      </c>
    </row>
    <row r="483" spans="1:17" ht="15" customHeight="1" x14ac:dyDescent="0.25">
      <c r="A483">
        <f>'Customers Raw data'!A483</f>
        <v>1482</v>
      </c>
      <c r="B483" t="str">
        <f>'Customers Raw data'!B483</f>
        <v>2024-11-05</v>
      </c>
      <c r="C483" t="str">
        <f>'Customers Raw data'!C483</f>
        <v>Basic</v>
      </c>
      <c r="D483">
        <f>'Customers Raw data'!D483</f>
        <v>50</v>
      </c>
      <c r="E483">
        <f>'Customers Raw data'!E483</f>
        <v>30</v>
      </c>
      <c r="F483">
        <f>'Customers Raw data'!F483</f>
        <v>0</v>
      </c>
      <c r="G483">
        <f>IF('Customers Raw data'!F483&lt;&gt;"",1,0)</f>
        <v>0</v>
      </c>
      <c r="H483" t="str">
        <f>IF('Customers Raw data'!F483&lt;&gt;"",YEAR(DATEVALUE('Customers Raw data'!F483)),"")</f>
        <v/>
      </c>
      <c r="I483" t="str">
        <f>IF('Customers Raw data'!F483&lt;&gt;"",MONTH(DATEVALUE('Customers Raw data'!F483)),"")</f>
        <v/>
      </c>
      <c r="J483">
        <f>YEAR(DATEVALUE('Customers Raw data'!B483))</f>
        <v>2024</v>
      </c>
      <c r="K483">
        <f>MONTH(DATEVALUE('Customers Raw data'!B483))</f>
        <v>11</v>
      </c>
      <c r="L483">
        <f ca="1">IF('Customers Raw data'!F483&lt;&gt;"",DATEDIF(DATEVALUE('Customers Raw data'!B483),DATEVALUE('Customers Raw data'!F483),"M"),DATEDIF(DATEVALUE('Customers Raw data'!B483),TODAY(),"M"))</f>
        <v>17</v>
      </c>
      <c r="M483">
        <f t="shared" ca="1" si="35"/>
        <v>850</v>
      </c>
      <c r="N483">
        <f t="shared" si="36"/>
        <v>1</v>
      </c>
      <c r="O483">
        <f t="shared" ca="1" si="37"/>
        <v>0</v>
      </c>
      <c r="P483">
        <f t="shared" si="38"/>
        <v>0</v>
      </c>
      <c r="Q483" t="e">
        <f t="shared" si="39"/>
        <v>#VALUE!</v>
      </c>
    </row>
    <row r="484" spans="1:17" ht="15" customHeight="1" x14ac:dyDescent="0.25">
      <c r="A484">
        <f>'Customers Raw data'!A484</f>
        <v>1483</v>
      </c>
      <c r="B484" t="str">
        <f>'Customers Raw data'!B484</f>
        <v>2024-12-20</v>
      </c>
      <c r="C484" t="str">
        <f>'Customers Raw data'!C484</f>
        <v>Pro</v>
      </c>
      <c r="D484">
        <f>'Customers Raw data'!D484</f>
        <v>200</v>
      </c>
      <c r="E484">
        <f>'Customers Raw data'!E484</f>
        <v>100</v>
      </c>
      <c r="F484">
        <f>'Customers Raw data'!F484</f>
        <v>0</v>
      </c>
      <c r="G484">
        <f>IF('Customers Raw data'!F484&lt;&gt;"",1,0)</f>
        <v>0</v>
      </c>
      <c r="H484" t="str">
        <f>IF('Customers Raw data'!F484&lt;&gt;"",YEAR(DATEVALUE('Customers Raw data'!F484)),"")</f>
        <v/>
      </c>
      <c r="I484" t="str">
        <f>IF('Customers Raw data'!F484&lt;&gt;"",MONTH(DATEVALUE('Customers Raw data'!F484)),"")</f>
        <v/>
      </c>
      <c r="J484">
        <f>YEAR(DATEVALUE('Customers Raw data'!B484))</f>
        <v>2024</v>
      </c>
      <c r="K484">
        <f>MONTH(DATEVALUE('Customers Raw data'!B484))</f>
        <v>12</v>
      </c>
      <c r="L484">
        <f ca="1">IF('Customers Raw data'!F484&lt;&gt;"",DATEDIF(DATEVALUE('Customers Raw data'!B484),DATEVALUE('Customers Raw data'!F484),"M"),DATEDIF(DATEVALUE('Customers Raw data'!B484),TODAY(),"M"))</f>
        <v>15</v>
      </c>
      <c r="M484">
        <f t="shared" ca="1" si="35"/>
        <v>3000</v>
      </c>
      <c r="N484">
        <f t="shared" si="36"/>
        <v>2</v>
      </c>
      <c r="O484">
        <f t="shared" ca="1" si="37"/>
        <v>0</v>
      </c>
      <c r="P484">
        <f t="shared" si="38"/>
        <v>0</v>
      </c>
      <c r="Q484" t="e">
        <f t="shared" si="39"/>
        <v>#VALUE!</v>
      </c>
    </row>
    <row r="485" spans="1:17" ht="15" customHeight="1" x14ac:dyDescent="0.25">
      <c r="A485">
        <f>'Customers Raw data'!A485</f>
        <v>1484</v>
      </c>
      <c r="B485" t="str">
        <f>'Customers Raw data'!B485</f>
        <v>2025-04-01</v>
      </c>
      <c r="C485" t="str">
        <f>'Customers Raw data'!C485</f>
        <v>Basic</v>
      </c>
      <c r="D485">
        <f>'Customers Raw data'!D485</f>
        <v>50</v>
      </c>
      <c r="E485">
        <f>'Customers Raw data'!E485</f>
        <v>30</v>
      </c>
      <c r="F485">
        <f>'Customers Raw data'!F485</f>
        <v>0</v>
      </c>
      <c r="G485">
        <f>IF('Customers Raw data'!F485&lt;&gt;"",1,0)</f>
        <v>0</v>
      </c>
      <c r="H485" t="str">
        <f>IF('Customers Raw data'!F485&lt;&gt;"",YEAR(DATEVALUE('Customers Raw data'!F485)),"")</f>
        <v/>
      </c>
      <c r="I485" t="str">
        <f>IF('Customers Raw data'!F485&lt;&gt;"",MONTH(DATEVALUE('Customers Raw data'!F485)),"")</f>
        <v/>
      </c>
      <c r="J485">
        <f>YEAR(DATEVALUE('Customers Raw data'!B485))</f>
        <v>2025</v>
      </c>
      <c r="K485">
        <f>MONTH(DATEVALUE('Customers Raw data'!B485))</f>
        <v>4</v>
      </c>
      <c r="L485">
        <f ca="1">IF('Customers Raw data'!F485&lt;&gt;"",DATEDIF(DATEVALUE('Customers Raw data'!B485),DATEVALUE('Customers Raw data'!F485),"M"),DATEDIF(DATEVALUE('Customers Raw data'!B485),TODAY(),"M"))</f>
        <v>12</v>
      </c>
      <c r="M485">
        <f t="shared" ca="1" si="35"/>
        <v>600</v>
      </c>
      <c r="N485">
        <f t="shared" si="36"/>
        <v>1</v>
      </c>
      <c r="O485">
        <f t="shared" ca="1" si="37"/>
        <v>0</v>
      </c>
      <c r="P485">
        <f t="shared" si="38"/>
        <v>0</v>
      </c>
      <c r="Q485" t="e">
        <f t="shared" si="39"/>
        <v>#VALUE!</v>
      </c>
    </row>
    <row r="486" spans="1:17" ht="15" customHeight="1" x14ac:dyDescent="0.25">
      <c r="A486">
        <f>'Customers Raw data'!A486</f>
        <v>1485</v>
      </c>
      <c r="B486" t="str">
        <f>'Customers Raw data'!B486</f>
        <v>2024-02-05</v>
      </c>
      <c r="C486" t="str">
        <f>'Customers Raw data'!C486</f>
        <v>Pro</v>
      </c>
      <c r="D486">
        <f>'Customers Raw data'!D486</f>
        <v>200</v>
      </c>
      <c r="E486">
        <f>'Customers Raw data'!E486</f>
        <v>100</v>
      </c>
      <c r="F486">
        <f>'Customers Raw data'!F486</f>
        <v>0</v>
      </c>
      <c r="G486">
        <f>IF('Customers Raw data'!F486&lt;&gt;"",1,0)</f>
        <v>0</v>
      </c>
      <c r="H486" t="str">
        <f>IF('Customers Raw data'!F486&lt;&gt;"",YEAR(DATEVALUE('Customers Raw data'!F486)),"")</f>
        <v/>
      </c>
      <c r="I486" t="str">
        <f>IF('Customers Raw data'!F486&lt;&gt;"",MONTH(DATEVALUE('Customers Raw data'!F486)),"")</f>
        <v/>
      </c>
      <c r="J486">
        <f>YEAR(DATEVALUE('Customers Raw data'!B486))</f>
        <v>2024</v>
      </c>
      <c r="K486">
        <f>MONTH(DATEVALUE('Customers Raw data'!B486))</f>
        <v>2</v>
      </c>
      <c r="L486">
        <f ca="1">IF('Customers Raw data'!F486&lt;&gt;"",DATEDIF(DATEVALUE('Customers Raw data'!B486),DATEVALUE('Customers Raw data'!F486),"M"),DATEDIF(DATEVALUE('Customers Raw data'!B486),TODAY(),"M"))</f>
        <v>26</v>
      </c>
      <c r="M486">
        <f t="shared" ca="1" si="35"/>
        <v>5200</v>
      </c>
      <c r="N486">
        <f t="shared" si="36"/>
        <v>2</v>
      </c>
      <c r="O486">
        <f t="shared" ca="1" si="37"/>
        <v>0</v>
      </c>
      <c r="P486">
        <f t="shared" si="38"/>
        <v>0</v>
      </c>
      <c r="Q486" t="e">
        <f t="shared" si="39"/>
        <v>#VALUE!</v>
      </c>
    </row>
    <row r="487" spans="1:17" ht="15" customHeight="1" x14ac:dyDescent="0.25">
      <c r="A487">
        <f>'Customers Raw data'!A487</f>
        <v>1486</v>
      </c>
      <c r="B487" t="str">
        <f>'Customers Raw data'!B487</f>
        <v>2024-09-03</v>
      </c>
      <c r="C487" t="str">
        <f>'Customers Raw data'!C487</f>
        <v>Pro</v>
      </c>
      <c r="D487">
        <f>'Customers Raw data'!D487</f>
        <v>200</v>
      </c>
      <c r="E487">
        <f>'Customers Raw data'!E487</f>
        <v>100</v>
      </c>
      <c r="F487">
        <f>'Customers Raw data'!F487</f>
        <v>0</v>
      </c>
      <c r="G487">
        <f>IF('Customers Raw data'!F487&lt;&gt;"",1,0)</f>
        <v>0</v>
      </c>
      <c r="H487" t="str">
        <f>IF('Customers Raw data'!F487&lt;&gt;"",YEAR(DATEVALUE('Customers Raw data'!F487)),"")</f>
        <v/>
      </c>
      <c r="I487" t="str">
        <f>IF('Customers Raw data'!F487&lt;&gt;"",MONTH(DATEVALUE('Customers Raw data'!F487)),"")</f>
        <v/>
      </c>
      <c r="J487">
        <f>YEAR(DATEVALUE('Customers Raw data'!B487))</f>
        <v>2024</v>
      </c>
      <c r="K487">
        <f>MONTH(DATEVALUE('Customers Raw data'!B487))</f>
        <v>9</v>
      </c>
      <c r="L487">
        <f ca="1">IF('Customers Raw data'!F487&lt;&gt;"",DATEDIF(DATEVALUE('Customers Raw data'!B487),DATEVALUE('Customers Raw data'!F487),"M"),DATEDIF(DATEVALUE('Customers Raw data'!B487),TODAY(),"M"))</f>
        <v>19</v>
      </c>
      <c r="M487">
        <f t="shared" ca="1" si="35"/>
        <v>3800</v>
      </c>
      <c r="N487">
        <f t="shared" si="36"/>
        <v>2</v>
      </c>
      <c r="O487">
        <f t="shared" ca="1" si="37"/>
        <v>0</v>
      </c>
      <c r="P487">
        <f t="shared" si="38"/>
        <v>0</v>
      </c>
      <c r="Q487" t="e">
        <f t="shared" si="39"/>
        <v>#VALUE!</v>
      </c>
    </row>
    <row r="488" spans="1:17" ht="15" customHeight="1" x14ac:dyDescent="0.25">
      <c r="A488">
        <f>'Customers Raw data'!A488</f>
        <v>1487</v>
      </c>
      <c r="B488" t="str">
        <f>'Customers Raw data'!B488</f>
        <v>2024-04-29</v>
      </c>
      <c r="C488" t="str">
        <f>'Customers Raw data'!C488</f>
        <v>Pro</v>
      </c>
      <c r="D488">
        <f>'Customers Raw data'!D488</f>
        <v>200</v>
      </c>
      <c r="E488">
        <f>'Customers Raw data'!E488</f>
        <v>100</v>
      </c>
      <c r="F488">
        <f>'Customers Raw data'!F488</f>
        <v>0</v>
      </c>
      <c r="G488">
        <f>IF('Customers Raw data'!F488&lt;&gt;"",1,0)</f>
        <v>0</v>
      </c>
      <c r="H488" t="str">
        <f>IF('Customers Raw data'!F488&lt;&gt;"",YEAR(DATEVALUE('Customers Raw data'!F488)),"")</f>
        <v/>
      </c>
      <c r="I488" t="str">
        <f>IF('Customers Raw data'!F488&lt;&gt;"",MONTH(DATEVALUE('Customers Raw data'!F488)),"")</f>
        <v/>
      </c>
      <c r="J488">
        <f>YEAR(DATEVALUE('Customers Raw data'!B488))</f>
        <v>2024</v>
      </c>
      <c r="K488">
        <f>MONTH(DATEVALUE('Customers Raw data'!B488))</f>
        <v>4</v>
      </c>
      <c r="L488">
        <f ca="1">IF('Customers Raw data'!F488&lt;&gt;"",DATEDIF(DATEVALUE('Customers Raw data'!B488),DATEVALUE('Customers Raw data'!F488),"M"),DATEDIF(DATEVALUE('Customers Raw data'!B488),TODAY(),"M"))</f>
        <v>23</v>
      </c>
      <c r="M488">
        <f t="shared" ca="1" si="35"/>
        <v>4600</v>
      </c>
      <c r="N488">
        <f t="shared" si="36"/>
        <v>2</v>
      </c>
      <c r="O488">
        <f t="shared" ca="1" si="37"/>
        <v>0</v>
      </c>
      <c r="P488">
        <f t="shared" si="38"/>
        <v>0</v>
      </c>
      <c r="Q488" t="e">
        <f t="shared" si="39"/>
        <v>#VALUE!</v>
      </c>
    </row>
    <row r="489" spans="1:17" ht="15" customHeight="1" x14ac:dyDescent="0.25">
      <c r="A489">
        <f>'Customers Raw data'!A489</f>
        <v>1488</v>
      </c>
      <c r="B489" t="str">
        <f>'Customers Raw data'!B489</f>
        <v>2024-01-09</v>
      </c>
      <c r="C489" t="str">
        <f>'Customers Raw data'!C489</f>
        <v>Enterprise</v>
      </c>
      <c r="D489">
        <f>'Customers Raw data'!D489</f>
        <v>500</v>
      </c>
      <c r="E489">
        <f>'Customers Raw data'!E489</f>
        <v>200</v>
      </c>
      <c r="F489">
        <f>'Customers Raw data'!F489</f>
        <v>0</v>
      </c>
      <c r="G489">
        <f>IF('Customers Raw data'!F489&lt;&gt;"",1,0)</f>
        <v>0</v>
      </c>
      <c r="H489" t="str">
        <f>IF('Customers Raw data'!F489&lt;&gt;"",YEAR(DATEVALUE('Customers Raw data'!F489)),"")</f>
        <v/>
      </c>
      <c r="I489" t="str">
        <f>IF('Customers Raw data'!F489&lt;&gt;"",MONTH(DATEVALUE('Customers Raw data'!F489)),"")</f>
        <v/>
      </c>
      <c r="J489">
        <f>YEAR(DATEVALUE('Customers Raw data'!B489))</f>
        <v>2024</v>
      </c>
      <c r="K489">
        <f>MONTH(DATEVALUE('Customers Raw data'!B489))</f>
        <v>1</v>
      </c>
      <c r="L489">
        <f ca="1">IF('Customers Raw data'!F489&lt;&gt;"",DATEDIF(DATEVALUE('Customers Raw data'!B489),DATEVALUE('Customers Raw data'!F489),"M"),DATEDIF(DATEVALUE('Customers Raw data'!B489),TODAY(),"M"))</f>
        <v>26</v>
      </c>
      <c r="M489">
        <f t="shared" ca="1" si="35"/>
        <v>13000</v>
      </c>
      <c r="N489">
        <f t="shared" si="36"/>
        <v>3</v>
      </c>
      <c r="O489">
        <f t="shared" ca="1" si="37"/>
        <v>0</v>
      </c>
      <c r="P489">
        <f t="shared" si="38"/>
        <v>0</v>
      </c>
      <c r="Q489" t="e">
        <f t="shared" si="39"/>
        <v>#VALUE!</v>
      </c>
    </row>
    <row r="490" spans="1:17" ht="15" customHeight="1" x14ac:dyDescent="0.25">
      <c r="A490">
        <f>'Customers Raw data'!A490</f>
        <v>1489</v>
      </c>
      <c r="B490" t="str">
        <f>'Customers Raw data'!B490</f>
        <v>2024-06-15</v>
      </c>
      <c r="C490" t="str">
        <f>'Customers Raw data'!C490</f>
        <v>Pro</v>
      </c>
      <c r="D490">
        <f>'Customers Raw data'!D490</f>
        <v>200</v>
      </c>
      <c r="E490">
        <f>'Customers Raw data'!E490</f>
        <v>100</v>
      </c>
      <c r="F490">
        <f>'Customers Raw data'!F490</f>
        <v>0</v>
      </c>
      <c r="G490">
        <f>IF('Customers Raw data'!F490&lt;&gt;"",1,0)</f>
        <v>0</v>
      </c>
      <c r="H490" t="str">
        <f>IF('Customers Raw data'!F490&lt;&gt;"",YEAR(DATEVALUE('Customers Raw data'!F490)),"")</f>
        <v/>
      </c>
      <c r="I490" t="str">
        <f>IF('Customers Raw data'!F490&lt;&gt;"",MONTH(DATEVALUE('Customers Raw data'!F490)),"")</f>
        <v/>
      </c>
      <c r="J490">
        <f>YEAR(DATEVALUE('Customers Raw data'!B490))</f>
        <v>2024</v>
      </c>
      <c r="K490">
        <f>MONTH(DATEVALUE('Customers Raw data'!B490))</f>
        <v>6</v>
      </c>
      <c r="L490">
        <f ca="1">IF('Customers Raw data'!F490&lt;&gt;"",DATEDIF(DATEVALUE('Customers Raw data'!B490),DATEVALUE('Customers Raw data'!F490),"M"),DATEDIF(DATEVALUE('Customers Raw data'!B490),TODAY(),"M"))</f>
        <v>21</v>
      </c>
      <c r="M490">
        <f t="shared" ca="1" si="35"/>
        <v>4200</v>
      </c>
      <c r="N490">
        <f t="shared" si="36"/>
        <v>2</v>
      </c>
      <c r="O490">
        <f t="shared" ca="1" si="37"/>
        <v>0</v>
      </c>
      <c r="P490">
        <f t="shared" si="38"/>
        <v>0</v>
      </c>
      <c r="Q490" t="e">
        <f t="shared" si="39"/>
        <v>#VALUE!</v>
      </c>
    </row>
    <row r="491" spans="1:17" ht="15" customHeight="1" x14ac:dyDescent="0.25">
      <c r="A491">
        <f>'Customers Raw data'!A491</f>
        <v>1490</v>
      </c>
      <c r="B491" t="str">
        <f>'Customers Raw data'!B491</f>
        <v>2024-05-24</v>
      </c>
      <c r="C491" t="str">
        <f>'Customers Raw data'!C491</f>
        <v>Pro</v>
      </c>
      <c r="D491">
        <f>'Customers Raw data'!D491</f>
        <v>200</v>
      </c>
      <c r="E491">
        <f>'Customers Raw data'!E491</f>
        <v>100</v>
      </c>
      <c r="F491">
        <f>'Customers Raw data'!F491</f>
        <v>0</v>
      </c>
      <c r="G491">
        <f>IF('Customers Raw data'!F491&lt;&gt;"",1,0)</f>
        <v>0</v>
      </c>
      <c r="H491" t="str">
        <f>IF('Customers Raw data'!F491&lt;&gt;"",YEAR(DATEVALUE('Customers Raw data'!F491)),"")</f>
        <v/>
      </c>
      <c r="I491" t="str">
        <f>IF('Customers Raw data'!F491&lt;&gt;"",MONTH(DATEVALUE('Customers Raw data'!F491)),"")</f>
        <v/>
      </c>
      <c r="J491">
        <f>YEAR(DATEVALUE('Customers Raw data'!B491))</f>
        <v>2024</v>
      </c>
      <c r="K491">
        <f>MONTH(DATEVALUE('Customers Raw data'!B491))</f>
        <v>5</v>
      </c>
      <c r="L491">
        <f ca="1">IF('Customers Raw data'!F491&lt;&gt;"",DATEDIF(DATEVALUE('Customers Raw data'!B491),DATEVALUE('Customers Raw data'!F491),"M"),DATEDIF(DATEVALUE('Customers Raw data'!B491),TODAY(),"M"))</f>
        <v>22</v>
      </c>
      <c r="M491">
        <f t="shared" ca="1" si="35"/>
        <v>4400</v>
      </c>
      <c r="N491">
        <f t="shared" si="36"/>
        <v>2</v>
      </c>
      <c r="O491">
        <f t="shared" ca="1" si="37"/>
        <v>0</v>
      </c>
      <c r="P491">
        <f t="shared" si="38"/>
        <v>0</v>
      </c>
      <c r="Q491" t="e">
        <f t="shared" si="39"/>
        <v>#VALUE!</v>
      </c>
    </row>
    <row r="492" spans="1:17" ht="15" customHeight="1" x14ac:dyDescent="0.25">
      <c r="A492">
        <f>'Customers Raw data'!A492</f>
        <v>1491</v>
      </c>
      <c r="B492" t="str">
        <f>'Customers Raw data'!B492</f>
        <v>2024-06-29</v>
      </c>
      <c r="C492" t="str">
        <f>'Customers Raw data'!C492</f>
        <v>Pro</v>
      </c>
      <c r="D492">
        <f>'Customers Raw data'!D492</f>
        <v>200</v>
      </c>
      <c r="E492">
        <f>'Customers Raw data'!E492</f>
        <v>100</v>
      </c>
      <c r="F492">
        <f>'Customers Raw data'!F492</f>
        <v>0</v>
      </c>
      <c r="G492">
        <f>IF('Customers Raw data'!F492&lt;&gt;"",1,0)</f>
        <v>0</v>
      </c>
      <c r="H492" t="str">
        <f>IF('Customers Raw data'!F492&lt;&gt;"",YEAR(DATEVALUE('Customers Raw data'!F492)),"")</f>
        <v/>
      </c>
      <c r="I492" t="str">
        <f>IF('Customers Raw data'!F492&lt;&gt;"",MONTH(DATEVALUE('Customers Raw data'!F492)),"")</f>
        <v/>
      </c>
      <c r="J492">
        <f>YEAR(DATEVALUE('Customers Raw data'!B492))</f>
        <v>2024</v>
      </c>
      <c r="K492">
        <f>MONTH(DATEVALUE('Customers Raw data'!B492))</f>
        <v>6</v>
      </c>
      <c r="L492">
        <f ca="1">IF('Customers Raw data'!F492&lt;&gt;"",DATEDIF(DATEVALUE('Customers Raw data'!B492),DATEVALUE('Customers Raw data'!F492),"M"),DATEDIF(DATEVALUE('Customers Raw data'!B492),TODAY(),"M"))</f>
        <v>21</v>
      </c>
      <c r="M492">
        <f t="shared" ca="1" si="35"/>
        <v>4200</v>
      </c>
      <c r="N492">
        <f t="shared" si="36"/>
        <v>2</v>
      </c>
      <c r="O492">
        <f t="shared" ca="1" si="37"/>
        <v>0</v>
      </c>
      <c r="P492">
        <f t="shared" si="38"/>
        <v>0</v>
      </c>
      <c r="Q492" t="e">
        <f t="shared" si="39"/>
        <v>#VALUE!</v>
      </c>
    </row>
    <row r="493" spans="1:17" ht="15" customHeight="1" x14ac:dyDescent="0.25">
      <c r="A493">
        <f>'Customers Raw data'!A493</f>
        <v>1492</v>
      </c>
      <c r="B493" t="str">
        <f>'Customers Raw data'!B493</f>
        <v>2024-04-06</v>
      </c>
      <c r="C493" t="str">
        <f>'Customers Raw data'!C493</f>
        <v>Pro</v>
      </c>
      <c r="D493">
        <f>'Customers Raw data'!D493</f>
        <v>200</v>
      </c>
      <c r="E493">
        <f>'Customers Raw data'!E493</f>
        <v>100</v>
      </c>
      <c r="F493">
        <f>'Customers Raw data'!F493</f>
        <v>0</v>
      </c>
      <c r="G493">
        <f>IF('Customers Raw data'!F493&lt;&gt;"",1,0)</f>
        <v>0</v>
      </c>
      <c r="H493" t="str">
        <f>IF('Customers Raw data'!F493&lt;&gt;"",YEAR(DATEVALUE('Customers Raw data'!F493)),"")</f>
        <v/>
      </c>
      <c r="I493" t="str">
        <f>IF('Customers Raw data'!F493&lt;&gt;"",MONTH(DATEVALUE('Customers Raw data'!F493)),"")</f>
        <v/>
      </c>
      <c r="J493">
        <f>YEAR(DATEVALUE('Customers Raw data'!B493))</f>
        <v>2024</v>
      </c>
      <c r="K493">
        <f>MONTH(DATEVALUE('Customers Raw data'!B493))</f>
        <v>4</v>
      </c>
      <c r="L493">
        <f ca="1">IF('Customers Raw data'!F493&lt;&gt;"",DATEDIF(DATEVALUE('Customers Raw data'!B493),DATEVALUE('Customers Raw data'!F493),"M"),DATEDIF(DATEVALUE('Customers Raw data'!B493),TODAY(),"M"))</f>
        <v>24</v>
      </c>
      <c r="M493">
        <f t="shared" ca="1" si="35"/>
        <v>4800</v>
      </c>
      <c r="N493">
        <f t="shared" si="36"/>
        <v>2</v>
      </c>
      <c r="O493">
        <f t="shared" ca="1" si="37"/>
        <v>0</v>
      </c>
      <c r="P493">
        <f t="shared" si="38"/>
        <v>0</v>
      </c>
      <c r="Q493" t="e">
        <f t="shared" si="39"/>
        <v>#VALUE!</v>
      </c>
    </row>
    <row r="494" spans="1:17" ht="15" customHeight="1" x14ac:dyDescent="0.25">
      <c r="A494">
        <f>'Customers Raw data'!A494</f>
        <v>1493</v>
      </c>
      <c r="B494" t="str">
        <f>'Customers Raw data'!B494</f>
        <v>2025-05-12</v>
      </c>
      <c r="C494" t="str">
        <f>'Customers Raw data'!C494</f>
        <v>Enterprise</v>
      </c>
      <c r="D494">
        <f>'Customers Raw data'!D494</f>
        <v>500</v>
      </c>
      <c r="E494">
        <f>'Customers Raw data'!E494</f>
        <v>200</v>
      </c>
      <c r="F494">
        <f>'Customers Raw data'!F494</f>
        <v>0</v>
      </c>
      <c r="G494">
        <f>IF('Customers Raw data'!F494&lt;&gt;"",1,0)</f>
        <v>0</v>
      </c>
      <c r="H494" t="str">
        <f>IF('Customers Raw data'!F494&lt;&gt;"",YEAR(DATEVALUE('Customers Raw data'!F494)),"")</f>
        <v/>
      </c>
      <c r="I494" t="str">
        <f>IF('Customers Raw data'!F494&lt;&gt;"",MONTH(DATEVALUE('Customers Raw data'!F494)),"")</f>
        <v/>
      </c>
      <c r="J494">
        <f>YEAR(DATEVALUE('Customers Raw data'!B494))</f>
        <v>2025</v>
      </c>
      <c r="K494">
        <f>MONTH(DATEVALUE('Customers Raw data'!B494))</f>
        <v>5</v>
      </c>
      <c r="L494">
        <f ca="1">IF('Customers Raw data'!F494&lt;&gt;"",DATEDIF(DATEVALUE('Customers Raw data'!B494),DATEVALUE('Customers Raw data'!F494),"M"),DATEDIF(DATEVALUE('Customers Raw data'!B494),TODAY(),"M"))</f>
        <v>10</v>
      </c>
      <c r="M494">
        <f t="shared" ca="1" si="35"/>
        <v>5000</v>
      </c>
      <c r="N494">
        <f t="shared" si="36"/>
        <v>3</v>
      </c>
      <c r="O494">
        <f t="shared" ca="1" si="37"/>
        <v>0</v>
      </c>
      <c r="P494">
        <f t="shared" si="38"/>
        <v>0</v>
      </c>
      <c r="Q494" t="e">
        <f t="shared" si="39"/>
        <v>#VALUE!</v>
      </c>
    </row>
    <row r="495" spans="1:17" ht="15" customHeight="1" x14ac:dyDescent="0.25">
      <c r="A495">
        <f>'Customers Raw data'!A495</f>
        <v>1494</v>
      </c>
      <c r="B495" t="str">
        <f>'Customers Raw data'!B495</f>
        <v>2024-12-19</v>
      </c>
      <c r="C495" t="str">
        <f>'Customers Raw data'!C495</f>
        <v>Enterprise</v>
      </c>
      <c r="D495">
        <f>'Customers Raw data'!D495</f>
        <v>500</v>
      </c>
      <c r="E495">
        <f>'Customers Raw data'!E495</f>
        <v>200</v>
      </c>
      <c r="F495">
        <f>'Customers Raw data'!F495</f>
        <v>0</v>
      </c>
      <c r="G495">
        <f>IF('Customers Raw data'!F495&lt;&gt;"",1,0)</f>
        <v>0</v>
      </c>
      <c r="H495" t="str">
        <f>IF('Customers Raw data'!F495&lt;&gt;"",YEAR(DATEVALUE('Customers Raw data'!F495)),"")</f>
        <v/>
      </c>
      <c r="I495" t="str">
        <f>IF('Customers Raw data'!F495&lt;&gt;"",MONTH(DATEVALUE('Customers Raw data'!F495)),"")</f>
        <v/>
      </c>
      <c r="J495">
        <f>YEAR(DATEVALUE('Customers Raw data'!B495))</f>
        <v>2024</v>
      </c>
      <c r="K495">
        <f>MONTH(DATEVALUE('Customers Raw data'!B495))</f>
        <v>12</v>
      </c>
      <c r="L495">
        <f ca="1">IF('Customers Raw data'!F495&lt;&gt;"",DATEDIF(DATEVALUE('Customers Raw data'!B495),DATEVALUE('Customers Raw data'!F495),"M"),DATEDIF(DATEVALUE('Customers Raw data'!B495),TODAY(),"M"))</f>
        <v>15</v>
      </c>
      <c r="M495">
        <f t="shared" ca="1" si="35"/>
        <v>7500</v>
      </c>
      <c r="N495">
        <f t="shared" si="36"/>
        <v>3</v>
      </c>
      <c r="O495">
        <f t="shared" ca="1" si="37"/>
        <v>0</v>
      </c>
      <c r="P495">
        <f t="shared" si="38"/>
        <v>0</v>
      </c>
      <c r="Q495" t="e">
        <f t="shared" si="39"/>
        <v>#VALUE!</v>
      </c>
    </row>
    <row r="496" spans="1:17" ht="15" customHeight="1" x14ac:dyDescent="0.25">
      <c r="A496">
        <f>'Customers Raw data'!A496</f>
        <v>1495</v>
      </c>
      <c r="B496" t="str">
        <f>'Customers Raw data'!B496</f>
        <v>2024-08-20</v>
      </c>
      <c r="C496" t="str">
        <f>'Customers Raw data'!C496</f>
        <v>Basic</v>
      </c>
      <c r="D496">
        <f>'Customers Raw data'!D496</f>
        <v>50</v>
      </c>
      <c r="E496">
        <f>'Customers Raw data'!E496</f>
        <v>30</v>
      </c>
      <c r="F496">
        <f>'Customers Raw data'!F496</f>
        <v>0</v>
      </c>
      <c r="G496">
        <f>IF('Customers Raw data'!F496&lt;&gt;"",1,0)</f>
        <v>0</v>
      </c>
      <c r="H496" t="str">
        <f>IF('Customers Raw data'!F496&lt;&gt;"",YEAR(DATEVALUE('Customers Raw data'!F496)),"")</f>
        <v/>
      </c>
      <c r="I496" t="str">
        <f>IF('Customers Raw data'!F496&lt;&gt;"",MONTH(DATEVALUE('Customers Raw data'!F496)),"")</f>
        <v/>
      </c>
      <c r="J496">
        <f>YEAR(DATEVALUE('Customers Raw data'!B496))</f>
        <v>2024</v>
      </c>
      <c r="K496">
        <f>MONTH(DATEVALUE('Customers Raw data'!B496))</f>
        <v>8</v>
      </c>
      <c r="L496">
        <f ca="1">IF('Customers Raw data'!F496&lt;&gt;"",DATEDIF(DATEVALUE('Customers Raw data'!B496),DATEVALUE('Customers Raw data'!F496),"M"),DATEDIF(DATEVALUE('Customers Raw data'!B496),TODAY(),"M"))</f>
        <v>19</v>
      </c>
      <c r="M496">
        <f t="shared" ca="1" si="35"/>
        <v>950</v>
      </c>
      <c r="N496">
        <f t="shared" si="36"/>
        <v>1</v>
      </c>
      <c r="O496">
        <f t="shared" ca="1" si="37"/>
        <v>0</v>
      </c>
      <c r="P496">
        <f t="shared" si="38"/>
        <v>0</v>
      </c>
      <c r="Q496" t="e">
        <f t="shared" si="39"/>
        <v>#VALUE!</v>
      </c>
    </row>
    <row r="497" spans="1:17" ht="15" customHeight="1" x14ac:dyDescent="0.25">
      <c r="A497">
        <f>'Customers Raw data'!A497</f>
        <v>1496</v>
      </c>
      <c r="B497" t="str">
        <f>'Customers Raw data'!B497</f>
        <v>2024-02-06</v>
      </c>
      <c r="C497" t="str">
        <f>'Customers Raw data'!C497</f>
        <v>Basic</v>
      </c>
      <c r="D497">
        <f>'Customers Raw data'!D497</f>
        <v>50</v>
      </c>
      <c r="E497">
        <f>'Customers Raw data'!E497</f>
        <v>30</v>
      </c>
      <c r="F497">
        <f>'Customers Raw data'!F497</f>
        <v>0</v>
      </c>
      <c r="G497">
        <f>IF('Customers Raw data'!F497&lt;&gt;"",1,0)</f>
        <v>0</v>
      </c>
      <c r="H497" t="str">
        <f>IF('Customers Raw data'!F497&lt;&gt;"",YEAR(DATEVALUE('Customers Raw data'!F497)),"")</f>
        <v/>
      </c>
      <c r="I497" t="str">
        <f>IF('Customers Raw data'!F497&lt;&gt;"",MONTH(DATEVALUE('Customers Raw data'!F497)),"")</f>
        <v/>
      </c>
      <c r="J497">
        <f>YEAR(DATEVALUE('Customers Raw data'!B497))</f>
        <v>2024</v>
      </c>
      <c r="K497">
        <f>MONTH(DATEVALUE('Customers Raw data'!B497))</f>
        <v>2</v>
      </c>
      <c r="L497">
        <f ca="1">IF('Customers Raw data'!F497&lt;&gt;"",DATEDIF(DATEVALUE('Customers Raw data'!B497),DATEVALUE('Customers Raw data'!F497),"M"),DATEDIF(DATEVALUE('Customers Raw data'!B497),TODAY(),"M"))</f>
        <v>26</v>
      </c>
      <c r="M497">
        <f t="shared" ca="1" si="35"/>
        <v>1300</v>
      </c>
      <c r="N497">
        <f t="shared" si="36"/>
        <v>1</v>
      </c>
      <c r="O497">
        <f t="shared" ca="1" si="37"/>
        <v>0</v>
      </c>
      <c r="P497">
        <f t="shared" si="38"/>
        <v>0</v>
      </c>
      <c r="Q497" t="e">
        <f t="shared" si="39"/>
        <v>#VALUE!</v>
      </c>
    </row>
    <row r="498" spans="1:17" ht="15" customHeight="1" x14ac:dyDescent="0.25">
      <c r="A498">
        <f>'Customers Raw data'!A498</f>
        <v>1497</v>
      </c>
      <c r="B498" t="str">
        <f>'Customers Raw data'!B498</f>
        <v>2024-04-24</v>
      </c>
      <c r="C498" t="str">
        <f>'Customers Raw data'!C498</f>
        <v>Basic</v>
      </c>
      <c r="D498">
        <f>'Customers Raw data'!D498</f>
        <v>50</v>
      </c>
      <c r="E498">
        <f>'Customers Raw data'!E498</f>
        <v>30</v>
      </c>
      <c r="F498">
        <f>'Customers Raw data'!F498</f>
        <v>0</v>
      </c>
      <c r="G498">
        <f>IF('Customers Raw data'!F498&lt;&gt;"",1,0)</f>
        <v>0</v>
      </c>
      <c r="H498" t="str">
        <f>IF('Customers Raw data'!F498&lt;&gt;"",YEAR(DATEVALUE('Customers Raw data'!F498)),"")</f>
        <v/>
      </c>
      <c r="I498" t="str">
        <f>IF('Customers Raw data'!F498&lt;&gt;"",MONTH(DATEVALUE('Customers Raw data'!F498)),"")</f>
        <v/>
      </c>
      <c r="J498">
        <f>YEAR(DATEVALUE('Customers Raw data'!B498))</f>
        <v>2024</v>
      </c>
      <c r="K498">
        <f>MONTH(DATEVALUE('Customers Raw data'!B498))</f>
        <v>4</v>
      </c>
      <c r="L498">
        <f ca="1">IF('Customers Raw data'!F498&lt;&gt;"",DATEDIF(DATEVALUE('Customers Raw data'!B498),DATEVALUE('Customers Raw data'!F498),"M"),DATEDIF(DATEVALUE('Customers Raw data'!B498),TODAY(),"M"))</f>
        <v>23</v>
      </c>
      <c r="M498">
        <f t="shared" ca="1" si="35"/>
        <v>1150</v>
      </c>
      <c r="N498">
        <f t="shared" si="36"/>
        <v>1</v>
      </c>
      <c r="O498">
        <f t="shared" ca="1" si="37"/>
        <v>0</v>
      </c>
      <c r="P498">
        <f t="shared" si="38"/>
        <v>0</v>
      </c>
      <c r="Q498" t="e">
        <f t="shared" si="39"/>
        <v>#VALUE!</v>
      </c>
    </row>
    <row r="499" spans="1:17" ht="15" customHeight="1" x14ac:dyDescent="0.25">
      <c r="A499">
        <f>'Customers Raw data'!A499</f>
        <v>1498</v>
      </c>
      <c r="B499" t="str">
        <f>'Customers Raw data'!B499</f>
        <v>2025-02-09</v>
      </c>
      <c r="C499" t="str">
        <f>'Customers Raw data'!C499</f>
        <v>Pro</v>
      </c>
      <c r="D499">
        <f>'Customers Raw data'!D499</f>
        <v>200</v>
      </c>
      <c r="E499">
        <f>'Customers Raw data'!E499</f>
        <v>100</v>
      </c>
      <c r="F499">
        <f>'Customers Raw data'!F499</f>
        <v>0</v>
      </c>
      <c r="G499">
        <f>IF('Customers Raw data'!F499&lt;&gt;"",1,0)</f>
        <v>0</v>
      </c>
      <c r="H499" t="str">
        <f>IF('Customers Raw data'!F499&lt;&gt;"",YEAR(DATEVALUE('Customers Raw data'!F499)),"")</f>
        <v/>
      </c>
      <c r="I499" t="str">
        <f>IF('Customers Raw data'!F499&lt;&gt;"",MONTH(DATEVALUE('Customers Raw data'!F499)),"")</f>
        <v/>
      </c>
      <c r="J499">
        <f>YEAR(DATEVALUE('Customers Raw data'!B499))</f>
        <v>2025</v>
      </c>
      <c r="K499">
        <f>MONTH(DATEVALUE('Customers Raw data'!B499))</f>
        <v>2</v>
      </c>
      <c r="L499">
        <f ca="1">IF('Customers Raw data'!F499&lt;&gt;"",DATEDIF(DATEVALUE('Customers Raw data'!B499),DATEVALUE('Customers Raw data'!F499),"M"),DATEDIF(DATEVALUE('Customers Raw data'!B499),TODAY(),"M"))</f>
        <v>13</v>
      </c>
      <c r="M499">
        <f t="shared" ca="1" si="35"/>
        <v>2600</v>
      </c>
      <c r="N499">
        <f t="shared" si="36"/>
        <v>2</v>
      </c>
      <c r="O499">
        <f t="shared" ca="1" si="37"/>
        <v>0</v>
      </c>
      <c r="P499">
        <f t="shared" si="38"/>
        <v>0</v>
      </c>
      <c r="Q499" t="e">
        <f t="shared" si="39"/>
        <v>#VALUE!</v>
      </c>
    </row>
    <row r="500" spans="1:17" ht="15" customHeight="1" x14ac:dyDescent="0.25">
      <c r="A500">
        <f>'Customers Raw data'!A500</f>
        <v>1499</v>
      </c>
      <c r="B500" t="str">
        <f>'Customers Raw data'!B500</f>
        <v>2025-04-18</v>
      </c>
      <c r="C500" t="str">
        <f>'Customers Raw data'!C500</f>
        <v>Enterprise</v>
      </c>
      <c r="D500">
        <f>'Customers Raw data'!D500</f>
        <v>500</v>
      </c>
      <c r="E500">
        <f>'Customers Raw data'!E500</f>
        <v>200</v>
      </c>
      <c r="F500">
        <f>'Customers Raw data'!F500</f>
        <v>0</v>
      </c>
      <c r="G500">
        <f>IF('Customers Raw data'!F500&lt;&gt;"",1,0)</f>
        <v>0</v>
      </c>
      <c r="H500" t="str">
        <f>IF('Customers Raw data'!F500&lt;&gt;"",YEAR(DATEVALUE('Customers Raw data'!F500)),"")</f>
        <v/>
      </c>
      <c r="I500" t="str">
        <f>IF('Customers Raw data'!F500&lt;&gt;"",MONTH(DATEVALUE('Customers Raw data'!F500)),"")</f>
        <v/>
      </c>
      <c r="J500">
        <f>YEAR(DATEVALUE('Customers Raw data'!B500))</f>
        <v>2025</v>
      </c>
      <c r="K500">
        <f>MONTH(DATEVALUE('Customers Raw data'!B500))</f>
        <v>4</v>
      </c>
      <c r="L500">
        <f ca="1">IF('Customers Raw data'!F500&lt;&gt;"",DATEDIF(DATEVALUE('Customers Raw data'!B500),DATEVALUE('Customers Raw data'!F500),"M"),DATEDIF(DATEVALUE('Customers Raw data'!B500),TODAY(),"M"))</f>
        <v>11</v>
      </c>
      <c r="M500">
        <f t="shared" ca="1" si="35"/>
        <v>5500</v>
      </c>
      <c r="N500">
        <f t="shared" si="36"/>
        <v>3</v>
      </c>
      <c r="O500">
        <f t="shared" ca="1" si="37"/>
        <v>0</v>
      </c>
      <c r="P500">
        <f t="shared" si="38"/>
        <v>0</v>
      </c>
      <c r="Q500" t="e">
        <f t="shared" si="39"/>
        <v>#VALUE!</v>
      </c>
    </row>
    <row r="501" spans="1:17" ht="15" customHeight="1" x14ac:dyDescent="0.25">
      <c r="A501">
        <f>'Customers Raw data'!A501</f>
        <v>1500</v>
      </c>
      <c r="B501" t="str">
        <f>'Customers Raw data'!B501</f>
        <v>2024-01-26</v>
      </c>
      <c r="C501" t="str">
        <f>'Customers Raw data'!C501</f>
        <v>Basic</v>
      </c>
      <c r="D501">
        <f>'Customers Raw data'!D501</f>
        <v>50</v>
      </c>
      <c r="E501">
        <f>'Customers Raw data'!E501</f>
        <v>30</v>
      </c>
      <c r="F501">
        <f>'Customers Raw data'!F501</f>
        <v>0</v>
      </c>
      <c r="G501">
        <f>IF('Customers Raw data'!F501&lt;&gt;"",1,0)</f>
        <v>0</v>
      </c>
      <c r="H501" t="str">
        <f>IF('Customers Raw data'!F501&lt;&gt;"",YEAR(DATEVALUE('Customers Raw data'!F501)),"")</f>
        <v/>
      </c>
      <c r="I501" t="str">
        <f>IF('Customers Raw data'!F501&lt;&gt;"",MONTH(DATEVALUE('Customers Raw data'!F501)),"")</f>
        <v/>
      </c>
      <c r="J501">
        <f>YEAR(DATEVALUE('Customers Raw data'!B501))</f>
        <v>2024</v>
      </c>
      <c r="K501">
        <f>MONTH(DATEVALUE('Customers Raw data'!B501))</f>
        <v>1</v>
      </c>
      <c r="L501">
        <f ca="1">IF('Customers Raw data'!F501&lt;&gt;"",DATEDIF(DATEVALUE('Customers Raw data'!B501),DATEVALUE('Customers Raw data'!F501),"M"),DATEDIF(DATEVALUE('Customers Raw data'!B501),TODAY(),"M"))</f>
        <v>26</v>
      </c>
      <c r="M501">
        <f t="shared" ca="1" si="35"/>
        <v>1300</v>
      </c>
      <c r="N501">
        <f t="shared" si="36"/>
        <v>1</v>
      </c>
      <c r="O501">
        <f t="shared" ca="1" si="37"/>
        <v>0</v>
      </c>
      <c r="P501">
        <f t="shared" si="38"/>
        <v>0</v>
      </c>
      <c r="Q501" t="e">
        <f t="shared" si="39"/>
        <v>#VALUE!</v>
      </c>
    </row>
    <row r="502" spans="1:17" ht="15" customHeight="1" x14ac:dyDescent="0.25">
      <c r="A502">
        <f>'Customers Raw data'!A502</f>
        <v>1501</v>
      </c>
      <c r="B502" t="str">
        <f>'Customers Raw data'!B502</f>
        <v>2025-03-13</v>
      </c>
      <c r="C502" t="str">
        <f>'Customers Raw data'!C502</f>
        <v>Enterprise</v>
      </c>
      <c r="D502">
        <f>'Customers Raw data'!D502</f>
        <v>500</v>
      </c>
      <c r="E502">
        <f>'Customers Raw data'!E502</f>
        <v>200</v>
      </c>
      <c r="F502" t="str">
        <f>'Customers Raw data'!F502</f>
        <v>2025-05-19</v>
      </c>
      <c r="G502">
        <f>IF('Customers Raw data'!F502&lt;&gt;"",1,0)</f>
        <v>1</v>
      </c>
      <c r="H502">
        <f>IF('Customers Raw data'!F502&lt;&gt;"",YEAR(DATEVALUE('Customers Raw data'!F502)),"")</f>
        <v>2025</v>
      </c>
      <c r="I502">
        <f>IF('Customers Raw data'!F502&lt;&gt;"",MONTH(DATEVALUE('Customers Raw data'!F502)),"")</f>
        <v>5</v>
      </c>
      <c r="J502">
        <f>YEAR(DATEVALUE('Customers Raw data'!B502))</f>
        <v>2025</v>
      </c>
      <c r="K502">
        <f>MONTH(DATEVALUE('Customers Raw data'!B502))</f>
        <v>3</v>
      </c>
      <c r="L502">
        <f ca="1">IF('Customers Raw data'!F502&lt;&gt;"",DATEDIF(DATEVALUE('Customers Raw data'!B502),DATEVALUE('Customers Raw data'!F502),"M"),DATEDIF(DATEVALUE('Customers Raw data'!B502),TODAY(),"M"))</f>
        <v>2</v>
      </c>
      <c r="M502">
        <f t="shared" ca="1" si="35"/>
        <v>1000</v>
      </c>
      <c r="N502">
        <f t="shared" si="36"/>
        <v>3</v>
      </c>
      <c r="O502">
        <f t="shared" ca="1" si="37"/>
        <v>1</v>
      </c>
      <c r="P502">
        <f t="shared" si="38"/>
        <v>500</v>
      </c>
      <c r="Q502" t="str">
        <f t="shared" si="39"/>
        <v>2025-05</v>
      </c>
    </row>
    <row r="503" spans="1:17" ht="15" customHeight="1" x14ac:dyDescent="0.25">
      <c r="A503">
        <f>'Customers Raw data'!A503</f>
        <v>1502</v>
      </c>
      <c r="B503" t="str">
        <f>'Customers Raw data'!B503</f>
        <v>2025-05-07</v>
      </c>
      <c r="C503" t="str">
        <f>'Customers Raw data'!C503</f>
        <v>Basic</v>
      </c>
      <c r="D503">
        <f>'Customers Raw data'!D503</f>
        <v>50</v>
      </c>
      <c r="E503">
        <f>'Customers Raw data'!E503</f>
        <v>30</v>
      </c>
      <c r="F503">
        <f>'Customers Raw data'!F503</f>
        <v>0</v>
      </c>
      <c r="G503">
        <f>IF('Customers Raw data'!F503&lt;&gt;"",1,0)</f>
        <v>0</v>
      </c>
      <c r="H503" t="str">
        <f>IF('Customers Raw data'!F503&lt;&gt;"",YEAR(DATEVALUE('Customers Raw data'!F503)),"")</f>
        <v/>
      </c>
      <c r="I503" t="str">
        <f>IF('Customers Raw data'!F503&lt;&gt;"",MONTH(DATEVALUE('Customers Raw data'!F503)),"")</f>
        <v/>
      </c>
      <c r="J503">
        <f>YEAR(DATEVALUE('Customers Raw data'!B503))</f>
        <v>2025</v>
      </c>
      <c r="K503">
        <f>MONTH(DATEVALUE('Customers Raw data'!B503))</f>
        <v>5</v>
      </c>
      <c r="L503">
        <f ca="1">IF('Customers Raw data'!F503&lt;&gt;"",DATEDIF(DATEVALUE('Customers Raw data'!B503),DATEVALUE('Customers Raw data'!F503),"M"),DATEDIF(DATEVALUE('Customers Raw data'!B503),TODAY(),"M"))</f>
        <v>11</v>
      </c>
      <c r="M503">
        <f t="shared" ca="1" si="35"/>
        <v>550</v>
      </c>
      <c r="N503">
        <f t="shared" si="36"/>
        <v>1</v>
      </c>
      <c r="O503">
        <f t="shared" ca="1" si="37"/>
        <v>0</v>
      </c>
      <c r="P503">
        <f t="shared" si="38"/>
        <v>0</v>
      </c>
      <c r="Q503" t="e">
        <f t="shared" si="39"/>
        <v>#VALUE!</v>
      </c>
    </row>
    <row r="504" spans="1:17" ht="15" customHeight="1" x14ac:dyDescent="0.25">
      <c r="A504">
        <f>'Customers Raw data'!A504</f>
        <v>1503</v>
      </c>
      <c r="B504" t="str">
        <f>'Customers Raw data'!B504</f>
        <v>2024-09-05</v>
      </c>
      <c r="C504" t="str">
        <f>'Customers Raw data'!C504</f>
        <v>Basic</v>
      </c>
      <c r="D504">
        <f>'Customers Raw data'!D504</f>
        <v>50</v>
      </c>
      <c r="E504">
        <f>'Customers Raw data'!E504</f>
        <v>30</v>
      </c>
      <c r="F504">
        <f>'Customers Raw data'!F504</f>
        <v>0</v>
      </c>
      <c r="G504">
        <f>IF('Customers Raw data'!F504&lt;&gt;"",1,0)</f>
        <v>0</v>
      </c>
      <c r="H504" t="str">
        <f>IF('Customers Raw data'!F504&lt;&gt;"",YEAR(DATEVALUE('Customers Raw data'!F504)),"")</f>
        <v/>
      </c>
      <c r="I504" t="str">
        <f>IF('Customers Raw data'!F504&lt;&gt;"",MONTH(DATEVALUE('Customers Raw data'!F504)),"")</f>
        <v/>
      </c>
      <c r="J504">
        <f>YEAR(DATEVALUE('Customers Raw data'!B504))</f>
        <v>2024</v>
      </c>
      <c r="K504">
        <f>MONTH(DATEVALUE('Customers Raw data'!B504))</f>
        <v>9</v>
      </c>
      <c r="L504">
        <f ca="1">IF('Customers Raw data'!F504&lt;&gt;"",DATEDIF(DATEVALUE('Customers Raw data'!B504),DATEVALUE('Customers Raw data'!F504),"M"),DATEDIF(DATEVALUE('Customers Raw data'!B504),TODAY(),"M"))</f>
        <v>19</v>
      </c>
      <c r="M504">
        <f t="shared" ca="1" si="35"/>
        <v>950</v>
      </c>
      <c r="N504">
        <f t="shared" si="36"/>
        <v>1</v>
      </c>
      <c r="O504">
        <f t="shared" ca="1" si="37"/>
        <v>0</v>
      </c>
      <c r="P504">
        <f t="shared" si="38"/>
        <v>0</v>
      </c>
      <c r="Q504" t="e">
        <f t="shared" si="39"/>
        <v>#VALUE!</v>
      </c>
    </row>
    <row r="505" spans="1:17" ht="15" customHeight="1" x14ac:dyDescent="0.25">
      <c r="A505">
        <f>'Customers Raw data'!A505</f>
        <v>1504</v>
      </c>
      <c r="B505" t="str">
        <f>'Customers Raw data'!B505</f>
        <v>2024-05-07</v>
      </c>
      <c r="C505" t="str">
        <f>'Customers Raw data'!C505</f>
        <v>Pro</v>
      </c>
      <c r="D505">
        <f>'Customers Raw data'!D505</f>
        <v>200</v>
      </c>
      <c r="E505">
        <f>'Customers Raw data'!E505</f>
        <v>100</v>
      </c>
      <c r="F505">
        <f>'Customers Raw data'!F505</f>
        <v>0</v>
      </c>
      <c r="G505">
        <f>IF('Customers Raw data'!F505&lt;&gt;"",1,0)</f>
        <v>0</v>
      </c>
      <c r="H505" t="str">
        <f>IF('Customers Raw data'!F505&lt;&gt;"",YEAR(DATEVALUE('Customers Raw data'!F505)),"")</f>
        <v/>
      </c>
      <c r="I505" t="str">
        <f>IF('Customers Raw data'!F505&lt;&gt;"",MONTH(DATEVALUE('Customers Raw data'!F505)),"")</f>
        <v/>
      </c>
      <c r="J505">
        <f>YEAR(DATEVALUE('Customers Raw data'!B505))</f>
        <v>2024</v>
      </c>
      <c r="K505">
        <f>MONTH(DATEVALUE('Customers Raw data'!B505))</f>
        <v>5</v>
      </c>
      <c r="L505">
        <f ca="1">IF('Customers Raw data'!F505&lt;&gt;"",DATEDIF(DATEVALUE('Customers Raw data'!B505),DATEVALUE('Customers Raw data'!F505),"M"),DATEDIF(DATEVALUE('Customers Raw data'!B505),TODAY(),"M"))</f>
        <v>23</v>
      </c>
      <c r="M505">
        <f t="shared" ca="1" si="35"/>
        <v>4600</v>
      </c>
      <c r="N505">
        <f t="shared" si="36"/>
        <v>2</v>
      </c>
      <c r="O505">
        <f t="shared" ca="1" si="37"/>
        <v>0</v>
      </c>
      <c r="P505">
        <f t="shared" si="38"/>
        <v>0</v>
      </c>
      <c r="Q505" t="e">
        <f t="shared" si="39"/>
        <v>#VALUE!</v>
      </c>
    </row>
    <row r="506" spans="1:17" ht="15" customHeight="1" x14ac:dyDescent="0.25">
      <c r="A506">
        <f>'Customers Raw data'!A506</f>
        <v>1505</v>
      </c>
      <c r="B506" t="str">
        <f>'Customers Raw data'!B506</f>
        <v>2025-01-06</v>
      </c>
      <c r="C506" t="str">
        <f>'Customers Raw data'!C506</f>
        <v>Pro</v>
      </c>
      <c r="D506">
        <f>'Customers Raw data'!D506</f>
        <v>200</v>
      </c>
      <c r="E506">
        <f>'Customers Raw data'!E506</f>
        <v>100</v>
      </c>
      <c r="F506">
        <f>'Customers Raw data'!F506</f>
        <v>0</v>
      </c>
      <c r="G506">
        <f>IF('Customers Raw data'!F506&lt;&gt;"",1,0)</f>
        <v>0</v>
      </c>
      <c r="H506" t="str">
        <f>IF('Customers Raw data'!F506&lt;&gt;"",YEAR(DATEVALUE('Customers Raw data'!F506)),"")</f>
        <v/>
      </c>
      <c r="I506" t="str">
        <f>IF('Customers Raw data'!F506&lt;&gt;"",MONTH(DATEVALUE('Customers Raw data'!F506)),"")</f>
        <v/>
      </c>
      <c r="J506">
        <f>YEAR(DATEVALUE('Customers Raw data'!B506))</f>
        <v>2025</v>
      </c>
      <c r="K506">
        <f>MONTH(DATEVALUE('Customers Raw data'!B506))</f>
        <v>1</v>
      </c>
      <c r="L506">
        <f ca="1">IF('Customers Raw data'!F506&lt;&gt;"",DATEDIF(DATEVALUE('Customers Raw data'!B506),DATEVALUE('Customers Raw data'!F506),"M"),DATEDIF(DATEVALUE('Customers Raw data'!B506),TODAY(),"M"))</f>
        <v>15</v>
      </c>
      <c r="M506">
        <f t="shared" ca="1" si="35"/>
        <v>3000</v>
      </c>
      <c r="N506">
        <f t="shared" si="36"/>
        <v>2</v>
      </c>
      <c r="O506">
        <f t="shared" ca="1" si="37"/>
        <v>0</v>
      </c>
      <c r="P506">
        <f t="shared" si="38"/>
        <v>0</v>
      </c>
      <c r="Q506" t="e">
        <f t="shared" si="39"/>
        <v>#VALUE!</v>
      </c>
    </row>
    <row r="507" spans="1:17" ht="15" customHeight="1" x14ac:dyDescent="0.25">
      <c r="A507">
        <f>'Customers Raw data'!A507</f>
        <v>1506</v>
      </c>
      <c r="B507" t="str">
        <f>'Customers Raw data'!B507</f>
        <v>2024-08-18</v>
      </c>
      <c r="C507" t="str">
        <f>'Customers Raw data'!C507</f>
        <v>Basic</v>
      </c>
      <c r="D507">
        <f>'Customers Raw data'!D507</f>
        <v>50</v>
      </c>
      <c r="E507">
        <f>'Customers Raw data'!E507</f>
        <v>30</v>
      </c>
      <c r="F507">
        <f>'Customers Raw data'!F507</f>
        <v>0</v>
      </c>
      <c r="G507">
        <f>IF('Customers Raw data'!F507&lt;&gt;"",1,0)</f>
        <v>0</v>
      </c>
      <c r="H507" t="str">
        <f>IF('Customers Raw data'!F507&lt;&gt;"",YEAR(DATEVALUE('Customers Raw data'!F507)),"")</f>
        <v/>
      </c>
      <c r="I507" t="str">
        <f>IF('Customers Raw data'!F507&lt;&gt;"",MONTH(DATEVALUE('Customers Raw data'!F507)),"")</f>
        <v/>
      </c>
      <c r="J507">
        <f>YEAR(DATEVALUE('Customers Raw data'!B507))</f>
        <v>2024</v>
      </c>
      <c r="K507">
        <f>MONTH(DATEVALUE('Customers Raw data'!B507))</f>
        <v>8</v>
      </c>
      <c r="L507">
        <f ca="1">IF('Customers Raw data'!F507&lt;&gt;"",DATEDIF(DATEVALUE('Customers Raw data'!B507),DATEVALUE('Customers Raw data'!F507),"M"),DATEDIF(DATEVALUE('Customers Raw data'!B507),TODAY(),"M"))</f>
        <v>19</v>
      </c>
      <c r="M507">
        <f t="shared" ca="1" si="35"/>
        <v>950</v>
      </c>
      <c r="N507">
        <f t="shared" si="36"/>
        <v>1</v>
      </c>
      <c r="O507">
        <f t="shared" ca="1" si="37"/>
        <v>0</v>
      </c>
      <c r="P507">
        <f t="shared" si="38"/>
        <v>0</v>
      </c>
      <c r="Q507" t="e">
        <f t="shared" si="39"/>
        <v>#VALUE!</v>
      </c>
    </row>
    <row r="508" spans="1:17" ht="15" customHeight="1" x14ac:dyDescent="0.25">
      <c r="A508">
        <f>'Customers Raw data'!A508</f>
        <v>1507</v>
      </c>
      <c r="B508" t="str">
        <f>'Customers Raw data'!B508</f>
        <v>2024-10-12</v>
      </c>
      <c r="C508" t="str">
        <f>'Customers Raw data'!C508</f>
        <v>Enterprise</v>
      </c>
      <c r="D508">
        <f>'Customers Raw data'!D508</f>
        <v>500</v>
      </c>
      <c r="E508">
        <f>'Customers Raw data'!E508</f>
        <v>200</v>
      </c>
      <c r="F508">
        <f>'Customers Raw data'!F508</f>
        <v>0</v>
      </c>
      <c r="G508">
        <f>IF('Customers Raw data'!F508&lt;&gt;"",1,0)</f>
        <v>0</v>
      </c>
      <c r="H508" t="str">
        <f>IF('Customers Raw data'!F508&lt;&gt;"",YEAR(DATEVALUE('Customers Raw data'!F508)),"")</f>
        <v/>
      </c>
      <c r="I508" t="str">
        <f>IF('Customers Raw data'!F508&lt;&gt;"",MONTH(DATEVALUE('Customers Raw data'!F508)),"")</f>
        <v/>
      </c>
      <c r="J508">
        <f>YEAR(DATEVALUE('Customers Raw data'!B508))</f>
        <v>2024</v>
      </c>
      <c r="K508">
        <f>MONTH(DATEVALUE('Customers Raw data'!B508))</f>
        <v>10</v>
      </c>
      <c r="L508">
        <f ca="1">IF('Customers Raw data'!F508&lt;&gt;"",DATEDIF(DATEVALUE('Customers Raw data'!B508),DATEVALUE('Customers Raw data'!F508),"M"),DATEDIF(DATEVALUE('Customers Raw data'!B508),TODAY(),"M"))</f>
        <v>17</v>
      </c>
      <c r="M508">
        <f t="shared" ca="1" si="35"/>
        <v>8500</v>
      </c>
      <c r="N508">
        <f t="shared" si="36"/>
        <v>3</v>
      </c>
      <c r="O508">
        <f t="shared" ca="1" si="37"/>
        <v>0</v>
      </c>
      <c r="P508">
        <f t="shared" si="38"/>
        <v>0</v>
      </c>
      <c r="Q508" t="e">
        <f t="shared" si="39"/>
        <v>#VALUE!</v>
      </c>
    </row>
    <row r="509" spans="1:17" ht="15" customHeight="1" x14ac:dyDescent="0.25">
      <c r="A509">
        <f>'Customers Raw data'!A509</f>
        <v>1508</v>
      </c>
      <c r="B509" t="str">
        <f>'Customers Raw data'!B509</f>
        <v>2024-10-09</v>
      </c>
      <c r="C509" t="str">
        <f>'Customers Raw data'!C509</f>
        <v>Pro</v>
      </c>
      <c r="D509">
        <f>'Customers Raw data'!D509</f>
        <v>200</v>
      </c>
      <c r="E509">
        <f>'Customers Raw data'!E509</f>
        <v>100</v>
      </c>
      <c r="F509">
        <f>'Customers Raw data'!F509</f>
        <v>0</v>
      </c>
      <c r="G509">
        <f>IF('Customers Raw data'!F509&lt;&gt;"",1,0)</f>
        <v>0</v>
      </c>
      <c r="H509" t="str">
        <f>IF('Customers Raw data'!F509&lt;&gt;"",YEAR(DATEVALUE('Customers Raw data'!F509)),"")</f>
        <v/>
      </c>
      <c r="I509" t="str">
        <f>IF('Customers Raw data'!F509&lt;&gt;"",MONTH(DATEVALUE('Customers Raw data'!F509)),"")</f>
        <v/>
      </c>
      <c r="J509">
        <f>YEAR(DATEVALUE('Customers Raw data'!B509))</f>
        <v>2024</v>
      </c>
      <c r="K509">
        <f>MONTH(DATEVALUE('Customers Raw data'!B509))</f>
        <v>10</v>
      </c>
      <c r="L509">
        <f ca="1">IF('Customers Raw data'!F509&lt;&gt;"",DATEDIF(DATEVALUE('Customers Raw data'!B509),DATEVALUE('Customers Raw data'!F509),"M"),DATEDIF(DATEVALUE('Customers Raw data'!B509),TODAY(),"M"))</f>
        <v>17</v>
      </c>
      <c r="M509">
        <f t="shared" ca="1" si="35"/>
        <v>3400</v>
      </c>
      <c r="N509">
        <f t="shared" si="36"/>
        <v>2</v>
      </c>
      <c r="O509">
        <f t="shared" ca="1" si="37"/>
        <v>0</v>
      </c>
      <c r="P509">
        <f t="shared" si="38"/>
        <v>0</v>
      </c>
      <c r="Q509" t="e">
        <f t="shared" si="39"/>
        <v>#VALUE!</v>
      </c>
    </row>
    <row r="510" spans="1:17" ht="15" customHeight="1" x14ac:dyDescent="0.25">
      <c r="A510">
        <f>'Customers Raw data'!A510</f>
        <v>1509</v>
      </c>
      <c r="B510" t="str">
        <f>'Customers Raw data'!B510</f>
        <v>2024-10-08</v>
      </c>
      <c r="C510" t="str">
        <f>'Customers Raw data'!C510</f>
        <v>Enterprise</v>
      </c>
      <c r="D510">
        <f>'Customers Raw data'!D510</f>
        <v>500</v>
      </c>
      <c r="E510">
        <f>'Customers Raw data'!E510</f>
        <v>200</v>
      </c>
      <c r="F510">
        <f>'Customers Raw data'!F510</f>
        <v>0</v>
      </c>
      <c r="G510">
        <f>IF('Customers Raw data'!F510&lt;&gt;"",1,0)</f>
        <v>0</v>
      </c>
      <c r="H510" t="str">
        <f>IF('Customers Raw data'!F510&lt;&gt;"",YEAR(DATEVALUE('Customers Raw data'!F510)),"")</f>
        <v/>
      </c>
      <c r="I510" t="str">
        <f>IF('Customers Raw data'!F510&lt;&gt;"",MONTH(DATEVALUE('Customers Raw data'!F510)),"")</f>
        <v/>
      </c>
      <c r="J510">
        <f>YEAR(DATEVALUE('Customers Raw data'!B510))</f>
        <v>2024</v>
      </c>
      <c r="K510">
        <f>MONTH(DATEVALUE('Customers Raw data'!B510))</f>
        <v>10</v>
      </c>
      <c r="L510">
        <f ca="1">IF('Customers Raw data'!F510&lt;&gt;"",DATEDIF(DATEVALUE('Customers Raw data'!B510),DATEVALUE('Customers Raw data'!F510),"M"),DATEDIF(DATEVALUE('Customers Raw data'!B510),TODAY(),"M"))</f>
        <v>17</v>
      </c>
      <c r="M510">
        <f t="shared" ca="1" si="35"/>
        <v>8500</v>
      </c>
      <c r="N510">
        <f t="shared" si="36"/>
        <v>3</v>
      </c>
      <c r="O510">
        <f t="shared" ca="1" si="37"/>
        <v>0</v>
      </c>
      <c r="P510">
        <f t="shared" si="38"/>
        <v>0</v>
      </c>
      <c r="Q510" t="e">
        <f t="shared" si="39"/>
        <v>#VALUE!</v>
      </c>
    </row>
    <row r="511" spans="1:17" ht="15" customHeight="1" x14ac:dyDescent="0.25">
      <c r="A511">
        <f>'Customers Raw data'!A511</f>
        <v>1510</v>
      </c>
      <c r="B511" t="str">
        <f>'Customers Raw data'!B511</f>
        <v>2024-01-09</v>
      </c>
      <c r="C511" t="str">
        <f>'Customers Raw data'!C511</f>
        <v>Enterprise</v>
      </c>
      <c r="D511">
        <f>'Customers Raw data'!D511</f>
        <v>500</v>
      </c>
      <c r="E511">
        <f>'Customers Raw data'!E511</f>
        <v>200</v>
      </c>
      <c r="F511" t="str">
        <f>'Customers Raw data'!F511</f>
        <v>2024-11-20</v>
      </c>
      <c r="G511">
        <f>IF('Customers Raw data'!F511&lt;&gt;"",1,0)</f>
        <v>1</v>
      </c>
      <c r="H511">
        <f>IF('Customers Raw data'!F511&lt;&gt;"",YEAR(DATEVALUE('Customers Raw data'!F511)),"")</f>
        <v>2024</v>
      </c>
      <c r="I511">
        <f>IF('Customers Raw data'!F511&lt;&gt;"",MONTH(DATEVALUE('Customers Raw data'!F511)),"")</f>
        <v>11</v>
      </c>
      <c r="J511">
        <f>YEAR(DATEVALUE('Customers Raw data'!B511))</f>
        <v>2024</v>
      </c>
      <c r="K511">
        <f>MONTH(DATEVALUE('Customers Raw data'!B511))</f>
        <v>1</v>
      </c>
      <c r="L511">
        <f ca="1">IF('Customers Raw data'!F511&lt;&gt;"",DATEDIF(DATEVALUE('Customers Raw data'!B511),DATEVALUE('Customers Raw data'!F511),"M"),DATEDIF(DATEVALUE('Customers Raw data'!B511),TODAY(),"M"))</f>
        <v>10</v>
      </c>
      <c r="M511">
        <f t="shared" ca="1" si="35"/>
        <v>5000</v>
      </c>
      <c r="N511">
        <f t="shared" si="36"/>
        <v>3</v>
      </c>
      <c r="O511">
        <f t="shared" ca="1" si="37"/>
        <v>0</v>
      </c>
      <c r="P511">
        <f t="shared" si="38"/>
        <v>500</v>
      </c>
      <c r="Q511" t="str">
        <f t="shared" si="39"/>
        <v>2024-11</v>
      </c>
    </row>
    <row r="512" spans="1:17" ht="15" customHeight="1" x14ac:dyDescent="0.25">
      <c r="A512">
        <f>'Customers Raw data'!A512</f>
        <v>1511</v>
      </c>
      <c r="B512" t="str">
        <f>'Customers Raw data'!B512</f>
        <v>2024-03-21</v>
      </c>
      <c r="C512" t="str">
        <f>'Customers Raw data'!C512</f>
        <v>Pro</v>
      </c>
      <c r="D512">
        <f>'Customers Raw data'!D512</f>
        <v>200</v>
      </c>
      <c r="E512">
        <f>'Customers Raw data'!E512</f>
        <v>100</v>
      </c>
      <c r="F512">
        <f>'Customers Raw data'!F512</f>
        <v>0</v>
      </c>
      <c r="G512">
        <f>IF('Customers Raw data'!F512&lt;&gt;"",1,0)</f>
        <v>0</v>
      </c>
      <c r="H512" t="str">
        <f>IF('Customers Raw data'!F512&lt;&gt;"",YEAR(DATEVALUE('Customers Raw data'!F512)),"")</f>
        <v/>
      </c>
      <c r="I512" t="str">
        <f>IF('Customers Raw data'!F512&lt;&gt;"",MONTH(DATEVALUE('Customers Raw data'!F512)),"")</f>
        <v/>
      </c>
      <c r="J512">
        <f>YEAR(DATEVALUE('Customers Raw data'!B512))</f>
        <v>2024</v>
      </c>
      <c r="K512">
        <f>MONTH(DATEVALUE('Customers Raw data'!B512))</f>
        <v>3</v>
      </c>
      <c r="L512">
        <f ca="1">IF('Customers Raw data'!F512&lt;&gt;"",DATEDIF(DATEVALUE('Customers Raw data'!B512),DATEVALUE('Customers Raw data'!F512),"M"),DATEDIF(DATEVALUE('Customers Raw data'!B512),TODAY(),"M"))</f>
        <v>24</v>
      </c>
      <c r="M512">
        <f t="shared" ca="1" si="35"/>
        <v>4800</v>
      </c>
      <c r="N512">
        <f t="shared" si="36"/>
        <v>2</v>
      </c>
      <c r="O512">
        <f t="shared" ca="1" si="37"/>
        <v>0</v>
      </c>
      <c r="P512">
        <f t="shared" si="38"/>
        <v>0</v>
      </c>
      <c r="Q512" t="e">
        <f t="shared" si="39"/>
        <v>#VALUE!</v>
      </c>
    </row>
    <row r="513" spans="1:17" ht="15" customHeight="1" x14ac:dyDescent="0.25">
      <c r="A513">
        <f>'Customers Raw data'!A513</f>
        <v>1512</v>
      </c>
      <c r="B513" t="str">
        <f>'Customers Raw data'!B513</f>
        <v>2024-05-05</v>
      </c>
      <c r="C513" t="str">
        <f>'Customers Raw data'!C513</f>
        <v>Pro</v>
      </c>
      <c r="D513">
        <f>'Customers Raw data'!D513</f>
        <v>200</v>
      </c>
      <c r="E513">
        <f>'Customers Raw data'!E513</f>
        <v>100</v>
      </c>
      <c r="F513">
        <f>'Customers Raw data'!F513</f>
        <v>0</v>
      </c>
      <c r="G513">
        <f>IF('Customers Raw data'!F513&lt;&gt;"",1,0)</f>
        <v>0</v>
      </c>
      <c r="H513" t="str">
        <f>IF('Customers Raw data'!F513&lt;&gt;"",YEAR(DATEVALUE('Customers Raw data'!F513)),"")</f>
        <v/>
      </c>
      <c r="I513" t="str">
        <f>IF('Customers Raw data'!F513&lt;&gt;"",MONTH(DATEVALUE('Customers Raw data'!F513)),"")</f>
        <v/>
      </c>
      <c r="J513">
        <f>YEAR(DATEVALUE('Customers Raw data'!B513))</f>
        <v>2024</v>
      </c>
      <c r="K513">
        <f>MONTH(DATEVALUE('Customers Raw data'!B513))</f>
        <v>5</v>
      </c>
      <c r="L513">
        <f ca="1">IF('Customers Raw data'!F513&lt;&gt;"",DATEDIF(DATEVALUE('Customers Raw data'!B513),DATEVALUE('Customers Raw data'!F513),"M"),DATEDIF(DATEVALUE('Customers Raw data'!B513),TODAY(),"M"))</f>
        <v>23</v>
      </c>
      <c r="M513">
        <f t="shared" ca="1" si="35"/>
        <v>4600</v>
      </c>
      <c r="N513">
        <f t="shared" si="36"/>
        <v>2</v>
      </c>
      <c r="O513">
        <f t="shared" ca="1" si="37"/>
        <v>0</v>
      </c>
      <c r="P513">
        <f t="shared" si="38"/>
        <v>0</v>
      </c>
      <c r="Q513" t="e">
        <f t="shared" si="39"/>
        <v>#VALUE!</v>
      </c>
    </row>
    <row r="514" spans="1:17" ht="15" customHeight="1" x14ac:dyDescent="0.25">
      <c r="A514">
        <f>'Customers Raw data'!A514</f>
        <v>1513</v>
      </c>
      <c r="B514" t="str">
        <f>'Customers Raw data'!B514</f>
        <v>2024-07-11</v>
      </c>
      <c r="C514" t="str">
        <f>'Customers Raw data'!C514</f>
        <v>Pro</v>
      </c>
      <c r="D514">
        <f>'Customers Raw data'!D514</f>
        <v>200</v>
      </c>
      <c r="E514">
        <f>'Customers Raw data'!E514</f>
        <v>100</v>
      </c>
      <c r="F514">
        <f>'Customers Raw data'!F514</f>
        <v>0</v>
      </c>
      <c r="G514">
        <f>IF('Customers Raw data'!F514&lt;&gt;"",1,0)</f>
        <v>0</v>
      </c>
      <c r="H514" t="str">
        <f>IF('Customers Raw data'!F514&lt;&gt;"",YEAR(DATEVALUE('Customers Raw data'!F514)),"")</f>
        <v/>
      </c>
      <c r="I514" t="str">
        <f>IF('Customers Raw data'!F514&lt;&gt;"",MONTH(DATEVALUE('Customers Raw data'!F514)),"")</f>
        <v/>
      </c>
      <c r="J514">
        <f>YEAR(DATEVALUE('Customers Raw data'!B514))</f>
        <v>2024</v>
      </c>
      <c r="K514">
        <f>MONTH(DATEVALUE('Customers Raw data'!B514))</f>
        <v>7</v>
      </c>
      <c r="L514">
        <f ca="1">IF('Customers Raw data'!F514&lt;&gt;"",DATEDIF(DATEVALUE('Customers Raw data'!B514),DATEVALUE('Customers Raw data'!F514),"M"),DATEDIF(DATEVALUE('Customers Raw data'!B514),TODAY(),"M"))</f>
        <v>20</v>
      </c>
      <c r="M514">
        <f t="shared" ref="M514:M577" ca="1" si="40">D514*L514</f>
        <v>4000</v>
      </c>
      <c r="N514">
        <f t="shared" ref="N514:N577" si="41">IF(C514="Basic",1,IF(C514="Pro",2,IF(C514="Enterprise",3,0)))</f>
        <v>2</v>
      </c>
      <c r="O514">
        <f t="shared" ref="O514:O577" ca="1" si="42">IF(AND(G514=1,L514&lt;6),1,0)</f>
        <v>0</v>
      </c>
      <c r="P514">
        <f t="shared" ref="P514:P577" si="43">IF(G514=1,D514,0)</f>
        <v>0</v>
      </c>
      <c r="Q514" t="e">
        <f t="shared" ref="Q514:Q577" si="44">IF(F514&lt;&gt;"",TEXT(DATEVALUE(F514),"YYYY-MM"),"")</f>
        <v>#VALUE!</v>
      </c>
    </row>
    <row r="515" spans="1:17" ht="15" customHeight="1" x14ac:dyDescent="0.25">
      <c r="A515">
        <f>'Customers Raw data'!A515</f>
        <v>1514</v>
      </c>
      <c r="B515" t="str">
        <f>'Customers Raw data'!B515</f>
        <v>2025-03-31</v>
      </c>
      <c r="C515" t="str">
        <f>'Customers Raw data'!C515</f>
        <v>Pro</v>
      </c>
      <c r="D515">
        <f>'Customers Raw data'!D515</f>
        <v>200</v>
      </c>
      <c r="E515">
        <f>'Customers Raw data'!E515</f>
        <v>100</v>
      </c>
      <c r="F515">
        <f>'Customers Raw data'!F515</f>
        <v>0</v>
      </c>
      <c r="G515">
        <f>IF('Customers Raw data'!F515&lt;&gt;"",1,0)</f>
        <v>0</v>
      </c>
      <c r="H515" t="str">
        <f>IF('Customers Raw data'!F515&lt;&gt;"",YEAR(DATEVALUE('Customers Raw data'!F515)),"")</f>
        <v/>
      </c>
      <c r="I515" t="str">
        <f>IF('Customers Raw data'!F515&lt;&gt;"",MONTH(DATEVALUE('Customers Raw data'!F515)),"")</f>
        <v/>
      </c>
      <c r="J515">
        <f>YEAR(DATEVALUE('Customers Raw data'!B515))</f>
        <v>2025</v>
      </c>
      <c r="K515">
        <f>MONTH(DATEVALUE('Customers Raw data'!B515))</f>
        <v>3</v>
      </c>
      <c r="L515">
        <f ca="1">IF('Customers Raw data'!F515&lt;&gt;"",DATEDIF(DATEVALUE('Customers Raw data'!B515),DATEVALUE('Customers Raw data'!F515),"M"),DATEDIF(DATEVALUE('Customers Raw data'!B515),TODAY(),"M"))</f>
        <v>12</v>
      </c>
      <c r="M515">
        <f t="shared" ca="1" si="40"/>
        <v>2400</v>
      </c>
      <c r="N515">
        <f t="shared" si="41"/>
        <v>2</v>
      </c>
      <c r="O515">
        <f t="shared" ca="1" si="42"/>
        <v>0</v>
      </c>
      <c r="P515">
        <f t="shared" si="43"/>
        <v>0</v>
      </c>
      <c r="Q515" t="e">
        <f t="shared" si="44"/>
        <v>#VALUE!</v>
      </c>
    </row>
    <row r="516" spans="1:17" ht="15" customHeight="1" x14ac:dyDescent="0.25">
      <c r="A516">
        <f>'Customers Raw data'!A516</f>
        <v>1515</v>
      </c>
      <c r="B516" t="str">
        <f>'Customers Raw data'!B516</f>
        <v>2025-04-03</v>
      </c>
      <c r="C516" t="str">
        <f>'Customers Raw data'!C516</f>
        <v>Enterprise</v>
      </c>
      <c r="D516">
        <f>'Customers Raw data'!D516</f>
        <v>500</v>
      </c>
      <c r="E516">
        <f>'Customers Raw data'!E516</f>
        <v>200</v>
      </c>
      <c r="F516">
        <f>'Customers Raw data'!F516</f>
        <v>0</v>
      </c>
      <c r="G516">
        <f>IF('Customers Raw data'!F516&lt;&gt;"",1,0)</f>
        <v>0</v>
      </c>
      <c r="H516" t="str">
        <f>IF('Customers Raw data'!F516&lt;&gt;"",YEAR(DATEVALUE('Customers Raw data'!F516)),"")</f>
        <v/>
      </c>
      <c r="I516" t="str">
        <f>IF('Customers Raw data'!F516&lt;&gt;"",MONTH(DATEVALUE('Customers Raw data'!F516)),"")</f>
        <v/>
      </c>
      <c r="J516">
        <f>YEAR(DATEVALUE('Customers Raw data'!B516))</f>
        <v>2025</v>
      </c>
      <c r="K516">
        <f>MONTH(DATEVALUE('Customers Raw data'!B516))</f>
        <v>4</v>
      </c>
      <c r="L516">
        <f ca="1">IF('Customers Raw data'!F516&lt;&gt;"",DATEDIF(DATEVALUE('Customers Raw data'!B516),DATEVALUE('Customers Raw data'!F516),"M"),DATEDIF(DATEVALUE('Customers Raw data'!B516),TODAY(),"M"))</f>
        <v>12</v>
      </c>
      <c r="M516">
        <f t="shared" ca="1" si="40"/>
        <v>6000</v>
      </c>
      <c r="N516">
        <f t="shared" si="41"/>
        <v>3</v>
      </c>
      <c r="O516">
        <f t="shared" ca="1" si="42"/>
        <v>0</v>
      </c>
      <c r="P516">
        <f t="shared" si="43"/>
        <v>0</v>
      </c>
      <c r="Q516" t="e">
        <f t="shared" si="44"/>
        <v>#VALUE!</v>
      </c>
    </row>
    <row r="517" spans="1:17" ht="15" customHeight="1" x14ac:dyDescent="0.25">
      <c r="A517">
        <f>'Customers Raw data'!A517</f>
        <v>1516</v>
      </c>
      <c r="B517" t="str">
        <f>'Customers Raw data'!B517</f>
        <v>2024-12-24</v>
      </c>
      <c r="C517" t="str">
        <f>'Customers Raw data'!C517</f>
        <v>Enterprise</v>
      </c>
      <c r="D517">
        <f>'Customers Raw data'!D517</f>
        <v>500</v>
      </c>
      <c r="E517">
        <f>'Customers Raw data'!E517</f>
        <v>200</v>
      </c>
      <c r="F517">
        <f>'Customers Raw data'!F517</f>
        <v>0</v>
      </c>
      <c r="G517">
        <f>IF('Customers Raw data'!F517&lt;&gt;"",1,0)</f>
        <v>0</v>
      </c>
      <c r="H517" t="str">
        <f>IF('Customers Raw data'!F517&lt;&gt;"",YEAR(DATEVALUE('Customers Raw data'!F517)),"")</f>
        <v/>
      </c>
      <c r="I517" t="str">
        <f>IF('Customers Raw data'!F517&lt;&gt;"",MONTH(DATEVALUE('Customers Raw data'!F517)),"")</f>
        <v/>
      </c>
      <c r="J517">
        <f>YEAR(DATEVALUE('Customers Raw data'!B517))</f>
        <v>2024</v>
      </c>
      <c r="K517">
        <f>MONTH(DATEVALUE('Customers Raw data'!B517))</f>
        <v>12</v>
      </c>
      <c r="L517">
        <f ca="1">IF('Customers Raw data'!F517&lt;&gt;"",DATEDIF(DATEVALUE('Customers Raw data'!B517),DATEVALUE('Customers Raw data'!F517),"M"),DATEDIF(DATEVALUE('Customers Raw data'!B517),TODAY(),"M"))</f>
        <v>15</v>
      </c>
      <c r="M517">
        <f t="shared" ca="1" si="40"/>
        <v>7500</v>
      </c>
      <c r="N517">
        <f t="shared" si="41"/>
        <v>3</v>
      </c>
      <c r="O517">
        <f t="shared" ca="1" si="42"/>
        <v>0</v>
      </c>
      <c r="P517">
        <f t="shared" si="43"/>
        <v>0</v>
      </c>
      <c r="Q517" t="e">
        <f t="shared" si="44"/>
        <v>#VALUE!</v>
      </c>
    </row>
    <row r="518" spans="1:17" ht="15" customHeight="1" x14ac:dyDescent="0.25">
      <c r="A518">
        <f>'Customers Raw data'!A518</f>
        <v>1517</v>
      </c>
      <c r="B518" t="str">
        <f>'Customers Raw data'!B518</f>
        <v>2024-03-12</v>
      </c>
      <c r="C518" t="str">
        <f>'Customers Raw data'!C518</f>
        <v>Basic</v>
      </c>
      <c r="D518">
        <f>'Customers Raw data'!D518</f>
        <v>50</v>
      </c>
      <c r="E518">
        <f>'Customers Raw data'!E518</f>
        <v>30</v>
      </c>
      <c r="F518">
        <f>'Customers Raw data'!F518</f>
        <v>0</v>
      </c>
      <c r="G518">
        <f>IF('Customers Raw data'!F518&lt;&gt;"",1,0)</f>
        <v>0</v>
      </c>
      <c r="H518" t="str">
        <f>IF('Customers Raw data'!F518&lt;&gt;"",YEAR(DATEVALUE('Customers Raw data'!F518)),"")</f>
        <v/>
      </c>
      <c r="I518" t="str">
        <f>IF('Customers Raw data'!F518&lt;&gt;"",MONTH(DATEVALUE('Customers Raw data'!F518)),"")</f>
        <v/>
      </c>
      <c r="J518">
        <f>YEAR(DATEVALUE('Customers Raw data'!B518))</f>
        <v>2024</v>
      </c>
      <c r="K518">
        <f>MONTH(DATEVALUE('Customers Raw data'!B518))</f>
        <v>3</v>
      </c>
      <c r="L518">
        <f ca="1">IF('Customers Raw data'!F518&lt;&gt;"",DATEDIF(DATEVALUE('Customers Raw data'!B518),DATEVALUE('Customers Raw data'!F518),"M"),DATEDIF(DATEVALUE('Customers Raw data'!B518),TODAY(),"M"))</f>
        <v>24</v>
      </c>
      <c r="M518">
        <f t="shared" ca="1" si="40"/>
        <v>1200</v>
      </c>
      <c r="N518">
        <f t="shared" si="41"/>
        <v>1</v>
      </c>
      <c r="O518">
        <f t="shared" ca="1" si="42"/>
        <v>0</v>
      </c>
      <c r="P518">
        <f t="shared" si="43"/>
        <v>0</v>
      </c>
      <c r="Q518" t="e">
        <f t="shared" si="44"/>
        <v>#VALUE!</v>
      </c>
    </row>
    <row r="519" spans="1:17" ht="15" customHeight="1" x14ac:dyDescent="0.25">
      <c r="A519">
        <f>'Customers Raw data'!A519</f>
        <v>1518</v>
      </c>
      <c r="B519" t="str">
        <f>'Customers Raw data'!B519</f>
        <v>2024-03-03</v>
      </c>
      <c r="C519" t="str">
        <f>'Customers Raw data'!C519</f>
        <v>Basic</v>
      </c>
      <c r="D519">
        <f>'Customers Raw data'!D519</f>
        <v>50</v>
      </c>
      <c r="E519">
        <f>'Customers Raw data'!E519</f>
        <v>30</v>
      </c>
      <c r="F519">
        <f>'Customers Raw data'!F519</f>
        <v>0</v>
      </c>
      <c r="G519">
        <f>IF('Customers Raw data'!F519&lt;&gt;"",1,0)</f>
        <v>0</v>
      </c>
      <c r="H519" t="str">
        <f>IF('Customers Raw data'!F519&lt;&gt;"",YEAR(DATEVALUE('Customers Raw data'!F519)),"")</f>
        <v/>
      </c>
      <c r="I519" t="str">
        <f>IF('Customers Raw data'!F519&lt;&gt;"",MONTH(DATEVALUE('Customers Raw data'!F519)),"")</f>
        <v/>
      </c>
      <c r="J519">
        <f>YEAR(DATEVALUE('Customers Raw data'!B519))</f>
        <v>2024</v>
      </c>
      <c r="K519">
        <f>MONTH(DATEVALUE('Customers Raw data'!B519))</f>
        <v>3</v>
      </c>
      <c r="L519">
        <f ca="1">IF('Customers Raw data'!F519&lt;&gt;"",DATEDIF(DATEVALUE('Customers Raw data'!B519),DATEVALUE('Customers Raw data'!F519),"M"),DATEDIF(DATEVALUE('Customers Raw data'!B519),TODAY(),"M"))</f>
        <v>25</v>
      </c>
      <c r="M519">
        <f t="shared" ca="1" si="40"/>
        <v>1250</v>
      </c>
      <c r="N519">
        <f t="shared" si="41"/>
        <v>1</v>
      </c>
      <c r="O519">
        <f t="shared" ca="1" si="42"/>
        <v>0</v>
      </c>
      <c r="P519">
        <f t="shared" si="43"/>
        <v>0</v>
      </c>
      <c r="Q519" t="e">
        <f t="shared" si="44"/>
        <v>#VALUE!</v>
      </c>
    </row>
    <row r="520" spans="1:17" ht="15" customHeight="1" x14ac:dyDescent="0.25">
      <c r="A520">
        <f>'Customers Raw data'!A520</f>
        <v>1519</v>
      </c>
      <c r="B520" t="str">
        <f>'Customers Raw data'!B520</f>
        <v>2024-02-15</v>
      </c>
      <c r="C520" t="str">
        <f>'Customers Raw data'!C520</f>
        <v>Enterprise</v>
      </c>
      <c r="D520">
        <f>'Customers Raw data'!D520</f>
        <v>500</v>
      </c>
      <c r="E520">
        <f>'Customers Raw data'!E520</f>
        <v>200</v>
      </c>
      <c r="F520" t="str">
        <f>'Customers Raw data'!F520</f>
        <v>2025-06-03</v>
      </c>
      <c r="G520">
        <f>IF('Customers Raw data'!F520&lt;&gt;"",1,0)</f>
        <v>1</v>
      </c>
      <c r="H520">
        <f>IF('Customers Raw data'!F520&lt;&gt;"",YEAR(DATEVALUE('Customers Raw data'!F520)),"")</f>
        <v>2025</v>
      </c>
      <c r="I520">
        <f>IF('Customers Raw data'!F520&lt;&gt;"",MONTH(DATEVALUE('Customers Raw data'!F520)),"")</f>
        <v>6</v>
      </c>
      <c r="J520">
        <f>YEAR(DATEVALUE('Customers Raw data'!B520))</f>
        <v>2024</v>
      </c>
      <c r="K520">
        <f>MONTH(DATEVALUE('Customers Raw data'!B520))</f>
        <v>2</v>
      </c>
      <c r="L520">
        <f ca="1">IF('Customers Raw data'!F520&lt;&gt;"",DATEDIF(DATEVALUE('Customers Raw data'!B520),DATEVALUE('Customers Raw data'!F520),"M"),DATEDIF(DATEVALUE('Customers Raw data'!B520),TODAY(),"M"))</f>
        <v>15</v>
      </c>
      <c r="M520">
        <f t="shared" ca="1" si="40"/>
        <v>7500</v>
      </c>
      <c r="N520">
        <f t="shared" si="41"/>
        <v>3</v>
      </c>
      <c r="O520">
        <f t="shared" ca="1" si="42"/>
        <v>0</v>
      </c>
      <c r="P520">
        <f t="shared" si="43"/>
        <v>500</v>
      </c>
      <c r="Q520" t="str">
        <f t="shared" si="44"/>
        <v>2025-06</v>
      </c>
    </row>
    <row r="521" spans="1:17" ht="15" customHeight="1" x14ac:dyDescent="0.25">
      <c r="A521">
        <f>'Customers Raw data'!A521</f>
        <v>1520</v>
      </c>
      <c r="B521" t="str">
        <f>'Customers Raw data'!B521</f>
        <v>2024-05-01</v>
      </c>
      <c r="C521" t="str">
        <f>'Customers Raw data'!C521</f>
        <v>Basic</v>
      </c>
      <c r="D521">
        <f>'Customers Raw data'!D521</f>
        <v>50</v>
      </c>
      <c r="E521">
        <f>'Customers Raw data'!E521</f>
        <v>30</v>
      </c>
      <c r="F521">
        <f>'Customers Raw data'!F521</f>
        <v>0</v>
      </c>
      <c r="G521">
        <f>IF('Customers Raw data'!F521&lt;&gt;"",1,0)</f>
        <v>0</v>
      </c>
      <c r="H521" t="str">
        <f>IF('Customers Raw data'!F521&lt;&gt;"",YEAR(DATEVALUE('Customers Raw data'!F521)),"")</f>
        <v/>
      </c>
      <c r="I521" t="str">
        <f>IF('Customers Raw data'!F521&lt;&gt;"",MONTH(DATEVALUE('Customers Raw data'!F521)),"")</f>
        <v/>
      </c>
      <c r="J521">
        <f>YEAR(DATEVALUE('Customers Raw data'!B521))</f>
        <v>2024</v>
      </c>
      <c r="K521">
        <f>MONTH(DATEVALUE('Customers Raw data'!B521))</f>
        <v>5</v>
      </c>
      <c r="L521">
        <f ca="1">IF('Customers Raw data'!F521&lt;&gt;"",DATEDIF(DATEVALUE('Customers Raw data'!B521),DATEVALUE('Customers Raw data'!F521),"M"),DATEDIF(DATEVALUE('Customers Raw data'!B521),TODAY(),"M"))</f>
        <v>23</v>
      </c>
      <c r="M521">
        <f t="shared" ca="1" si="40"/>
        <v>1150</v>
      </c>
      <c r="N521">
        <f t="shared" si="41"/>
        <v>1</v>
      </c>
      <c r="O521">
        <f t="shared" ca="1" si="42"/>
        <v>0</v>
      </c>
      <c r="P521">
        <f t="shared" si="43"/>
        <v>0</v>
      </c>
      <c r="Q521" t="e">
        <f t="shared" si="44"/>
        <v>#VALUE!</v>
      </c>
    </row>
    <row r="522" spans="1:17" ht="15" customHeight="1" x14ac:dyDescent="0.25">
      <c r="A522">
        <f>'Customers Raw data'!A522</f>
        <v>1521</v>
      </c>
      <c r="B522" t="str">
        <f>'Customers Raw data'!B522</f>
        <v>2024-10-30</v>
      </c>
      <c r="C522" t="str">
        <f>'Customers Raw data'!C522</f>
        <v>Pro</v>
      </c>
      <c r="D522">
        <f>'Customers Raw data'!D522</f>
        <v>200</v>
      </c>
      <c r="E522">
        <f>'Customers Raw data'!E522</f>
        <v>100</v>
      </c>
      <c r="F522">
        <f>'Customers Raw data'!F522</f>
        <v>0</v>
      </c>
      <c r="G522">
        <f>IF('Customers Raw data'!F522&lt;&gt;"",1,0)</f>
        <v>0</v>
      </c>
      <c r="H522" t="str">
        <f>IF('Customers Raw data'!F522&lt;&gt;"",YEAR(DATEVALUE('Customers Raw data'!F522)),"")</f>
        <v/>
      </c>
      <c r="I522" t="str">
        <f>IF('Customers Raw data'!F522&lt;&gt;"",MONTH(DATEVALUE('Customers Raw data'!F522)),"")</f>
        <v/>
      </c>
      <c r="J522">
        <f>YEAR(DATEVALUE('Customers Raw data'!B522))</f>
        <v>2024</v>
      </c>
      <c r="K522">
        <f>MONTH(DATEVALUE('Customers Raw data'!B522))</f>
        <v>10</v>
      </c>
      <c r="L522">
        <f ca="1">IF('Customers Raw data'!F522&lt;&gt;"",DATEDIF(DATEVALUE('Customers Raw data'!B522),DATEVALUE('Customers Raw data'!F522),"M"),DATEDIF(DATEVALUE('Customers Raw data'!B522),TODAY(),"M"))</f>
        <v>17</v>
      </c>
      <c r="M522">
        <f t="shared" ca="1" si="40"/>
        <v>3400</v>
      </c>
      <c r="N522">
        <f t="shared" si="41"/>
        <v>2</v>
      </c>
      <c r="O522">
        <f t="shared" ca="1" si="42"/>
        <v>0</v>
      </c>
      <c r="P522">
        <f t="shared" si="43"/>
        <v>0</v>
      </c>
      <c r="Q522" t="e">
        <f t="shared" si="44"/>
        <v>#VALUE!</v>
      </c>
    </row>
    <row r="523" spans="1:17" ht="15" customHeight="1" x14ac:dyDescent="0.25">
      <c r="A523">
        <f>'Customers Raw data'!A523</f>
        <v>1522</v>
      </c>
      <c r="B523" t="str">
        <f>'Customers Raw data'!B523</f>
        <v>2024-05-09</v>
      </c>
      <c r="C523" t="str">
        <f>'Customers Raw data'!C523</f>
        <v>Pro</v>
      </c>
      <c r="D523">
        <f>'Customers Raw data'!D523</f>
        <v>200</v>
      </c>
      <c r="E523">
        <f>'Customers Raw data'!E523</f>
        <v>100</v>
      </c>
      <c r="F523">
        <f>'Customers Raw data'!F523</f>
        <v>0</v>
      </c>
      <c r="G523">
        <f>IF('Customers Raw data'!F523&lt;&gt;"",1,0)</f>
        <v>0</v>
      </c>
      <c r="H523" t="str">
        <f>IF('Customers Raw data'!F523&lt;&gt;"",YEAR(DATEVALUE('Customers Raw data'!F523)),"")</f>
        <v/>
      </c>
      <c r="I523" t="str">
        <f>IF('Customers Raw data'!F523&lt;&gt;"",MONTH(DATEVALUE('Customers Raw data'!F523)),"")</f>
        <v/>
      </c>
      <c r="J523">
        <f>YEAR(DATEVALUE('Customers Raw data'!B523))</f>
        <v>2024</v>
      </c>
      <c r="K523">
        <f>MONTH(DATEVALUE('Customers Raw data'!B523))</f>
        <v>5</v>
      </c>
      <c r="L523">
        <f ca="1">IF('Customers Raw data'!F523&lt;&gt;"",DATEDIF(DATEVALUE('Customers Raw data'!B523),DATEVALUE('Customers Raw data'!F523),"M"),DATEDIF(DATEVALUE('Customers Raw data'!B523),TODAY(),"M"))</f>
        <v>22</v>
      </c>
      <c r="M523">
        <f t="shared" ca="1" si="40"/>
        <v>4400</v>
      </c>
      <c r="N523">
        <f t="shared" si="41"/>
        <v>2</v>
      </c>
      <c r="O523">
        <f t="shared" ca="1" si="42"/>
        <v>0</v>
      </c>
      <c r="P523">
        <f t="shared" si="43"/>
        <v>0</v>
      </c>
      <c r="Q523" t="e">
        <f t="shared" si="44"/>
        <v>#VALUE!</v>
      </c>
    </row>
    <row r="524" spans="1:17" ht="15" customHeight="1" x14ac:dyDescent="0.25">
      <c r="A524">
        <f>'Customers Raw data'!A524</f>
        <v>1523</v>
      </c>
      <c r="B524" t="str">
        <f>'Customers Raw data'!B524</f>
        <v>2024-11-09</v>
      </c>
      <c r="C524" t="str">
        <f>'Customers Raw data'!C524</f>
        <v>Pro</v>
      </c>
      <c r="D524">
        <f>'Customers Raw data'!D524</f>
        <v>200</v>
      </c>
      <c r="E524">
        <f>'Customers Raw data'!E524</f>
        <v>100</v>
      </c>
      <c r="F524">
        <f>'Customers Raw data'!F524</f>
        <v>0</v>
      </c>
      <c r="G524">
        <f>IF('Customers Raw data'!F524&lt;&gt;"",1,0)</f>
        <v>0</v>
      </c>
      <c r="H524" t="str">
        <f>IF('Customers Raw data'!F524&lt;&gt;"",YEAR(DATEVALUE('Customers Raw data'!F524)),"")</f>
        <v/>
      </c>
      <c r="I524" t="str">
        <f>IF('Customers Raw data'!F524&lt;&gt;"",MONTH(DATEVALUE('Customers Raw data'!F524)),"")</f>
        <v/>
      </c>
      <c r="J524">
        <f>YEAR(DATEVALUE('Customers Raw data'!B524))</f>
        <v>2024</v>
      </c>
      <c r="K524">
        <f>MONTH(DATEVALUE('Customers Raw data'!B524))</f>
        <v>11</v>
      </c>
      <c r="L524">
        <f ca="1">IF('Customers Raw data'!F524&lt;&gt;"",DATEDIF(DATEVALUE('Customers Raw data'!B524),DATEVALUE('Customers Raw data'!F524),"M"),DATEDIF(DATEVALUE('Customers Raw data'!B524),TODAY(),"M"))</f>
        <v>16</v>
      </c>
      <c r="M524">
        <f t="shared" ca="1" si="40"/>
        <v>3200</v>
      </c>
      <c r="N524">
        <f t="shared" si="41"/>
        <v>2</v>
      </c>
      <c r="O524">
        <f t="shared" ca="1" si="42"/>
        <v>0</v>
      </c>
      <c r="P524">
        <f t="shared" si="43"/>
        <v>0</v>
      </c>
      <c r="Q524" t="e">
        <f t="shared" si="44"/>
        <v>#VALUE!</v>
      </c>
    </row>
    <row r="525" spans="1:17" ht="15" customHeight="1" x14ac:dyDescent="0.25">
      <c r="A525">
        <f>'Customers Raw data'!A525</f>
        <v>1524</v>
      </c>
      <c r="B525" t="str">
        <f>'Customers Raw data'!B525</f>
        <v>2024-12-02</v>
      </c>
      <c r="C525" t="str">
        <f>'Customers Raw data'!C525</f>
        <v>Pro</v>
      </c>
      <c r="D525">
        <f>'Customers Raw data'!D525</f>
        <v>200</v>
      </c>
      <c r="E525">
        <f>'Customers Raw data'!E525</f>
        <v>100</v>
      </c>
      <c r="F525">
        <f>'Customers Raw data'!F525</f>
        <v>0</v>
      </c>
      <c r="G525">
        <f>IF('Customers Raw data'!F525&lt;&gt;"",1,0)</f>
        <v>0</v>
      </c>
      <c r="H525" t="str">
        <f>IF('Customers Raw data'!F525&lt;&gt;"",YEAR(DATEVALUE('Customers Raw data'!F525)),"")</f>
        <v/>
      </c>
      <c r="I525" t="str">
        <f>IF('Customers Raw data'!F525&lt;&gt;"",MONTH(DATEVALUE('Customers Raw data'!F525)),"")</f>
        <v/>
      </c>
      <c r="J525">
        <f>YEAR(DATEVALUE('Customers Raw data'!B525))</f>
        <v>2024</v>
      </c>
      <c r="K525">
        <f>MONTH(DATEVALUE('Customers Raw data'!B525))</f>
        <v>12</v>
      </c>
      <c r="L525">
        <f ca="1">IF('Customers Raw data'!F525&lt;&gt;"",DATEDIF(DATEVALUE('Customers Raw data'!B525),DATEVALUE('Customers Raw data'!F525),"M"),DATEDIF(DATEVALUE('Customers Raw data'!B525),TODAY(),"M"))</f>
        <v>16</v>
      </c>
      <c r="M525">
        <f t="shared" ca="1" si="40"/>
        <v>3200</v>
      </c>
      <c r="N525">
        <f t="shared" si="41"/>
        <v>2</v>
      </c>
      <c r="O525">
        <f t="shared" ca="1" si="42"/>
        <v>0</v>
      </c>
      <c r="P525">
        <f t="shared" si="43"/>
        <v>0</v>
      </c>
      <c r="Q525" t="e">
        <f t="shared" si="44"/>
        <v>#VALUE!</v>
      </c>
    </row>
    <row r="526" spans="1:17" ht="15" customHeight="1" x14ac:dyDescent="0.25">
      <c r="A526">
        <f>'Customers Raw data'!A526</f>
        <v>1525</v>
      </c>
      <c r="B526" t="str">
        <f>'Customers Raw data'!B526</f>
        <v>2025-02-25</v>
      </c>
      <c r="C526" t="str">
        <f>'Customers Raw data'!C526</f>
        <v>Enterprise</v>
      </c>
      <c r="D526">
        <f>'Customers Raw data'!D526</f>
        <v>500</v>
      </c>
      <c r="E526">
        <f>'Customers Raw data'!E526</f>
        <v>200</v>
      </c>
      <c r="F526" t="str">
        <f>'Customers Raw data'!F526</f>
        <v>2025-05-13</v>
      </c>
      <c r="G526">
        <f>IF('Customers Raw data'!F526&lt;&gt;"",1,0)</f>
        <v>1</v>
      </c>
      <c r="H526">
        <f>IF('Customers Raw data'!F526&lt;&gt;"",YEAR(DATEVALUE('Customers Raw data'!F526)),"")</f>
        <v>2025</v>
      </c>
      <c r="I526">
        <f>IF('Customers Raw data'!F526&lt;&gt;"",MONTH(DATEVALUE('Customers Raw data'!F526)),"")</f>
        <v>5</v>
      </c>
      <c r="J526">
        <f>YEAR(DATEVALUE('Customers Raw data'!B526))</f>
        <v>2025</v>
      </c>
      <c r="K526">
        <f>MONTH(DATEVALUE('Customers Raw data'!B526))</f>
        <v>2</v>
      </c>
      <c r="L526">
        <f ca="1">IF('Customers Raw data'!F526&lt;&gt;"",DATEDIF(DATEVALUE('Customers Raw data'!B526),DATEVALUE('Customers Raw data'!F526),"M"),DATEDIF(DATEVALUE('Customers Raw data'!B526),TODAY(),"M"))</f>
        <v>2</v>
      </c>
      <c r="M526">
        <f t="shared" ca="1" si="40"/>
        <v>1000</v>
      </c>
      <c r="N526">
        <f t="shared" si="41"/>
        <v>3</v>
      </c>
      <c r="O526">
        <f t="shared" ca="1" si="42"/>
        <v>1</v>
      </c>
      <c r="P526">
        <f t="shared" si="43"/>
        <v>500</v>
      </c>
      <c r="Q526" t="str">
        <f t="shared" si="44"/>
        <v>2025-05</v>
      </c>
    </row>
    <row r="527" spans="1:17" ht="15" customHeight="1" x14ac:dyDescent="0.25">
      <c r="A527">
        <f>'Customers Raw data'!A527</f>
        <v>1526</v>
      </c>
      <c r="B527" t="str">
        <f>'Customers Raw data'!B527</f>
        <v>2025-02-12</v>
      </c>
      <c r="C527" t="str">
        <f>'Customers Raw data'!C527</f>
        <v>Enterprise</v>
      </c>
      <c r="D527">
        <f>'Customers Raw data'!D527</f>
        <v>500</v>
      </c>
      <c r="E527">
        <f>'Customers Raw data'!E527</f>
        <v>200</v>
      </c>
      <c r="F527">
        <f>'Customers Raw data'!F527</f>
        <v>0</v>
      </c>
      <c r="G527">
        <f>IF('Customers Raw data'!F527&lt;&gt;"",1,0)</f>
        <v>0</v>
      </c>
      <c r="H527" t="str">
        <f>IF('Customers Raw data'!F527&lt;&gt;"",YEAR(DATEVALUE('Customers Raw data'!F527)),"")</f>
        <v/>
      </c>
      <c r="I527" t="str">
        <f>IF('Customers Raw data'!F527&lt;&gt;"",MONTH(DATEVALUE('Customers Raw data'!F527)),"")</f>
        <v/>
      </c>
      <c r="J527">
        <f>YEAR(DATEVALUE('Customers Raw data'!B527))</f>
        <v>2025</v>
      </c>
      <c r="K527">
        <f>MONTH(DATEVALUE('Customers Raw data'!B527))</f>
        <v>2</v>
      </c>
      <c r="L527">
        <f ca="1">IF('Customers Raw data'!F527&lt;&gt;"",DATEDIF(DATEVALUE('Customers Raw data'!B527),DATEVALUE('Customers Raw data'!F527),"M"),DATEDIF(DATEVALUE('Customers Raw data'!B527),TODAY(),"M"))</f>
        <v>13</v>
      </c>
      <c r="M527">
        <f t="shared" ca="1" si="40"/>
        <v>6500</v>
      </c>
      <c r="N527">
        <f t="shared" si="41"/>
        <v>3</v>
      </c>
      <c r="O527">
        <f t="shared" ca="1" si="42"/>
        <v>0</v>
      </c>
      <c r="P527">
        <f t="shared" si="43"/>
        <v>0</v>
      </c>
      <c r="Q527" t="e">
        <f t="shared" si="44"/>
        <v>#VALUE!</v>
      </c>
    </row>
    <row r="528" spans="1:17" ht="15" customHeight="1" x14ac:dyDescent="0.25">
      <c r="A528">
        <f>'Customers Raw data'!A528</f>
        <v>1527</v>
      </c>
      <c r="B528" t="str">
        <f>'Customers Raw data'!B528</f>
        <v>2024-04-25</v>
      </c>
      <c r="C528" t="str">
        <f>'Customers Raw data'!C528</f>
        <v>Pro</v>
      </c>
      <c r="D528">
        <f>'Customers Raw data'!D528</f>
        <v>200</v>
      </c>
      <c r="E528">
        <f>'Customers Raw data'!E528</f>
        <v>100</v>
      </c>
      <c r="F528">
        <f>'Customers Raw data'!F528</f>
        <v>0</v>
      </c>
      <c r="G528">
        <f>IF('Customers Raw data'!F528&lt;&gt;"",1,0)</f>
        <v>0</v>
      </c>
      <c r="H528" t="str">
        <f>IF('Customers Raw data'!F528&lt;&gt;"",YEAR(DATEVALUE('Customers Raw data'!F528)),"")</f>
        <v/>
      </c>
      <c r="I528" t="str">
        <f>IF('Customers Raw data'!F528&lt;&gt;"",MONTH(DATEVALUE('Customers Raw data'!F528)),"")</f>
        <v/>
      </c>
      <c r="J528">
        <f>YEAR(DATEVALUE('Customers Raw data'!B528))</f>
        <v>2024</v>
      </c>
      <c r="K528">
        <f>MONTH(DATEVALUE('Customers Raw data'!B528))</f>
        <v>4</v>
      </c>
      <c r="L528">
        <f ca="1">IF('Customers Raw data'!F528&lt;&gt;"",DATEDIF(DATEVALUE('Customers Raw data'!B528),DATEVALUE('Customers Raw data'!F528),"M"),DATEDIF(DATEVALUE('Customers Raw data'!B528),TODAY(),"M"))</f>
        <v>23</v>
      </c>
      <c r="M528">
        <f t="shared" ca="1" si="40"/>
        <v>4600</v>
      </c>
      <c r="N528">
        <f t="shared" si="41"/>
        <v>2</v>
      </c>
      <c r="O528">
        <f t="shared" ca="1" si="42"/>
        <v>0</v>
      </c>
      <c r="P528">
        <f t="shared" si="43"/>
        <v>0</v>
      </c>
      <c r="Q528" t="e">
        <f t="shared" si="44"/>
        <v>#VALUE!</v>
      </c>
    </row>
    <row r="529" spans="1:17" ht="15" customHeight="1" x14ac:dyDescent="0.25">
      <c r="A529">
        <f>'Customers Raw data'!A529</f>
        <v>1528</v>
      </c>
      <c r="B529" t="str">
        <f>'Customers Raw data'!B529</f>
        <v>2025-05-14</v>
      </c>
      <c r="C529" t="str">
        <f>'Customers Raw data'!C529</f>
        <v>Pro</v>
      </c>
      <c r="D529">
        <f>'Customers Raw data'!D529</f>
        <v>200</v>
      </c>
      <c r="E529">
        <f>'Customers Raw data'!E529</f>
        <v>100</v>
      </c>
      <c r="F529">
        <f>'Customers Raw data'!F529</f>
        <v>0</v>
      </c>
      <c r="G529">
        <f>IF('Customers Raw data'!F529&lt;&gt;"",1,0)</f>
        <v>0</v>
      </c>
      <c r="H529" t="str">
        <f>IF('Customers Raw data'!F529&lt;&gt;"",YEAR(DATEVALUE('Customers Raw data'!F529)),"")</f>
        <v/>
      </c>
      <c r="I529" t="str">
        <f>IF('Customers Raw data'!F529&lt;&gt;"",MONTH(DATEVALUE('Customers Raw data'!F529)),"")</f>
        <v/>
      </c>
      <c r="J529">
        <f>YEAR(DATEVALUE('Customers Raw data'!B529))</f>
        <v>2025</v>
      </c>
      <c r="K529">
        <f>MONTH(DATEVALUE('Customers Raw data'!B529))</f>
        <v>5</v>
      </c>
      <c r="L529">
        <f ca="1">IF('Customers Raw data'!F529&lt;&gt;"",DATEDIF(DATEVALUE('Customers Raw data'!B529),DATEVALUE('Customers Raw data'!F529),"M"),DATEDIF(DATEVALUE('Customers Raw data'!B529),TODAY(),"M"))</f>
        <v>10</v>
      </c>
      <c r="M529">
        <f t="shared" ca="1" si="40"/>
        <v>2000</v>
      </c>
      <c r="N529">
        <f t="shared" si="41"/>
        <v>2</v>
      </c>
      <c r="O529">
        <f t="shared" ca="1" si="42"/>
        <v>0</v>
      </c>
      <c r="P529">
        <f t="shared" si="43"/>
        <v>0</v>
      </c>
      <c r="Q529" t="e">
        <f t="shared" si="44"/>
        <v>#VALUE!</v>
      </c>
    </row>
    <row r="530" spans="1:17" ht="15" customHeight="1" x14ac:dyDescent="0.25">
      <c r="A530">
        <f>'Customers Raw data'!A530</f>
        <v>1529</v>
      </c>
      <c r="B530" t="str">
        <f>'Customers Raw data'!B530</f>
        <v>2025-02-22</v>
      </c>
      <c r="C530" t="str">
        <f>'Customers Raw data'!C530</f>
        <v>Pro</v>
      </c>
      <c r="D530">
        <f>'Customers Raw data'!D530</f>
        <v>200</v>
      </c>
      <c r="E530">
        <f>'Customers Raw data'!E530</f>
        <v>100</v>
      </c>
      <c r="F530">
        <f>'Customers Raw data'!F530</f>
        <v>0</v>
      </c>
      <c r="G530">
        <f>IF('Customers Raw data'!F530&lt;&gt;"",1,0)</f>
        <v>0</v>
      </c>
      <c r="H530" t="str">
        <f>IF('Customers Raw data'!F530&lt;&gt;"",YEAR(DATEVALUE('Customers Raw data'!F530)),"")</f>
        <v/>
      </c>
      <c r="I530" t="str">
        <f>IF('Customers Raw data'!F530&lt;&gt;"",MONTH(DATEVALUE('Customers Raw data'!F530)),"")</f>
        <v/>
      </c>
      <c r="J530">
        <f>YEAR(DATEVALUE('Customers Raw data'!B530))</f>
        <v>2025</v>
      </c>
      <c r="K530">
        <f>MONTH(DATEVALUE('Customers Raw data'!B530))</f>
        <v>2</v>
      </c>
      <c r="L530">
        <f ca="1">IF('Customers Raw data'!F530&lt;&gt;"",DATEDIF(DATEVALUE('Customers Raw data'!B530),DATEVALUE('Customers Raw data'!F530),"M"),DATEDIF(DATEVALUE('Customers Raw data'!B530),TODAY(),"M"))</f>
        <v>13</v>
      </c>
      <c r="M530">
        <f t="shared" ca="1" si="40"/>
        <v>2600</v>
      </c>
      <c r="N530">
        <f t="shared" si="41"/>
        <v>2</v>
      </c>
      <c r="O530">
        <f t="shared" ca="1" si="42"/>
        <v>0</v>
      </c>
      <c r="P530">
        <f t="shared" si="43"/>
        <v>0</v>
      </c>
      <c r="Q530" t="e">
        <f t="shared" si="44"/>
        <v>#VALUE!</v>
      </c>
    </row>
    <row r="531" spans="1:17" ht="15" customHeight="1" x14ac:dyDescent="0.25">
      <c r="A531">
        <f>'Customers Raw data'!A531</f>
        <v>1530</v>
      </c>
      <c r="B531" t="str">
        <f>'Customers Raw data'!B531</f>
        <v>2025-05-27</v>
      </c>
      <c r="C531" t="str">
        <f>'Customers Raw data'!C531</f>
        <v>Basic</v>
      </c>
      <c r="D531">
        <f>'Customers Raw data'!D531</f>
        <v>50</v>
      </c>
      <c r="E531">
        <f>'Customers Raw data'!E531</f>
        <v>30</v>
      </c>
      <c r="F531">
        <f>'Customers Raw data'!F531</f>
        <v>0</v>
      </c>
      <c r="G531">
        <f>IF('Customers Raw data'!F531&lt;&gt;"",1,0)</f>
        <v>0</v>
      </c>
      <c r="H531" t="str">
        <f>IF('Customers Raw data'!F531&lt;&gt;"",YEAR(DATEVALUE('Customers Raw data'!F531)),"")</f>
        <v/>
      </c>
      <c r="I531" t="str">
        <f>IF('Customers Raw data'!F531&lt;&gt;"",MONTH(DATEVALUE('Customers Raw data'!F531)),"")</f>
        <v/>
      </c>
      <c r="J531">
        <f>YEAR(DATEVALUE('Customers Raw data'!B531))</f>
        <v>2025</v>
      </c>
      <c r="K531">
        <f>MONTH(DATEVALUE('Customers Raw data'!B531))</f>
        <v>5</v>
      </c>
      <c r="L531">
        <f ca="1">IF('Customers Raw data'!F531&lt;&gt;"",DATEDIF(DATEVALUE('Customers Raw data'!B531),DATEVALUE('Customers Raw data'!F531),"M"),DATEDIF(DATEVALUE('Customers Raw data'!B531),TODAY(),"M"))</f>
        <v>10</v>
      </c>
      <c r="M531">
        <f t="shared" ca="1" si="40"/>
        <v>500</v>
      </c>
      <c r="N531">
        <f t="shared" si="41"/>
        <v>1</v>
      </c>
      <c r="O531">
        <f t="shared" ca="1" si="42"/>
        <v>0</v>
      </c>
      <c r="P531">
        <f t="shared" si="43"/>
        <v>0</v>
      </c>
      <c r="Q531" t="e">
        <f t="shared" si="44"/>
        <v>#VALUE!</v>
      </c>
    </row>
    <row r="532" spans="1:17" ht="15" customHeight="1" x14ac:dyDescent="0.25">
      <c r="A532">
        <f>'Customers Raw data'!A532</f>
        <v>1531</v>
      </c>
      <c r="B532" t="str">
        <f>'Customers Raw data'!B532</f>
        <v>2025-04-29</v>
      </c>
      <c r="C532" t="str">
        <f>'Customers Raw data'!C532</f>
        <v>Enterprise</v>
      </c>
      <c r="D532">
        <f>'Customers Raw data'!D532</f>
        <v>500</v>
      </c>
      <c r="E532">
        <f>'Customers Raw data'!E532</f>
        <v>200</v>
      </c>
      <c r="F532">
        <f>'Customers Raw data'!F532</f>
        <v>0</v>
      </c>
      <c r="G532">
        <f>IF('Customers Raw data'!F532&lt;&gt;"",1,0)</f>
        <v>0</v>
      </c>
      <c r="H532" t="str">
        <f>IF('Customers Raw data'!F532&lt;&gt;"",YEAR(DATEVALUE('Customers Raw data'!F532)),"")</f>
        <v/>
      </c>
      <c r="I532" t="str">
        <f>IF('Customers Raw data'!F532&lt;&gt;"",MONTH(DATEVALUE('Customers Raw data'!F532)),"")</f>
        <v/>
      </c>
      <c r="J532">
        <f>YEAR(DATEVALUE('Customers Raw data'!B532))</f>
        <v>2025</v>
      </c>
      <c r="K532">
        <f>MONTH(DATEVALUE('Customers Raw data'!B532))</f>
        <v>4</v>
      </c>
      <c r="L532">
        <f ca="1">IF('Customers Raw data'!F532&lt;&gt;"",DATEDIF(DATEVALUE('Customers Raw data'!B532),DATEVALUE('Customers Raw data'!F532),"M"),DATEDIF(DATEVALUE('Customers Raw data'!B532),TODAY(),"M"))</f>
        <v>11</v>
      </c>
      <c r="M532">
        <f t="shared" ca="1" si="40"/>
        <v>5500</v>
      </c>
      <c r="N532">
        <f t="shared" si="41"/>
        <v>3</v>
      </c>
      <c r="O532">
        <f t="shared" ca="1" si="42"/>
        <v>0</v>
      </c>
      <c r="P532">
        <f t="shared" si="43"/>
        <v>0</v>
      </c>
      <c r="Q532" t="e">
        <f t="shared" si="44"/>
        <v>#VALUE!</v>
      </c>
    </row>
    <row r="533" spans="1:17" ht="15" customHeight="1" x14ac:dyDescent="0.25">
      <c r="A533">
        <f>'Customers Raw data'!A533</f>
        <v>1532</v>
      </c>
      <c r="B533" t="str">
        <f>'Customers Raw data'!B533</f>
        <v>2024-04-02</v>
      </c>
      <c r="C533" t="str">
        <f>'Customers Raw data'!C533</f>
        <v>Enterprise</v>
      </c>
      <c r="D533">
        <f>'Customers Raw data'!D533</f>
        <v>500</v>
      </c>
      <c r="E533">
        <f>'Customers Raw data'!E533</f>
        <v>200</v>
      </c>
      <c r="F533">
        <f>'Customers Raw data'!F533</f>
        <v>0</v>
      </c>
      <c r="G533">
        <f>IF('Customers Raw data'!F533&lt;&gt;"",1,0)</f>
        <v>0</v>
      </c>
      <c r="H533" t="str">
        <f>IF('Customers Raw data'!F533&lt;&gt;"",YEAR(DATEVALUE('Customers Raw data'!F533)),"")</f>
        <v/>
      </c>
      <c r="I533" t="str">
        <f>IF('Customers Raw data'!F533&lt;&gt;"",MONTH(DATEVALUE('Customers Raw data'!F533)),"")</f>
        <v/>
      </c>
      <c r="J533">
        <f>YEAR(DATEVALUE('Customers Raw data'!B533))</f>
        <v>2024</v>
      </c>
      <c r="K533">
        <f>MONTH(DATEVALUE('Customers Raw data'!B533))</f>
        <v>4</v>
      </c>
      <c r="L533">
        <f ca="1">IF('Customers Raw data'!F533&lt;&gt;"",DATEDIF(DATEVALUE('Customers Raw data'!B533),DATEVALUE('Customers Raw data'!F533),"M"),DATEDIF(DATEVALUE('Customers Raw data'!B533),TODAY(),"M"))</f>
        <v>24</v>
      </c>
      <c r="M533">
        <f t="shared" ca="1" si="40"/>
        <v>12000</v>
      </c>
      <c r="N533">
        <f t="shared" si="41"/>
        <v>3</v>
      </c>
      <c r="O533">
        <f t="shared" ca="1" si="42"/>
        <v>0</v>
      </c>
      <c r="P533">
        <f t="shared" si="43"/>
        <v>0</v>
      </c>
      <c r="Q533" t="e">
        <f t="shared" si="44"/>
        <v>#VALUE!</v>
      </c>
    </row>
    <row r="534" spans="1:17" ht="15" customHeight="1" x14ac:dyDescent="0.25">
      <c r="A534">
        <f>'Customers Raw data'!A534</f>
        <v>1533</v>
      </c>
      <c r="B534" t="str">
        <f>'Customers Raw data'!B534</f>
        <v>2025-06-13</v>
      </c>
      <c r="C534" t="str">
        <f>'Customers Raw data'!C534</f>
        <v>Pro</v>
      </c>
      <c r="D534">
        <f>'Customers Raw data'!D534</f>
        <v>200</v>
      </c>
      <c r="E534">
        <f>'Customers Raw data'!E534</f>
        <v>100</v>
      </c>
      <c r="F534">
        <f>'Customers Raw data'!F534</f>
        <v>0</v>
      </c>
      <c r="G534">
        <f>IF('Customers Raw data'!F534&lt;&gt;"",1,0)</f>
        <v>0</v>
      </c>
      <c r="H534" t="str">
        <f>IF('Customers Raw data'!F534&lt;&gt;"",YEAR(DATEVALUE('Customers Raw data'!F534)),"")</f>
        <v/>
      </c>
      <c r="I534" t="str">
        <f>IF('Customers Raw data'!F534&lt;&gt;"",MONTH(DATEVALUE('Customers Raw data'!F534)),"")</f>
        <v/>
      </c>
      <c r="J534">
        <f>YEAR(DATEVALUE('Customers Raw data'!B534))</f>
        <v>2025</v>
      </c>
      <c r="K534">
        <f>MONTH(DATEVALUE('Customers Raw data'!B534))</f>
        <v>6</v>
      </c>
      <c r="L534">
        <f ca="1">IF('Customers Raw data'!F534&lt;&gt;"",DATEDIF(DATEVALUE('Customers Raw data'!B534),DATEVALUE('Customers Raw data'!F534),"M"),DATEDIF(DATEVALUE('Customers Raw data'!B534),TODAY(),"M"))</f>
        <v>9</v>
      </c>
      <c r="M534">
        <f t="shared" ca="1" si="40"/>
        <v>1800</v>
      </c>
      <c r="N534">
        <f t="shared" si="41"/>
        <v>2</v>
      </c>
      <c r="O534">
        <f t="shared" ca="1" si="42"/>
        <v>0</v>
      </c>
      <c r="P534">
        <f t="shared" si="43"/>
        <v>0</v>
      </c>
      <c r="Q534" t="e">
        <f t="shared" si="44"/>
        <v>#VALUE!</v>
      </c>
    </row>
    <row r="535" spans="1:17" ht="15" customHeight="1" x14ac:dyDescent="0.25">
      <c r="A535">
        <f>'Customers Raw data'!A535</f>
        <v>1534</v>
      </c>
      <c r="B535" t="str">
        <f>'Customers Raw data'!B535</f>
        <v>2024-09-24</v>
      </c>
      <c r="C535" t="str">
        <f>'Customers Raw data'!C535</f>
        <v>Enterprise</v>
      </c>
      <c r="D535">
        <f>'Customers Raw data'!D535</f>
        <v>500</v>
      </c>
      <c r="E535">
        <f>'Customers Raw data'!E535</f>
        <v>200</v>
      </c>
      <c r="F535">
        <f>'Customers Raw data'!F535</f>
        <v>0</v>
      </c>
      <c r="G535">
        <f>IF('Customers Raw data'!F535&lt;&gt;"",1,0)</f>
        <v>0</v>
      </c>
      <c r="H535" t="str">
        <f>IF('Customers Raw data'!F535&lt;&gt;"",YEAR(DATEVALUE('Customers Raw data'!F535)),"")</f>
        <v/>
      </c>
      <c r="I535" t="str">
        <f>IF('Customers Raw data'!F535&lt;&gt;"",MONTH(DATEVALUE('Customers Raw data'!F535)),"")</f>
        <v/>
      </c>
      <c r="J535">
        <f>YEAR(DATEVALUE('Customers Raw data'!B535))</f>
        <v>2024</v>
      </c>
      <c r="K535">
        <f>MONTH(DATEVALUE('Customers Raw data'!B535))</f>
        <v>9</v>
      </c>
      <c r="L535">
        <f ca="1">IF('Customers Raw data'!F535&lt;&gt;"",DATEDIF(DATEVALUE('Customers Raw data'!B535),DATEVALUE('Customers Raw data'!F535),"M"),DATEDIF(DATEVALUE('Customers Raw data'!B535),TODAY(),"M"))</f>
        <v>18</v>
      </c>
      <c r="M535">
        <f t="shared" ca="1" si="40"/>
        <v>9000</v>
      </c>
      <c r="N535">
        <f t="shared" si="41"/>
        <v>3</v>
      </c>
      <c r="O535">
        <f t="shared" ca="1" si="42"/>
        <v>0</v>
      </c>
      <c r="P535">
        <f t="shared" si="43"/>
        <v>0</v>
      </c>
      <c r="Q535" t="e">
        <f t="shared" si="44"/>
        <v>#VALUE!</v>
      </c>
    </row>
    <row r="536" spans="1:17" ht="15" customHeight="1" x14ac:dyDescent="0.25">
      <c r="A536">
        <f>'Customers Raw data'!A536</f>
        <v>1535</v>
      </c>
      <c r="B536" t="str">
        <f>'Customers Raw data'!B536</f>
        <v>2024-10-10</v>
      </c>
      <c r="C536" t="str">
        <f>'Customers Raw data'!C536</f>
        <v>Pro</v>
      </c>
      <c r="D536">
        <f>'Customers Raw data'!D536</f>
        <v>200</v>
      </c>
      <c r="E536">
        <f>'Customers Raw data'!E536</f>
        <v>100</v>
      </c>
      <c r="F536">
        <f>'Customers Raw data'!F536</f>
        <v>0</v>
      </c>
      <c r="G536">
        <f>IF('Customers Raw data'!F536&lt;&gt;"",1,0)</f>
        <v>0</v>
      </c>
      <c r="H536" t="str">
        <f>IF('Customers Raw data'!F536&lt;&gt;"",YEAR(DATEVALUE('Customers Raw data'!F536)),"")</f>
        <v/>
      </c>
      <c r="I536" t="str">
        <f>IF('Customers Raw data'!F536&lt;&gt;"",MONTH(DATEVALUE('Customers Raw data'!F536)),"")</f>
        <v/>
      </c>
      <c r="J536">
        <f>YEAR(DATEVALUE('Customers Raw data'!B536))</f>
        <v>2024</v>
      </c>
      <c r="K536">
        <f>MONTH(DATEVALUE('Customers Raw data'!B536))</f>
        <v>10</v>
      </c>
      <c r="L536">
        <f ca="1">IF('Customers Raw data'!F536&lt;&gt;"",DATEDIF(DATEVALUE('Customers Raw data'!B536),DATEVALUE('Customers Raw data'!F536),"M"),DATEDIF(DATEVALUE('Customers Raw data'!B536),TODAY(),"M"))</f>
        <v>17</v>
      </c>
      <c r="M536">
        <f t="shared" ca="1" si="40"/>
        <v>3400</v>
      </c>
      <c r="N536">
        <f t="shared" si="41"/>
        <v>2</v>
      </c>
      <c r="O536">
        <f t="shared" ca="1" si="42"/>
        <v>0</v>
      </c>
      <c r="P536">
        <f t="shared" si="43"/>
        <v>0</v>
      </c>
      <c r="Q536" t="e">
        <f t="shared" si="44"/>
        <v>#VALUE!</v>
      </c>
    </row>
    <row r="537" spans="1:17" ht="15" customHeight="1" x14ac:dyDescent="0.25">
      <c r="A537">
        <f>'Customers Raw data'!A537</f>
        <v>1536</v>
      </c>
      <c r="B537" t="str">
        <f>'Customers Raw data'!B537</f>
        <v>2024-09-05</v>
      </c>
      <c r="C537" t="str">
        <f>'Customers Raw data'!C537</f>
        <v>Pro</v>
      </c>
      <c r="D537">
        <f>'Customers Raw data'!D537</f>
        <v>200</v>
      </c>
      <c r="E537">
        <f>'Customers Raw data'!E537</f>
        <v>100</v>
      </c>
      <c r="F537">
        <f>'Customers Raw data'!F537</f>
        <v>0</v>
      </c>
      <c r="G537">
        <f>IF('Customers Raw data'!F537&lt;&gt;"",1,0)</f>
        <v>0</v>
      </c>
      <c r="H537" t="str">
        <f>IF('Customers Raw data'!F537&lt;&gt;"",YEAR(DATEVALUE('Customers Raw data'!F537)),"")</f>
        <v/>
      </c>
      <c r="I537" t="str">
        <f>IF('Customers Raw data'!F537&lt;&gt;"",MONTH(DATEVALUE('Customers Raw data'!F537)),"")</f>
        <v/>
      </c>
      <c r="J537">
        <f>YEAR(DATEVALUE('Customers Raw data'!B537))</f>
        <v>2024</v>
      </c>
      <c r="K537">
        <f>MONTH(DATEVALUE('Customers Raw data'!B537))</f>
        <v>9</v>
      </c>
      <c r="L537">
        <f ca="1">IF('Customers Raw data'!F537&lt;&gt;"",DATEDIF(DATEVALUE('Customers Raw data'!B537),DATEVALUE('Customers Raw data'!F537),"M"),DATEDIF(DATEVALUE('Customers Raw data'!B537),TODAY(),"M"))</f>
        <v>19</v>
      </c>
      <c r="M537">
        <f t="shared" ca="1" si="40"/>
        <v>3800</v>
      </c>
      <c r="N537">
        <f t="shared" si="41"/>
        <v>2</v>
      </c>
      <c r="O537">
        <f t="shared" ca="1" si="42"/>
        <v>0</v>
      </c>
      <c r="P537">
        <f t="shared" si="43"/>
        <v>0</v>
      </c>
      <c r="Q537" t="e">
        <f t="shared" si="44"/>
        <v>#VALUE!</v>
      </c>
    </row>
    <row r="538" spans="1:17" ht="15" customHeight="1" x14ac:dyDescent="0.25">
      <c r="A538">
        <f>'Customers Raw data'!A538</f>
        <v>1537</v>
      </c>
      <c r="B538" t="str">
        <f>'Customers Raw data'!B538</f>
        <v>2025-06-27</v>
      </c>
      <c r="C538" t="str">
        <f>'Customers Raw data'!C538</f>
        <v>Enterprise</v>
      </c>
      <c r="D538">
        <f>'Customers Raw data'!D538</f>
        <v>500</v>
      </c>
      <c r="E538">
        <f>'Customers Raw data'!E538</f>
        <v>200</v>
      </c>
      <c r="F538">
        <f>'Customers Raw data'!F538</f>
        <v>0</v>
      </c>
      <c r="G538">
        <f>IF('Customers Raw data'!F538&lt;&gt;"",1,0)</f>
        <v>0</v>
      </c>
      <c r="H538" t="str">
        <f>IF('Customers Raw data'!F538&lt;&gt;"",YEAR(DATEVALUE('Customers Raw data'!F538)),"")</f>
        <v/>
      </c>
      <c r="I538" t="str">
        <f>IF('Customers Raw data'!F538&lt;&gt;"",MONTH(DATEVALUE('Customers Raw data'!F538)),"")</f>
        <v/>
      </c>
      <c r="J538">
        <f>YEAR(DATEVALUE('Customers Raw data'!B538))</f>
        <v>2025</v>
      </c>
      <c r="K538">
        <f>MONTH(DATEVALUE('Customers Raw data'!B538))</f>
        <v>6</v>
      </c>
      <c r="L538">
        <f ca="1">IF('Customers Raw data'!F538&lt;&gt;"",DATEDIF(DATEVALUE('Customers Raw data'!B538),DATEVALUE('Customers Raw data'!F538),"M"),DATEDIF(DATEVALUE('Customers Raw data'!B538),TODAY(),"M"))</f>
        <v>9</v>
      </c>
      <c r="M538">
        <f t="shared" ca="1" si="40"/>
        <v>4500</v>
      </c>
      <c r="N538">
        <f t="shared" si="41"/>
        <v>3</v>
      </c>
      <c r="O538">
        <f t="shared" ca="1" si="42"/>
        <v>0</v>
      </c>
      <c r="P538">
        <f t="shared" si="43"/>
        <v>0</v>
      </c>
      <c r="Q538" t="e">
        <f t="shared" si="44"/>
        <v>#VALUE!</v>
      </c>
    </row>
    <row r="539" spans="1:17" ht="15" customHeight="1" x14ac:dyDescent="0.25">
      <c r="A539">
        <f>'Customers Raw data'!A539</f>
        <v>1538</v>
      </c>
      <c r="B539" t="str">
        <f>'Customers Raw data'!B539</f>
        <v>2024-08-26</v>
      </c>
      <c r="C539" t="str">
        <f>'Customers Raw data'!C539</f>
        <v>Pro</v>
      </c>
      <c r="D539">
        <f>'Customers Raw data'!D539</f>
        <v>200</v>
      </c>
      <c r="E539">
        <f>'Customers Raw data'!E539</f>
        <v>100</v>
      </c>
      <c r="F539">
        <f>'Customers Raw data'!F539</f>
        <v>0</v>
      </c>
      <c r="G539">
        <f>IF('Customers Raw data'!F539&lt;&gt;"",1,0)</f>
        <v>0</v>
      </c>
      <c r="H539" t="str">
        <f>IF('Customers Raw data'!F539&lt;&gt;"",YEAR(DATEVALUE('Customers Raw data'!F539)),"")</f>
        <v/>
      </c>
      <c r="I539" t="str">
        <f>IF('Customers Raw data'!F539&lt;&gt;"",MONTH(DATEVALUE('Customers Raw data'!F539)),"")</f>
        <v/>
      </c>
      <c r="J539">
        <f>YEAR(DATEVALUE('Customers Raw data'!B539))</f>
        <v>2024</v>
      </c>
      <c r="K539">
        <f>MONTH(DATEVALUE('Customers Raw data'!B539))</f>
        <v>8</v>
      </c>
      <c r="L539">
        <f ca="1">IF('Customers Raw data'!F539&lt;&gt;"",DATEDIF(DATEVALUE('Customers Raw data'!B539),DATEVALUE('Customers Raw data'!F539),"M"),DATEDIF(DATEVALUE('Customers Raw data'!B539),TODAY(),"M"))</f>
        <v>19</v>
      </c>
      <c r="M539">
        <f t="shared" ca="1" si="40"/>
        <v>3800</v>
      </c>
      <c r="N539">
        <f t="shared" si="41"/>
        <v>2</v>
      </c>
      <c r="O539">
        <f t="shared" ca="1" si="42"/>
        <v>0</v>
      </c>
      <c r="P539">
        <f t="shared" si="43"/>
        <v>0</v>
      </c>
      <c r="Q539" t="e">
        <f t="shared" si="44"/>
        <v>#VALUE!</v>
      </c>
    </row>
    <row r="540" spans="1:17" ht="15" customHeight="1" x14ac:dyDescent="0.25">
      <c r="A540">
        <f>'Customers Raw data'!A540</f>
        <v>1539</v>
      </c>
      <c r="B540" t="str">
        <f>'Customers Raw data'!B540</f>
        <v>2025-03-11</v>
      </c>
      <c r="C540" t="str">
        <f>'Customers Raw data'!C540</f>
        <v>Pro</v>
      </c>
      <c r="D540">
        <f>'Customers Raw data'!D540</f>
        <v>200</v>
      </c>
      <c r="E540">
        <f>'Customers Raw data'!E540</f>
        <v>100</v>
      </c>
      <c r="F540">
        <f>'Customers Raw data'!F540</f>
        <v>0</v>
      </c>
      <c r="G540">
        <f>IF('Customers Raw data'!F540&lt;&gt;"",1,0)</f>
        <v>0</v>
      </c>
      <c r="H540" t="str">
        <f>IF('Customers Raw data'!F540&lt;&gt;"",YEAR(DATEVALUE('Customers Raw data'!F540)),"")</f>
        <v/>
      </c>
      <c r="I540" t="str">
        <f>IF('Customers Raw data'!F540&lt;&gt;"",MONTH(DATEVALUE('Customers Raw data'!F540)),"")</f>
        <v/>
      </c>
      <c r="J540">
        <f>YEAR(DATEVALUE('Customers Raw data'!B540))</f>
        <v>2025</v>
      </c>
      <c r="K540">
        <f>MONTH(DATEVALUE('Customers Raw data'!B540))</f>
        <v>3</v>
      </c>
      <c r="L540">
        <f ca="1">IF('Customers Raw data'!F540&lt;&gt;"",DATEDIF(DATEVALUE('Customers Raw data'!B540),DATEVALUE('Customers Raw data'!F540),"M"),DATEDIF(DATEVALUE('Customers Raw data'!B540),TODAY(),"M"))</f>
        <v>12</v>
      </c>
      <c r="M540">
        <f t="shared" ca="1" si="40"/>
        <v>2400</v>
      </c>
      <c r="N540">
        <f t="shared" si="41"/>
        <v>2</v>
      </c>
      <c r="O540">
        <f t="shared" ca="1" si="42"/>
        <v>0</v>
      </c>
      <c r="P540">
        <f t="shared" si="43"/>
        <v>0</v>
      </c>
      <c r="Q540" t="e">
        <f t="shared" si="44"/>
        <v>#VALUE!</v>
      </c>
    </row>
    <row r="541" spans="1:17" ht="15" customHeight="1" x14ac:dyDescent="0.25">
      <c r="A541">
        <f>'Customers Raw data'!A541</f>
        <v>1540</v>
      </c>
      <c r="B541" t="str">
        <f>'Customers Raw data'!B541</f>
        <v>2024-10-16</v>
      </c>
      <c r="C541" t="str">
        <f>'Customers Raw data'!C541</f>
        <v>Pro</v>
      </c>
      <c r="D541">
        <f>'Customers Raw data'!D541</f>
        <v>200</v>
      </c>
      <c r="E541">
        <f>'Customers Raw data'!E541</f>
        <v>100</v>
      </c>
      <c r="F541">
        <f>'Customers Raw data'!F541</f>
        <v>0</v>
      </c>
      <c r="G541">
        <f>IF('Customers Raw data'!F541&lt;&gt;"",1,0)</f>
        <v>0</v>
      </c>
      <c r="H541" t="str">
        <f>IF('Customers Raw data'!F541&lt;&gt;"",YEAR(DATEVALUE('Customers Raw data'!F541)),"")</f>
        <v/>
      </c>
      <c r="I541" t="str">
        <f>IF('Customers Raw data'!F541&lt;&gt;"",MONTH(DATEVALUE('Customers Raw data'!F541)),"")</f>
        <v/>
      </c>
      <c r="J541">
        <f>YEAR(DATEVALUE('Customers Raw data'!B541))</f>
        <v>2024</v>
      </c>
      <c r="K541">
        <f>MONTH(DATEVALUE('Customers Raw data'!B541))</f>
        <v>10</v>
      </c>
      <c r="L541">
        <f ca="1">IF('Customers Raw data'!F541&lt;&gt;"",DATEDIF(DATEVALUE('Customers Raw data'!B541),DATEVALUE('Customers Raw data'!F541),"M"),DATEDIF(DATEVALUE('Customers Raw data'!B541),TODAY(),"M"))</f>
        <v>17</v>
      </c>
      <c r="M541">
        <f t="shared" ca="1" si="40"/>
        <v>3400</v>
      </c>
      <c r="N541">
        <f t="shared" si="41"/>
        <v>2</v>
      </c>
      <c r="O541">
        <f t="shared" ca="1" si="42"/>
        <v>0</v>
      </c>
      <c r="P541">
        <f t="shared" si="43"/>
        <v>0</v>
      </c>
      <c r="Q541" t="e">
        <f t="shared" si="44"/>
        <v>#VALUE!</v>
      </c>
    </row>
    <row r="542" spans="1:17" ht="15" customHeight="1" x14ac:dyDescent="0.25">
      <c r="A542">
        <f>'Customers Raw data'!A542</f>
        <v>1541</v>
      </c>
      <c r="B542" t="str">
        <f>'Customers Raw data'!B542</f>
        <v>2024-11-25</v>
      </c>
      <c r="C542" t="str">
        <f>'Customers Raw data'!C542</f>
        <v>Pro</v>
      </c>
      <c r="D542">
        <f>'Customers Raw data'!D542</f>
        <v>200</v>
      </c>
      <c r="E542">
        <f>'Customers Raw data'!E542</f>
        <v>100</v>
      </c>
      <c r="F542">
        <f>'Customers Raw data'!F542</f>
        <v>0</v>
      </c>
      <c r="G542">
        <f>IF('Customers Raw data'!F542&lt;&gt;"",1,0)</f>
        <v>0</v>
      </c>
      <c r="H542" t="str">
        <f>IF('Customers Raw data'!F542&lt;&gt;"",YEAR(DATEVALUE('Customers Raw data'!F542)),"")</f>
        <v/>
      </c>
      <c r="I542" t="str">
        <f>IF('Customers Raw data'!F542&lt;&gt;"",MONTH(DATEVALUE('Customers Raw data'!F542)),"")</f>
        <v/>
      </c>
      <c r="J542">
        <f>YEAR(DATEVALUE('Customers Raw data'!B542))</f>
        <v>2024</v>
      </c>
      <c r="K542">
        <f>MONTH(DATEVALUE('Customers Raw data'!B542))</f>
        <v>11</v>
      </c>
      <c r="L542">
        <f ca="1">IF('Customers Raw data'!F542&lt;&gt;"",DATEDIF(DATEVALUE('Customers Raw data'!B542),DATEVALUE('Customers Raw data'!F542),"M"),DATEDIF(DATEVALUE('Customers Raw data'!B542),TODAY(),"M"))</f>
        <v>16</v>
      </c>
      <c r="M542">
        <f t="shared" ca="1" si="40"/>
        <v>3200</v>
      </c>
      <c r="N542">
        <f t="shared" si="41"/>
        <v>2</v>
      </c>
      <c r="O542">
        <f t="shared" ca="1" si="42"/>
        <v>0</v>
      </c>
      <c r="P542">
        <f t="shared" si="43"/>
        <v>0</v>
      </c>
      <c r="Q542" t="e">
        <f t="shared" si="44"/>
        <v>#VALUE!</v>
      </c>
    </row>
    <row r="543" spans="1:17" ht="15" customHeight="1" x14ac:dyDescent="0.25">
      <c r="A543">
        <f>'Customers Raw data'!A543</f>
        <v>1542</v>
      </c>
      <c r="B543" t="str">
        <f>'Customers Raw data'!B543</f>
        <v>2024-06-16</v>
      </c>
      <c r="C543" t="str">
        <f>'Customers Raw data'!C543</f>
        <v>Basic</v>
      </c>
      <c r="D543">
        <f>'Customers Raw data'!D543</f>
        <v>50</v>
      </c>
      <c r="E543">
        <f>'Customers Raw data'!E543</f>
        <v>30</v>
      </c>
      <c r="F543">
        <f>'Customers Raw data'!F543</f>
        <v>0</v>
      </c>
      <c r="G543">
        <f>IF('Customers Raw data'!F543&lt;&gt;"",1,0)</f>
        <v>0</v>
      </c>
      <c r="H543" t="str">
        <f>IF('Customers Raw data'!F543&lt;&gt;"",YEAR(DATEVALUE('Customers Raw data'!F543)),"")</f>
        <v/>
      </c>
      <c r="I543" t="str">
        <f>IF('Customers Raw data'!F543&lt;&gt;"",MONTH(DATEVALUE('Customers Raw data'!F543)),"")</f>
        <v/>
      </c>
      <c r="J543">
        <f>YEAR(DATEVALUE('Customers Raw data'!B543))</f>
        <v>2024</v>
      </c>
      <c r="K543">
        <f>MONTH(DATEVALUE('Customers Raw data'!B543))</f>
        <v>6</v>
      </c>
      <c r="L543">
        <f ca="1">IF('Customers Raw data'!F543&lt;&gt;"",DATEDIF(DATEVALUE('Customers Raw data'!B543),DATEVALUE('Customers Raw data'!F543),"M"),DATEDIF(DATEVALUE('Customers Raw data'!B543),TODAY(),"M"))</f>
        <v>21</v>
      </c>
      <c r="M543">
        <f t="shared" ca="1" si="40"/>
        <v>1050</v>
      </c>
      <c r="N543">
        <f t="shared" si="41"/>
        <v>1</v>
      </c>
      <c r="O543">
        <f t="shared" ca="1" si="42"/>
        <v>0</v>
      </c>
      <c r="P543">
        <f t="shared" si="43"/>
        <v>0</v>
      </c>
      <c r="Q543" t="e">
        <f t="shared" si="44"/>
        <v>#VALUE!</v>
      </c>
    </row>
    <row r="544" spans="1:17" ht="15" customHeight="1" x14ac:dyDescent="0.25">
      <c r="A544">
        <f>'Customers Raw data'!A544</f>
        <v>1543</v>
      </c>
      <c r="B544" t="str">
        <f>'Customers Raw data'!B544</f>
        <v>2024-02-12</v>
      </c>
      <c r="C544" t="str">
        <f>'Customers Raw data'!C544</f>
        <v>Enterprise</v>
      </c>
      <c r="D544">
        <f>'Customers Raw data'!D544</f>
        <v>500</v>
      </c>
      <c r="E544">
        <f>'Customers Raw data'!E544</f>
        <v>200</v>
      </c>
      <c r="F544">
        <f>'Customers Raw data'!F544</f>
        <v>0</v>
      </c>
      <c r="G544">
        <f>IF('Customers Raw data'!F544&lt;&gt;"",1,0)</f>
        <v>0</v>
      </c>
      <c r="H544" t="str">
        <f>IF('Customers Raw data'!F544&lt;&gt;"",YEAR(DATEVALUE('Customers Raw data'!F544)),"")</f>
        <v/>
      </c>
      <c r="I544" t="str">
        <f>IF('Customers Raw data'!F544&lt;&gt;"",MONTH(DATEVALUE('Customers Raw data'!F544)),"")</f>
        <v/>
      </c>
      <c r="J544">
        <f>YEAR(DATEVALUE('Customers Raw data'!B544))</f>
        <v>2024</v>
      </c>
      <c r="K544">
        <f>MONTH(DATEVALUE('Customers Raw data'!B544))</f>
        <v>2</v>
      </c>
      <c r="L544">
        <f ca="1">IF('Customers Raw data'!F544&lt;&gt;"",DATEDIF(DATEVALUE('Customers Raw data'!B544),DATEVALUE('Customers Raw data'!F544),"M"),DATEDIF(DATEVALUE('Customers Raw data'!B544),TODAY(),"M"))</f>
        <v>25</v>
      </c>
      <c r="M544">
        <f t="shared" ca="1" si="40"/>
        <v>12500</v>
      </c>
      <c r="N544">
        <f t="shared" si="41"/>
        <v>3</v>
      </c>
      <c r="O544">
        <f t="shared" ca="1" si="42"/>
        <v>0</v>
      </c>
      <c r="P544">
        <f t="shared" si="43"/>
        <v>0</v>
      </c>
      <c r="Q544" t="e">
        <f t="shared" si="44"/>
        <v>#VALUE!</v>
      </c>
    </row>
    <row r="545" spans="1:17" ht="15" customHeight="1" x14ac:dyDescent="0.25">
      <c r="A545">
        <f>'Customers Raw data'!A545</f>
        <v>1544</v>
      </c>
      <c r="B545" t="str">
        <f>'Customers Raw data'!B545</f>
        <v>2024-11-02</v>
      </c>
      <c r="C545" t="str">
        <f>'Customers Raw data'!C545</f>
        <v>Pro</v>
      </c>
      <c r="D545">
        <f>'Customers Raw data'!D545</f>
        <v>200</v>
      </c>
      <c r="E545">
        <f>'Customers Raw data'!E545</f>
        <v>100</v>
      </c>
      <c r="F545" t="str">
        <f>'Customers Raw data'!F545</f>
        <v>2025-04-28</v>
      </c>
      <c r="G545">
        <f>IF('Customers Raw data'!F545&lt;&gt;"",1,0)</f>
        <v>1</v>
      </c>
      <c r="H545">
        <f>IF('Customers Raw data'!F545&lt;&gt;"",YEAR(DATEVALUE('Customers Raw data'!F545)),"")</f>
        <v>2025</v>
      </c>
      <c r="I545">
        <f>IF('Customers Raw data'!F545&lt;&gt;"",MONTH(DATEVALUE('Customers Raw data'!F545)),"")</f>
        <v>4</v>
      </c>
      <c r="J545">
        <f>YEAR(DATEVALUE('Customers Raw data'!B545))</f>
        <v>2024</v>
      </c>
      <c r="K545">
        <f>MONTH(DATEVALUE('Customers Raw data'!B545))</f>
        <v>11</v>
      </c>
      <c r="L545">
        <f ca="1">IF('Customers Raw data'!F545&lt;&gt;"",DATEDIF(DATEVALUE('Customers Raw data'!B545),DATEVALUE('Customers Raw data'!F545),"M"),DATEDIF(DATEVALUE('Customers Raw data'!B545),TODAY(),"M"))</f>
        <v>5</v>
      </c>
      <c r="M545">
        <f t="shared" ca="1" si="40"/>
        <v>1000</v>
      </c>
      <c r="N545">
        <f t="shared" si="41"/>
        <v>2</v>
      </c>
      <c r="O545">
        <f t="shared" ca="1" si="42"/>
        <v>1</v>
      </c>
      <c r="P545">
        <f t="shared" si="43"/>
        <v>200</v>
      </c>
      <c r="Q545" t="str">
        <f t="shared" si="44"/>
        <v>2025-04</v>
      </c>
    </row>
    <row r="546" spans="1:17" ht="15" customHeight="1" x14ac:dyDescent="0.25">
      <c r="A546">
        <f>'Customers Raw data'!A546</f>
        <v>1545</v>
      </c>
      <c r="B546" t="str">
        <f>'Customers Raw data'!B546</f>
        <v>2024-11-16</v>
      </c>
      <c r="C546" t="str">
        <f>'Customers Raw data'!C546</f>
        <v>Basic</v>
      </c>
      <c r="D546">
        <f>'Customers Raw data'!D546</f>
        <v>50</v>
      </c>
      <c r="E546">
        <f>'Customers Raw data'!E546</f>
        <v>30</v>
      </c>
      <c r="F546">
        <f>'Customers Raw data'!F546</f>
        <v>0</v>
      </c>
      <c r="G546">
        <f>IF('Customers Raw data'!F546&lt;&gt;"",1,0)</f>
        <v>0</v>
      </c>
      <c r="H546" t="str">
        <f>IF('Customers Raw data'!F546&lt;&gt;"",YEAR(DATEVALUE('Customers Raw data'!F546)),"")</f>
        <v/>
      </c>
      <c r="I546" t="str">
        <f>IF('Customers Raw data'!F546&lt;&gt;"",MONTH(DATEVALUE('Customers Raw data'!F546)),"")</f>
        <v/>
      </c>
      <c r="J546">
        <f>YEAR(DATEVALUE('Customers Raw data'!B546))</f>
        <v>2024</v>
      </c>
      <c r="K546">
        <f>MONTH(DATEVALUE('Customers Raw data'!B546))</f>
        <v>11</v>
      </c>
      <c r="L546">
        <f ca="1">IF('Customers Raw data'!F546&lt;&gt;"",DATEDIF(DATEVALUE('Customers Raw data'!B546),DATEVALUE('Customers Raw data'!F546),"M"),DATEDIF(DATEVALUE('Customers Raw data'!B546),TODAY(),"M"))</f>
        <v>16</v>
      </c>
      <c r="M546">
        <f t="shared" ca="1" si="40"/>
        <v>800</v>
      </c>
      <c r="N546">
        <f t="shared" si="41"/>
        <v>1</v>
      </c>
      <c r="O546">
        <f t="shared" ca="1" si="42"/>
        <v>0</v>
      </c>
      <c r="P546">
        <f t="shared" si="43"/>
        <v>0</v>
      </c>
      <c r="Q546" t="e">
        <f t="shared" si="44"/>
        <v>#VALUE!</v>
      </c>
    </row>
    <row r="547" spans="1:17" ht="15" customHeight="1" x14ac:dyDescent="0.25">
      <c r="A547">
        <f>'Customers Raw data'!A547</f>
        <v>1546</v>
      </c>
      <c r="B547" t="str">
        <f>'Customers Raw data'!B547</f>
        <v>2025-05-27</v>
      </c>
      <c r="C547" t="str">
        <f>'Customers Raw data'!C547</f>
        <v>Pro</v>
      </c>
      <c r="D547">
        <f>'Customers Raw data'!D547</f>
        <v>200</v>
      </c>
      <c r="E547">
        <f>'Customers Raw data'!E547</f>
        <v>100</v>
      </c>
      <c r="F547">
        <f>'Customers Raw data'!F547</f>
        <v>0</v>
      </c>
      <c r="G547">
        <f>IF('Customers Raw data'!F547&lt;&gt;"",1,0)</f>
        <v>0</v>
      </c>
      <c r="H547" t="str">
        <f>IF('Customers Raw data'!F547&lt;&gt;"",YEAR(DATEVALUE('Customers Raw data'!F547)),"")</f>
        <v/>
      </c>
      <c r="I547" t="str">
        <f>IF('Customers Raw data'!F547&lt;&gt;"",MONTH(DATEVALUE('Customers Raw data'!F547)),"")</f>
        <v/>
      </c>
      <c r="J547">
        <f>YEAR(DATEVALUE('Customers Raw data'!B547))</f>
        <v>2025</v>
      </c>
      <c r="K547">
        <f>MONTH(DATEVALUE('Customers Raw data'!B547))</f>
        <v>5</v>
      </c>
      <c r="L547">
        <f ca="1">IF('Customers Raw data'!F547&lt;&gt;"",DATEDIF(DATEVALUE('Customers Raw data'!B547),DATEVALUE('Customers Raw data'!F547),"M"),DATEDIF(DATEVALUE('Customers Raw data'!B547),TODAY(),"M"))</f>
        <v>10</v>
      </c>
      <c r="M547">
        <f t="shared" ca="1" si="40"/>
        <v>2000</v>
      </c>
      <c r="N547">
        <f t="shared" si="41"/>
        <v>2</v>
      </c>
      <c r="O547">
        <f t="shared" ca="1" si="42"/>
        <v>0</v>
      </c>
      <c r="P547">
        <f t="shared" si="43"/>
        <v>0</v>
      </c>
      <c r="Q547" t="e">
        <f t="shared" si="44"/>
        <v>#VALUE!</v>
      </c>
    </row>
    <row r="548" spans="1:17" ht="15" customHeight="1" x14ac:dyDescent="0.25">
      <c r="A548">
        <f>'Customers Raw data'!A548</f>
        <v>1547</v>
      </c>
      <c r="B548" t="str">
        <f>'Customers Raw data'!B548</f>
        <v>2024-07-15</v>
      </c>
      <c r="C548" t="str">
        <f>'Customers Raw data'!C548</f>
        <v>Enterprise</v>
      </c>
      <c r="D548">
        <f>'Customers Raw data'!D548</f>
        <v>500</v>
      </c>
      <c r="E548">
        <f>'Customers Raw data'!E548</f>
        <v>200</v>
      </c>
      <c r="F548">
        <f>'Customers Raw data'!F548</f>
        <v>0</v>
      </c>
      <c r="G548">
        <f>IF('Customers Raw data'!F548&lt;&gt;"",1,0)</f>
        <v>0</v>
      </c>
      <c r="H548" t="str">
        <f>IF('Customers Raw data'!F548&lt;&gt;"",YEAR(DATEVALUE('Customers Raw data'!F548)),"")</f>
        <v/>
      </c>
      <c r="I548" t="str">
        <f>IF('Customers Raw data'!F548&lt;&gt;"",MONTH(DATEVALUE('Customers Raw data'!F548)),"")</f>
        <v/>
      </c>
      <c r="J548">
        <f>YEAR(DATEVALUE('Customers Raw data'!B548))</f>
        <v>2024</v>
      </c>
      <c r="K548">
        <f>MONTH(DATEVALUE('Customers Raw data'!B548))</f>
        <v>7</v>
      </c>
      <c r="L548">
        <f ca="1">IF('Customers Raw data'!F548&lt;&gt;"",DATEDIF(DATEVALUE('Customers Raw data'!B548),DATEVALUE('Customers Raw data'!F548),"M"),DATEDIF(DATEVALUE('Customers Raw data'!B548),TODAY(),"M"))</f>
        <v>20</v>
      </c>
      <c r="M548">
        <f t="shared" ca="1" si="40"/>
        <v>10000</v>
      </c>
      <c r="N548">
        <f t="shared" si="41"/>
        <v>3</v>
      </c>
      <c r="O548">
        <f t="shared" ca="1" si="42"/>
        <v>0</v>
      </c>
      <c r="P548">
        <f t="shared" si="43"/>
        <v>0</v>
      </c>
      <c r="Q548" t="e">
        <f t="shared" si="44"/>
        <v>#VALUE!</v>
      </c>
    </row>
    <row r="549" spans="1:17" ht="15" customHeight="1" x14ac:dyDescent="0.25">
      <c r="A549">
        <f>'Customers Raw data'!A549</f>
        <v>1548</v>
      </c>
      <c r="B549" t="str">
        <f>'Customers Raw data'!B549</f>
        <v>2024-01-01</v>
      </c>
      <c r="C549" t="str">
        <f>'Customers Raw data'!C549</f>
        <v>Basic</v>
      </c>
      <c r="D549">
        <f>'Customers Raw data'!D549</f>
        <v>50</v>
      </c>
      <c r="E549">
        <f>'Customers Raw data'!E549</f>
        <v>30</v>
      </c>
      <c r="F549">
        <f>'Customers Raw data'!F549</f>
        <v>0</v>
      </c>
      <c r="G549">
        <f>IF('Customers Raw data'!F549&lt;&gt;"",1,0)</f>
        <v>0</v>
      </c>
      <c r="H549" t="str">
        <f>IF('Customers Raw data'!F549&lt;&gt;"",YEAR(DATEVALUE('Customers Raw data'!F549)),"")</f>
        <v/>
      </c>
      <c r="I549" t="str">
        <f>IF('Customers Raw data'!F549&lt;&gt;"",MONTH(DATEVALUE('Customers Raw data'!F549)),"")</f>
        <v/>
      </c>
      <c r="J549">
        <f>YEAR(DATEVALUE('Customers Raw data'!B549))</f>
        <v>2024</v>
      </c>
      <c r="K549">
        <f>MONTH(DATEVALUE('Customers Raw data'!B549))</f>
        <v>1</v>
      </c>
      <c r="L549">
        <f ca="1">IF('Customers Raw data'!F549&lt;&gt;"",DATEDIF(DATEVALUE('Customers Raw data'!B549),DATEVALUE('Customers Raw data'!F549),"M"),DATEDIF(DATEVALUE('Customers Raw data'!B549),TODAY(),"M"))</f>
        <v>27</v>
      </c>
      <c r="M549">
        <f t="shared" ca="1" si="40"/>
        <v>1350</v>
      </c>
      <c r="N549">
        <f t="shared" si="41"/>
        <v>1</v>
      </c>
      <c r="O549">
        <f t="shared" ca="1" si="42"/>
        <v>0</v>
      </c>
      <c r="P549">
        <f t="shared" si="43"/>
        <v>0</v>
      </c>
      <c r="Q549" t="e">
        <f t="shared" si="44"/>
        <v>#VALUE!</v>
      </c>
    </row>
    <row r="550" spans="1:17" ht="15" customHeight="1" x14ac:dyDescent="0.25">
      <c r="A550">
        <f>'Customers Raw data'!A550</f>
        <v>1549</v>
      </c>
      <c r="B550" t="str">
        <f>'Customers Raw data'!B550</f>
        <v>2024-04-24</v>
      </c>
      <c r="C550" t="str">
        <f>'Customers Raw data'!C550</f>
        <v>Pro</v>
      </c>
      <c r="D550">
        <f>'Customers Raw data'!D550</f>
        <v>200</v>
      </c>
      <c r="E550">
        <f>'Customers Raw data'!E550</f>
        <v>100</v>
      </c>
      <c r="F550">
        <f>'Customers Raw data'!F550</f>
        <v>0</v>
      </c>
      <c r="G550">
        <f>IF('Customers Raw data'!F550&lt;&gt;"",1,0)</f>
        <v>0</v>
      </c>
      <c r="H550" t="str">
        <f>IF('Customers Raw data'!F550&lt;&gt;"",YEAR(DATEVALUE('Customers Raw data'!F550)),"")</f>
        <v/>
      </c>
      <c r="I550" t="str">
        <f>IF('Customers Raw data'!F550&lt;&gt;"",MONTH(DATEVALUE('Customers Raw data'!F550)),"")</f>
        <v/>
      </c>
      <c r="J550">
        <f>YEAR(DATEVALUE('Customers Raw data'!B550))</f>
        <v>2024</v>
      </c>
      <c r="K550">
        <f>MONTH(DATEVALUE('Customers Raw data'!B550))</f>
        <v>4</v>
      </c>
      <c r="L550">
        <f ca="1">IF('Customers Raw data'!F550&lt;&gt;"",DATEDIF(DATEVALUE('Customers Raw data'!B550),DATEVALUE('Customers Raw data'!F550),"M"),DATEDIF(DATEVALUE('Customers Raw data'!B550),TODAY(),"M"))</f>
        <v>23</v>
      </c>
      <c r="M550">
        <f t="shared" ca="1" si="40"/>
        <v>4600</v>
      </c>
      <c r="N550">
        <f t="shared" si="41"/>
        <v>2</v>
      </c>
      <c r="O550">
        <f t="shared" ca="1" si="42"/>
        <v>0</v>
      </c>
      <c r="P550">
        <f t="shared" si="43"/>
        <v>0</v>
      </c>
      <c r="Q550" t="e">
        <f t="shared" si="44"/>
        <v>#VALUE!</v>
      </c>
    </row>
    <row r="551" spans="1:17" ht="15" customHeight="1" x14ac:dyDescent="0.25">
      <c r="A551">
        <f>'Customers Raw data'!A551</f>
        <v>1550</v>
      </c>
      <c r="B551" t="str">
        <f>'Customers Raw data'!B551</f>
        <v>2024-01-05</v>
      </c>
      <c r="C551" t="str">
        <f>'Customers Raw data'!C551</f>
        <v>Basic</v>
      </c>
      <c r="D551">
        <f>'Customers Raw data'!D551</f>
        <v>50</v>
      </c>
      <c r="E551">
        <f>'Customers Raw data'!E551</f>
        <v>30</v>
      </c>
      <c r="F551">
        <f>'Customers Raw data'!F551</f>
        <v>0</v>
      </c>
      <c r="G551">
        <f>IF('Customers Raw data'!F551&lt;&gt;"",1,0)</f>
        <v>0</v>
      </c>
      <c r="H551" t="str">
        <f>IF('Customers Raw data'!F551&lt;&gt;"",YEAR(DATEVALUE('Customers Raw data'!F551)),"")</f>
        <v/>
      </c>
      <c r="I551" t="str">
        <f>IF('Customers Raw data'!F551&lt;&gt;"",MONTH(DATEVALUE('Customers Raw data'!F551)),"")</f>
        <v/>
      </c>
      <c r="J551">
        <f>YEAR(DATEVALUE('Customers Raw data'!B551))</f>
        <v>2024</v>
      </c>
      <c r="K551">
        <f>MONTH(DATEVALUE('Customers Raw data'!B551))</f>
        <v>1</v>
      </c>
      <c r="L551">
        <f ca="1">IF('Customers Raw data'!F551&lt;&gt;"",DATEDIF(DATEVALUE('Customers Raw data'!B551),DATEVALUE('Customers Raw data'!F551),"M"),DATEDIF(DATEVALUE('Customers Raw data'!B551),TODAY(),"M"))</f>
        <v>27</v>
      </c>
      <c r="M551">
        <f t="shared" ca="1" si="40"/>
        <v>1350</v>
      </c>
      <c r="N551">
        <f t="shared" si="41"/>
        <v>1</v>
      </c>
      <c r="O551">
        <f t="shared" ca="1" si="42"/>
        <v>0</v>
      </c>
      <c r="P551">
        <f t="shared" si="43"/>
        <v>0</v>
      </c>
      <c r="Q551" t="e">
        <f t="shared" si="44"/>
        <v>#VALUE!</v>
      </c>
    </row>
    <row r="552" spans="1:17" ht="15" customHeight="1" x14ac:dyDescent="0.25">
      <c r="A552">
        <f>'Customers Raw data'!A552</f>
        <v>1551</v>
      </c>
      <c r="B552" t="str">
        <f>'Customers Raw data'!B552</f>
        <v>2024-02-24</v>
      </c>
      <c r="C552" t="str">
        <f>'Customers Raw data'!C552</f>
        <v>Basic</v>
      </c>
      <c r="D552">
        <f>'Customers Raw data'!D552</f>
        <v>50</v>
      </c>
      <c r="E552">
        <f>'Customers Raw data'!E552</f>
        <v>30</v>
      </c>
      <c r="F552">
        <f>'Customers Raw data'!F552</f>
        <v>0</v>
      </c>
      <c r="G552">
        <f>IF('Customers Raw data'!F552&lt;&gt;"",1,0)</f>
        <v>0</v>
      </c>
      <c r="H552" t="str">
        <f>IF('Customers Raw data'!F552&lt;&gt;"",YEAR(DATEVALUE('Customers Raw data'!F552)),"")</f>
        <v/>
      </c>
      <c r="I552" t="str">
        <f>IF('Customers Raw data'!F552&lt;&gt;"",MONTH(DATEVALUE('Customers Raw data'!F552)),"")</f>
        <v/>
      </c>
      <c r="J552">
        <f>YEAR(DATEVALUE('Customers Raw data'!B552))</f>
        <v>2024</v>
      </c>
      <c r="K552">
        <f>MONTH(DATEVALUE('Customers Raw data'!B552))</f>
        <v>2</v>
      </c>
      <c r="L552">
        <f ca="1">IF('Customers Raw data'!F552&lt;&gt;"",DATEDIF(DATEVALUE('Customers Raw data'!B552),DATEVALUE('Customers Raw data'!F552),"M"),DATEDIF(DATEVALUE('Customers Raw data'!B552),TODAY(),"M"))</f>
        <v>25</v>
      </c>
      <c r="M552">
        <f t="shared" ca="1" si="40"/>
        <v>1250</v>
      </c>
      <c r="N552">
        <f t="shared" si="41"/>
        <v>1</v>
      </c>
      <c r="O552">
        <f t="shared" ca="1" si="42"/>
        <v>0</v>
      </c>
      <c r="P552">
        <f t="shared" si="43"/>
        <v>0</v>
      </c>
      <c r="Q552" t="e">
        <f t="shared" si="44"/>
        <v>#VALUE!</v>
      </c>
    </row>
    <row r="553" spans="1:17" ht="15" customHeight="1" x14ac:dyDescent="0.25">
      <c r="A553">
        <f>'Customers Raw data'!A553</f>
        <v>1552</v>
      </c>
      <c r="B553" t="str">
        <f>'Customers Raw data'!B553</f>
        <v>2024-07-08</v>
      </c>
      <c r="C553" t="str">
        <f>'Customers Raw data'!C553</f>
        <v>Enterprise</v>
      </c>
      <c r="D553">
        <f>'Customers Raw data'!D553</f>
        <v>500</v>
      </c>
      <c r="E553">
        <f>'Customers Raw data'!E553</f>
        <v>200</v>
      </c>
      <c r="F553" t="str">
        <f>'Customers Raw data'!F553</f>
        <v>2025-03-12</v>
      </c>
      <c r="G553">
        <f>IF('Customers Raw data'!F553&lt;&gt;"",1,0)</f>
        <v>1</v>
      </c>
      <c r="H553">
        <f>IF('Customers Raw data'!F553&lt;&gt;"",YEAR(DATEVALUE('Customers Raw data'!F553)),"")</f>
        <v>2025</v>
      </c>
      <c r="I553">
        <f>IF('Customers Raw data'!F553&lt;&gt;"",MONTH(DATEVALUE('Customers Raw data'!F553)),"")</f>
        <v>3</v>
      </c>
      <c r="J553">
        <f>YEAR(DATEVALUE('Customers Raw data'!B553))</f>
        <v>2024</v>
      </c>
      <c r="K553">
        <f>MONTH(DATEVALUE('Customers Raw data'!B553))</f>
        <v>7</v>
      </c>
      <c r="L553">
        <f ca="1">IF('Customers Raw data'!F553&lt;&gt;"",DATEDIF(DATEVALUE('Customers Raw data'!B553),DATEVALUE('Customers Raw data'!F553),"M"),DATEDIF(DATEVALUE('Customers Raw data'!B553),TODAY(),"M"))</f>
        <v>8</v>
      </c>
      <c r="M553">
        <f t="shared" ca="1" si="40"/>
        <v>4000</v>
      </c>
      <c r="N553">
        <f t="shared" si="41"/>
        <v>3</v>
      </c>
      <c r="O553">
        <f t="shared" ca="1" si="42"/>
        <v>0</v>
      </c>
      <c r="P553">
        <f t="shared" si="43"/>
        <v>500</v>
      </c>
      <c r="Q553" t="str">
        <f t="shared" si="44"/>
        <v>2025-03</v>
      </c>
    </row>
    <row r="554" spans="1:17" ht="15" customHeight="1" x14ac:dyDescent="0.25">
      <c r="A554">
        <f>'Customers Raw data'!A554</f>
        <v>1553</v>
      </c>
      <c r="B554" t="str">
        <f>'Customers Raw data'!B554</f>
        <v>2024-01-17</v>
      </c>
      <c r="C554" t="str">
        <f>'Customers Raw data'!C554</f>
        <v>Enterprise</v>
      </c>
      <c r="D554">
        <f>'Customers Raw data'!D554</f>
        <v>500</v>
      </c>
      <c r="E554">
        <f>'Customers Raw data'!E554</f>
        <v>200</v>
      </c>
      <c r="F554">
        <f>'Customers Raw data'!F554</f>
        <v>0</v>
      </c>
      <c r="G554">
        <f>IF('Customers Raw data'!F554&lt;&gt;"",1,0)</f>
        <v>0</v>
      </c>
      <c r="H554" t="str">
        <f>IF('Customers Raw data'!F554&lt;&gt;"",YEAR(DATEVALUE('Customers Raw data'!F554)),"")</f>
        <v/>
      </c>
      <c r="I554" t="str">
        <f>IF('Customers Raw data'!F554&lt;&gt;"",MONTH(DATEVALUE('Customers Raw data'!F554)),"")</f>
        <v/>
      </c>
      <c r="J554">
        <f>YEAR(DATEVALUE('Customers Raw data'!B554))</f>
        <v>2024</v>
      </c>
      <c r="K554">
        <f>MONTH(DATEVALUE('Customers Raw data'!B554))</f>
        <v>1</v>
      </c>
      <c r="L554">
        <f ca="1">IF('Customers Raw data'!F554&lt;&gt;"",DATEDIF(DATEVALUE('Customers Raw data'!B554),DATEVALUE('Customers Raw data'!F554),"M"),DATEDIF(DATEVALUE('Customers Raw data'!B554),TODAY(),"M"))</f>
        <v>26</v>
      </c>
      <c r="M554">
        <f t="shared" ca="1" si="40"/>
        <v>13000</v>
      </c>
      <c r="N554">
        <f t="shared" si="41"/>
        <v>3</v>
      </c>
      <c r="O554">
        <f t="shared" ca="1" si="42"/>
        <v>0</v>
      </c>
      <c r="P554">
        <f t="shared" si="43"/>
        <v>0</v>
      </c>
      <c r="Q554" t="e">
        <f t="shared" si="44"/>
        <v>#VALUE!</v>
      </c>
    </row>
    <row r="555" spans="1:17" ht="15" customHeight="1" x14ac:dyDescent="0.25">
      <c r="A555">
        <f>'Customers Raw data'!A555</f>
        <v>1554</v>
      </c>
      <c r="B555" t="str">
        <f>'Customers Raw data'!B555</f>
        <v>2024-09-22</v>
      </c>
      <c r="C555" t="str">
        <f>'Customers Raw data'!C555</f>
        <v>Pro</v>
      </c>
      <c r="D555">
        <f>'Customers Raw data'!D555</f>
        <v>200</v>
      </c>
      <c r="E555">
        <f>'Customers Raw data'!E555</f>
        <v>100</v>
      </c>
      <c r="F555">
        <f>'Customers Raw data'!F555</f>
        <v>0</v>
      </c>
      <c r="G555">
        <f>IF('Customers Raw data'!F555&lt;&gt;"",1,0)</f>
        <v>0</v>
      </c>
      <c r="H555" t="str">
        <f>IF('Customers Raw data'!F555&lt;&gt;"",YEAR(DATEVALUE('Customers Raw data'!F555)),"")</f>
        <v/>
      </c>
      <c r="I555" t="str">
        <f>IF('Customers Raw data'!F555&lt;&gt;"",MONTH(DATEVALUE('Customers Raw data'!F555)),"")</f>
        <v/>
      </c>
      <c r="J555">
        <f>YEAR(DATEVALUE('Customers Raw data'!B555))</f>
        <v>2024</v>
      </c>
      <c r="K555">
        <f>MONTH(DATEVALUE('Customers Raw data'!B555))</f>
        <v>9</v>
      </c>
      <c r="L555">
        <f ca="1">IF('Customers Raw data'!F555&lt;&gt;"",DATEDIF(DATEVALUE('Customers Raw data'!B555),DATEVALUE('Customers Raw data'!F555),"M"),DATEDIF(DATEVALUE('Customers Raw data'!B555),TODAY(),"M"))</f>
        <v>18</v>
      </c>
      <c r="M555">
        <f t="shared" ca="1" si="40"/>
        <v>3600</v>
      </c>
      <c r="N555">
        <f t="shared" si="41"/>
        <v>2</v>
      </c>
      <c r="O555">
        <f t="shared" ca="1" si="42"/>
        <v>0</v>
      </c>
      <c r="P555">
        <f t="shared" si="43"/>
        <v>0</v>
      </c>
      <c r="Q555" t="e">
        <f t="shared" si="44"/>
        <v>#VALUE!</v>
      </c>
    </row>
    <row r="556" spans="1:17" ht="15" customHeight="1" x14ac:dyDescent="0.25">
      <c r="A556">
        <f>'Customers Raw data'!A556</f>
        <v>1555</v>
      </c>
      <c r="B556" t="str">
        <f>'Customers Raw data'!B556</f>
        <v>2025-03-29</v>
      </c>
      <c r="C556" t="str">
        <f>'Customers Raw data'!C556</f>
        <v>Enterprise</v>
      </c>
      <c r="D556">
        <f>'Customers Raw data'!D556</f>
        <v>500</v>
      </c>
      <c r="E556">
        <f>'Customers Raw data'!E556</f>
        <v>200</v>
      </c>
      <c r="F556">
        <f>'Customers Raw data'!F556</f>
        <v>0</v>
      </c>
      <c r="G556">
        <f>IF('Customers Raw data'!F556&lt;&gt;"",1,0)</f>
        <v>0</v>
      </c>
      <c r="H556" t="str">
        <f>IF('Customers Raw data'!F556&lt;&gt;"",YEAR(DATEVALUE('Customers Raw data'!F556)),"")</f>
        <v/>
      </c>
      <c r="I556" t="str">
        <f>IF('Customers Raw data'!F556&lt;&gt;"",MONTH(DATEVALUE('Customers Raw data'!F556)),"")</f>
        <v/>
      </c>
      <c r="J556">
        <f>YEAR(DATEVALUE('Customers Raw data'!B556))</f>
        <v>2025</v>
      </c>
      <c r="K556">
        <f>MONTH(DATEVALUE('Customers Raw data'!B556))</f>
        <v>3</v>
      </c>
      <c r="L556">
        <f ca="1">IF('Customers Raw data'!F556&lt;&gt;"",DATEDIF(DATEVALUE('Customers Raw data'!B556),DATEVALUE('Customers Raw data'!F556),"M"),DATEDIF(DATEVALUE('Customers Raw data'!B556),TODAY(),"M"))</f>
        <v>12</v>
      </c>
      <c r="M556">
        <f t="shared" ca="1" si="40"/>
        <v>6000</v>
      </c>
      <c r="N556">
        <f t="shared" si="41"/>
        <v>3</v>
      </c>
      <c r="O556">
        <f t="shared" ca="1" si="42"/>
        <v>0</v>
      </c>
      <c r="P556">
        <f t="shared" si="43"/>
        <v>0</v>
      </c>
      <c r="Q556" t="e">
        <f t="shared" si="44"/>
        <v>#VALUE!</v>
      </c>
    </row>
    <row r="557" spans="1:17" ht="15" customHeight="1" x14ac:dyDescent="0.25">
      <c r="A557">
        <f>'Customers Raw data'!A557</f>
        <v>1556</v>
      </c>
      <c r="B557" t="str">
        <f>'Customers Raw data'!B557</f>
        <v>2025-04-11</v>
      </c>
      <c r="C557" t="str">
        <f>'Customers Raw data'!C557</f>
        <v>Enterprise</v>
      </c>
      <c r="D557">
        <f>'Customers Raw data'!D557</f>
        <v>500</v>
      </c>
      <c r="E557">
        <f>'Customers Raw data'!E557</f>
        <v>200</v>
      </c>
      <c r="F557">
        <f>'Customers Raw data'!F557</f>
        <v>0</v>
      </c>
      <c r="G557">
        <f>IF('Customers Raw data'!F557&lt;&gt;"",1,0)</f>
        <v>0</v>
      </c>
      <c r="H557" t="str">
        <f>IF('Customers Raw data'!F557&lt;&gt;"",YEAR(DATEVALUE('Customers Raw data'!F557)),"")</f>
        <v/>
      </c>
      <c r="I557" t="str">
        <f>IF('Customers Raw data'!F557&lt;&gt;"",MONTH(DATEVALUE('Customers Raw data'!F557)),"")</f>
        <v/>
      </c>
      <c r="J557">
        <f>YEAR(DATEVALUE('Customers Raw data'!B557))</f>
        <v>2025</v>
      </c>
      <c r="K557">
        <f>MONTH(DATEVALUE('Customers Raw data'!B557))</f>
        <v>4</v>
      </c>
      <c r="L557">
        <f ca="1">IF('Customers Raw data'!F557&lt;&gt;"",DATEDIF(DATEVALUE('Customers Raw data'!B557),DATEVALUE('Customers Raw data'!F557),"M"),DATEDIF(DATEVALUE('Customers Raw data'!B557),TODAY(),"M"))</f>
        <v>11</v>
      </c>
      <c r="M557">
        <f t="shared" ca="1" si="40"/>
        <v>5500</v>
      </c>
      <c r="N557">
        <f t="shared" si="41"/>
        <v>3</v>
      </c>
      <c r="O557">
        <f t="shared" ca="1" si="42"/>
        <v>0</v>
      </c>
      <c r="P557">
        <f t="shared" si="43"/>
        <v>0</v>
      </c>
      <c r="Q557" t="e">
        <f t="shared" si="44"/>
        <v>#VALUE!</v>
      </c>
    </row>
    <row r="558" spans="1:17" ht="15" customHeight="1" x14ac:dyDescent="0.25">
      <c r="A558">
        <f>'Customers Raw data'!A558</f>
        <v>1557</v>
      </c>
      <c r="B558" t="str">
        <f>'Customers Raw data'!B558</f>
        <v>2025-03-12</v>
      </c>
      <c r="C558" t="str">
        <f>'Customers Raw data'!C558</f>
        <v>Enterprise</v>
      </c>
      <c r="D558">
        <f>'Customers Raw data'!D558</f>
        <v>500</v>
      </c>
      <c r="E558">
        <f>'Customers Raw data'!E558</f>
        <v>200</v>
      </c>
      <c r="F558" t="str">
        <f>'Customers Raw data'!F558</f>
        <v>2025-05-06</v>
      </c>
      <c r="G558">
        <f>IF('Customers Raw data'!F558&lt;&gt;"",1,0)</f>
        <v>1</v>
      </c>
      <c r="H558">
        <f>IF('Customers Raw data'!F558&lt;&gt;"",YEAR(DATEVALUE('Customers Raw data'!F558)),"")</f>
        <v>2025</v>
      </c>
      <c r="I558">
        <f>IF('Customers Raw data'!F558&lt;&gt;"",MONTH(DATEVALUE('Customers Raw data'!F558)),"")</f>
        <v>5</v>
      </c>
      <c r="J558">
        <f>YEAR(DATEVALUE('Customers Raw data'!B558))</f>
        <v>2025</v>
      </c>
      <c r="K558">
        <f>MONTH(DATEVALUE('Customers Raw data'!B558))</f>
        <v>3</v>
      </c>
      <c r="L558">
        <f ca="1">IF('Customers Raw data'!F558&lt;&gt;"",DATEDIF(DATEVALUE('Customers Raw data'!B558),DATEVALUE('Customers Raw data'!F558),"M"),DATEDIF(DATEVALUE('Customers Raw data'!B558),TODAY(),"M"))</f>
        <v>1</v>
      </c>
      <c r="M558">
        <f t="shared" ca="1" si="40"/>
        <v>500</v>
      </c>
      <c r="N558">
        <f t="shared" si="41"/>
        <v>3</v>
      </c>
      <c r="O558">
        <f t="shared" ca="1" si="42"/>
        <v>1</v>
      </c>
      <c r="P558">
        <f t="shared" si="43"/>
        <v>500</v>
      </c>
      <c r="Q558" t="str">
        <f t="shared" si="44"/>
        <v>2025-05</v>
      </c>
    </row>
    <row r="559" spans="1:17" ht="15" customHeight="1" x14ac:dyDescent="0.25">
      <c r="A559">
        <f>'Customers Raw data'!A559</f>
        <v>1558</v>
      </c>
      <c r="B559" t="str">
        <f>'Customers Raw data'!B559</f>
        <v>2024-02-23</v>
      </c>
      <c r="C559" t="str">
        <f>'Customers Raw data'!C559</f>
        <v>Enterprise</v>
      </c>
      <c r="D559">
        <f>'Customers Raw data'!D559</f>
        <v>500</v>
      </c>
      <c r="E559">
        <f>'Customers Raw data'!E559</f>
        <v>200</v>
      </c>
      <c r="F559" t="str">
        <f>'Customers Raw data'!F559</f>
        <v>2024-04-14</v>
      </c>
      <c r="G559">
        <f>IF('Customers Raw data'!F559&lt;&gt;"",1,0)</f>
        <v>1</v>
      </c>
      <c r="H559">
        <f>IF('Customers Raw data'!F559&lt;&gt;"",YEAR(DATEVALUE('Customers Raw data'!F559)),"")</f>
        <v>2024</v>
      </c>
      <c r="I559">
        <f>IF('Customers Raw data'!F559&lt;&gt;"",MONTH(DATEVALUE('Customers Raw data'!F559)),"")</f>
        <v>4</v>
      </c>
      <c r="J559">
        <f>YEAR(DATEVALUE('Customers Raw data'!B559))</f>
        <v>2024</v>
      </c>
      <c r="K559">
        <f>MONTH(DATEVALUE('Customers Raw data'!B559))</f>
        <v>2</v>
      </c>
      <c r="L559">
        <f ca="1">IF('Customers Raw data'!F559&lt;&gt;"",DATEDIF(DATEVALUE('Customers Raw data'!B559),DATEVALUE('Customers Raw data'!F559),"M"),DATEDIF(DATEVALUE('Customers Raw data'!B559),TODAY(),"M"))</f>
        <v>1</v>
      </c>
      <c r="M559">
        <f t="shared" ca="1" si="40"/>
        <v>500</v>
      </c>
      <c r="N559">
        <f t="shared" si="41"/>
        <v>3</v>
      </c>
      <c r="O559">
        <f t="shared" ca="1" si="42"/>
        <v>1</v>
      </c>
      <c r="P559">
        <f t="shared" si="43"/>
        <v>500</v>
      </c>
      <c r="Q559" t="str">
        <f t="shared" si="44"/>
        <v>2024-04</v>
      </c>
    </row>
    <row r="560" spans="1:17" ht="15" customHeight="1" x14ac:dyDescent="0.25">
      <c r="A560">
        <f>'Customers Raw data'!A560</f>
        <v>1559</v>
      </c>
      <c r="B560" t="str">
        <f>'Customers Raw data'!B560</f>
        <v>2025-01-30</v>
      </c>
      <c r="C560" t="str">
        <f>'Customers Raw data'!C560</f>
        <v>Pro</v>
      </c>
      <c r="D560">
        <f>'Customers Raw data'!D560</f>
        <v>200</v>
      </c>
      <c r="E560">
        <f>'Customers Raw data'!E560</f>
        <v>100</v>
      </c>
      <c r="F560">
        <f>'Customers Raw data'!F560</f>
        <v>0</v>
      </c>
      <c r="G560">
        <f>IF('Customers Raw data'!F560&lt;&gt;"",1,0)</f>
        <v>0</v>
      </c>
      <c r="H560" t="str">
        <f>IF('Customers Raw data'!F560&lt;&gt;"",YEAR(DATEVALUE('Customers Raw data'!F560)),"")</f>
        <v/>
      </c>
      <c r="I560" t="str">
        <f>IF('Customers Raw data'!F560&lt;&gt;"",MONTH(DATEVALUE('Customers Raw data'!F560)),"")</f>
        <v/>
      </c>
      <c r="J560">
        <f>YEAR(DATEVALUE('Customers Raw data'!B560))</f>
        <v>2025</v>
      </c>
      <c r="K560">
        <f>MONTH(DATEVALUE('Customers Raw data'!B560))</f>
        <v>1</v>
      </c>
      <c r="L560">
        <f ca="1">IF('Customers Raw data'!F560&lt;&gt;"",DATEDIF(DATEVALUE('Customers Raw data'!B560),DATEVALUE('Customers Raw data'!F560),"M"),DATEDIF(DATEVALUE('Customers Raw data'!B560),TODAY(),"M"))</f>
        <v>14</v>
      </c>
      <c r="M560">
        <f t="shared" ca="1" si="40"/>
        <v>2800</v>
      </c>
      <c r="N560">
        <f t="shared" si="41"/>
        <v>2</v>
      </c>
      <c r="O560">
        <f t="shared" ca="1" si="42"/>
        <v>0</v>
      </c>
      <c r="P560">
        <f t="shared" si="43"/>
        <v>0</v>
      </c>
      <c r="Q560" t="e">
        <f t="shared" si="44"/>
        <v>#VALUE!</v>
      </c>
    </row>
    <row r="561" spans="1:17" ht="15" customHeight="1" x14ac:dyDescent="0.25">
      <c r="A561">
        <f>'Customers Raw data'!A561</f>
        <v>1560</v>
      </c>
      <c r="B561" t="str">
        <f>'Customers Raw data'!B561</f>
        <v>2025-02-23</v>
      </c>
      <c r="C561" t="str">
        <f>'Customers Raw data'!C561</f>
        <v>Pro</v>
      </c>
      <c r="D561">
        <f>'Customers Raw data'!D561</f>
        <v>200</v>
      </c>
      <c r="E561">
        <f>'Customers Raw data'!E561</f>
        <v>100</v>
      </c>
      <c r="F561">
        <f>'Customers Raw data'!F561</f>
        <v>0</v>
      </c>
      <c r="G561">
        <f>IF('Customers Raw data'!F561&lt;&gt;"",1,0)</f>
        <v>0</v>
      </c>
      <c r="H561" t="str">
        <f>IF('Customers Raw data'!F561&lt;&gt;"",YEAR(DATEVALUE('Customers Raw data'!F561)),"")</f>
        <v/>
      </c>
      <c r="I561" t="str">
        <f>IF('Customers Raw data'!F561&lt;&gt;"",MONTH(DATEVALUE('Customers Raw data'!F561)),"")</f>
        <v/>
      </c>
      <c r="J561">
        <f>YEAR(DATEVALUE('Customers Raw data'!B561))</f>
        <v>2025</v>
      </c>
      <c r="K561">
        <f>MONTH(DATEVALUE('Customers Raw data'!B561))</f>
        <v>2</v>
      </c>
      <c r="L561">
        <f ca="1">IF('Customers Raw data'!F561&lt;&gt;"",DATEDIF(DATEVALUE('Customers Raw data'!B561),DATEVALUE('Customers Raw data'!F561),"M"),DATEDIF(DATEVALUE('Customers Raw data'!B561),TODAY(),"M"))</f>
        <v>13</v>
      </c>
      <c r="M561">
        <f t="shared" ca="1" si="40"/>
        <v>2600</v>
      </c>
      <c r="N561">
        <f t="shared" si="41"/>
        <v>2</v>
      </c>
      <c r="O561">
        <f t="shared" ca="1" si="42"/>
        <v>0</v>
      </c>
      <c r="P561">
        <f t="shared" si="43"/>
        <v>0</v>
      </c>
      <c r="Q561" t="e">
        <f t="shared" si="44"/>
        <v>#VALUE!</v>
      </c>
    </row>
    <row r="562" spans="1:17" ht="15" customHeight="1" x14ac:dyDescent="0.25">
      <c r="A562">
        <f>'Customers Raw data'!A562</f>
        <v>1561</v>
      </c>
      <c r="B562" t="str">
        <f>'Customers Raw data'!B562</f>
        <v>2024-02-02</v>
      </c>
      <c r="C562" t="str">
        <f>'Customers Raw data'!C562</f>
        <v>Enterprise</v>
      </c>
      <c r="D562">
        <f>'Customers Raw data'!D562</f>
        <v>500</v>
      </c>
      <c r="E562">
        <f>'Customers Raw data'!E562</f>
        <v>200</v>
      </c>
      <c r="F562">
        <f>'Customers Raw data'!F562</f>
        <v>0</v>
      </c>
      <c r="G562">
        <f>IF('Customers Raw data'!F562&lt;&gt;"",1,0)</f>
        <v>0</v>
      </c>
      <c r="H562" t="str">
        <f>IF('Customers Raw data'!F562&lt;&gt;"",YEAR(DATEVALUE('Customers Raw data'!F562)),"")</f>
        <v/>
      </c>
      <c r="I562" t="str">
        <f>IF('Customers Raw data'!F562&lt;&gt;"",MONTH(DATEVALUE('Customers Raw data'!F562)),"")</f>
        <v/>
      </c>
      <c r="J562">
        <f>YEAR(DATEVALUE('Customers Raw data'!B562))</f>
        <v>2024</v>
      </c>
      <c r="K562">
        <f>MONTH(DATEVALUE('Customers Raw data'!B562))</f>
        <v>2</v>
      </c>
      <c r="L562">
        <f ca="1">IF('Customers Raw data'!F562&lt;&gt;"",DATEDIF(DATEVALUE('Customers Raw data'!B562),DATEVALUE('Customers Raw data'!F562),"M"),DATEDIF(DATEVALUE('Customers Raw data'!B562),TODAY(),"M"))</f>
        <v>26</v>
      </c>
      <c r="M562">
        <f t="shared" ca="1" si="40"/>
        <v>13000</v>
      </c>
      <c r="N562">
        <f t="shared" si="41"/>
        <v>3</v>
      </c>
      <c r="O562">
        <f t="shared" ca="1" si="42"/>
        <v>0</v>
      </c>
      <c r="P562">
        <f t="shared" si="43"/>
        <v>0</v>
      </c>
      <c r="Q562" t="e">
        <f t="shared" si="44"/>
        <v>#VALUE!</v>
      </c>
    </row>
    <row r="563" spans="1:17" ht="15" customHeight="1" x14ac:dyDescent="0.25">
      <c r="A563">
        <f>'Customers Raw data'!A563</f>
        <v>1562</v>
      </c>
      <c r="B563" t="str">
        <f>'Customers Raw data'!B563</f>
        <v>2024-06-09</v>
      </c>
      <c r="C563" t="str">
        <f>'Customers Raw data'!C563</f>
        <v>Enterprise</v>
      </c>
      <c r="D563">
        <f>'Customers Raw data'!D563</f>
        <v>500</v>
      </c>
      <c r="E563">
        <f>'Customers Raw data'!E563</f>
        <v>200</v>
      </c>
      <c r="F563">
        <f>'Customers Raw data'!F563</f>
        <v>0</v>
      </c>
      <c r="G563">
        <f>IF('Customers Raw data'!F563&lt;&gt;"",1,0)</f>
        <v>0</v>
      </c>
      <c r="H563" t="str">
        <f>IF('Customers Raw data'!F563&lt;&gt;"",YEAR(DATEVALUE('Customers Raw data'!F563)),"")</f>
        <v/>
      </c>
      <c r="I563" t="str">
        <f>IF('Customers Raw data'!F563&lt;&gt;"",MONTH(DATEVALUE('Customers Raw data'!F563)),"")</f>
        <v/>
      </c>
      <c r="J563">
        <f>YEAR(DATEVALUE('Customers Raw data'!B563))</f>
        <v>2024</v>
      </c>
      <c r="K563">
        <f>MONTH(DATEVALUE('Customers Raw data'!B563))</f>
        <v>6</v>
      </c>
      <c r="L563">
        <f ca="1">IF('Customers Raw data'!F563&lt;&gt;"",DATEDIF(DATEVALUE('Customers Raw data'!B563),DATEVALUE('Customers Raw data'!F563),"M"),DATEDIF(DATEVALUE('Customers Raw data'!B563),TODAY(),"M"))</f>
        <v>21</v>
      </c>
      <c r="M563">
        <f t="shared" ca="1" si="40"/>
        <v>10500</v>
      </c>
      <c r="N563">
        <f t="shared" si="41"/>
        <v>3</v>
      </c>
      <c r="O563">
        <f t="shared" ca="1" si="42"/>
        <v>0</v>
      </c>
      <c r="P563">
        <f t="shared" si="43"/>
        <v>0</v>
      </c>
      <c r="Q563" t="e">
        <f t="shared" si="44"/>
        <v>#VALUE!</v>
      </c>
    </row>
    <row r="564" spans="1:17" ht="15" customHeight="1" x14ac:dyDescent="0.25">
      <c r="A564">
        <f>'Customers Raw data'!A564</f>
        <v>1563</v>
      </c>
      <c r="B564" t="str">
        <f>'Customers Raw data'!B564</f>
        <v>2024-06-03</v>
      </c>
      <c r="C564" t="str">
        <f>'Customers Raw data'!C564</f>
        <v>Basic</v>
      </c>
      <c r="D564">
        <f>'Customers Raw data'!D564</f>
        <v>50</v>
      </c>
      <c r="E564">
        <f>'Customers Raw data'!E564</f>
        <v>30</v>
      </c>
      <c r="F564">
        <f>'Customers Raw data'!F564</f>
        <v>0</v>
      </c>
      <c r="G564">
        <f>IF('Customers Raw data'!F564&lt;&gt;"",1,0)</f>
        <v>0</v>
      </c>
      <c r="H564" t="str">
        <f>IF('Customers Raw data'!F564&lt;&gt;"",YEAR(DATEVALUE('Customers Raw data'!F564)),"")</f>
        <v/>
      </c>
      <c r="I564" t="str">
        <f>IF('Customers Raw data'!F564&lt;&gt;"",MONTH(DATEVALUE('Customers Raw data'!F564)),"")</f>
        <v/>
      </c>
      <c r="J564">
        <f>YEAR(DATEVALUE('Customers Raw data'!B564))</f>
        <v>2024</v>
      </c>
      <c r="K564">
        <f>MONTH(DATEVALUE('Customers Raw data'!B564))</f>
        <v>6</v>
      </c>
      <c r="L564">
        <f ca="1">IF('Customers Raw data'!F564&lt;&gt;"",DATEDIF(DATEVALUE('Customers Raw data'!B564),DATEVALUE('Customers Raw data'!F564),"M"),DATEDIF(DATEVALUE('Customers Raw data'!B564),TODAY(),"M"))</f>
        <v>22</v>
      </c>
      <c r="M564">
        <f t="shared" ca="1" si="40"/>
        <v>1100</v>
      </c>
      <c r="N564">
        <f t="shared" si="41"/>
        <v>1</v>
      </c>
      <c r="O564">
        <f t="shared" ca="1" si="42"/>
        <v>0</v>
      </c>
      <c r="P564">
        <f t="shared" si="43"/>
        <v>0</v>
      </c>
      <c r="Q564" t="e">
        <f t="shared" si="44"/>
        <v>#VALUE!</v>
      </c>
    </row>
    <row r="565" spans="1:17" ht="15" customHeight="1" x14ac:dyDescent="0.25">
      <c r="A565">
        <f>'Customers Raw data'!A565</f>
        <v>1564</v>
      </c>
      <c r="B565" t="str">
        <f>'Customers Raw data'!B565</f>
        <v>2025-06-24</v>
      </c>
      <c r="C565" t="str">
        <f>'Customers Raw data'!C565</f>
        <v>Enterprise</v>
      </c>
      <c r="D565">
        <f>'Customers Raw data'!D565</f>
        <v>500</v>
      </c>
      <c r="E565">
        <f>'Customers Raw data'!E565</f>
        <v>200</v>
      </c>
      <c r="F565">
        <f>'Customers Raw data'!F565</f>
        <v>0</v>
      </c>
      <c r="G565">
        <f>IF('Customers Raw data'!F565&lt;&gt;"",1,0)</f>
        <v>0</v>
      </c>
      <c r="H565" t="str">
        <f>IF('Customers Raw data'!F565&lt;&gt;"",YEAR(DATEVALUE('Customers Raw data'!F565)),"")</f>
        <v/>
      </c>
      <c r="I565" t="str">
        <f>IF('Customers Raw data'!F565&lt;&gt;"",MONTH(DATEVALUE('Customers Raw data'!F565)),"")</f>
        <v/>
      </c>
      <c r="J565">
        <f>YEAR(DATEVALUE('Customers Raw data'!B565))</f>
        <v>2025</v>
      </c>
      <c r="K565">
        <f>MONTH(DATEVALUE('Customers Raw data'!B565))</f>
        <v>6</v>
      </c>
      <c r="L565">
        <f ca="1">IF('Customers Raw data'!F565&lt;&gt;"",DATEDIF(DATEVALUE('Customers Raw data'!B565),DATEVALUE('Customers Raw data'!F565),"M"),DATEDIF(DATEVALUE('Customers Raw data'!B565),TODAY(),"M"))</f>
        <v>9</v>
      </c>
      <c r="M565">
        <f t="shared" ca="1" si="40"/>
        <v>4500</v>
      </c>
      <c r="N565">
        <f t="shared" si="41"/>
        <v>3</v>
      </c>
      <c r="O565">
        <f t="shared" ca="1" si="42"/>
        <v>0</v>
      </c>
      <c r="P565">
        <f t="shared" si="43"/>
        <v>0</v>
      </c>
      <c r="Q565" t="e">
        <f t="shared" si="44"/>
        <v>#VALUE!</v>
      </c>
    </row>
    <row r="566" spans="1:17" ht="15" customHeight="1" x14ac:dyDescent="0.25">
      <c r="A566">
        <f>'Customers Raw data'!A566</f>
        <v>1565</v>
      </c>
      <c r="B566" t="str">
        <f>'Customers Raw data'!B566</f>
        <v>2024-03-30</v>
      </c>
      <c r="C566" t="str">
        <f>'Customers Raw data'!C566</f>
        <v>Pro</v>
      </c>
      <c r="D566">
        <f>'Customers Raw data'!D566</f>
        <v>200</v>
      </c>
      <c r="E566">
        <f>'Customers Raw data'!E566</f>
        <v>100</v>
      </c>
      <c r="F566" t="str">
        <f>'Customers Raw data'!F566</f>
        <v>2024-06-02</v>
      </c>
      <c r="G566">
        <f>IF('Customers Raw data'!F566&lt;&gt;"",1,0)</f>
        <v>1</v>
      </c>
      <c r="H566">
        <f>IF('Customers Raw data'!F566&lt;&gt;"",YEAR(DATEVALUE('Customers Raw data'!F566)),"")</f>
        <v>2024</v>
      </c>
      <c r="I566">
        <f>IF('Customers Raw data'!F566&lt;&gt;"",MONTH(DATEVALUE('Customers Raw data'!F566)),"")</f>
        <v>6</v>
      </c>
      <c r="J566">
        <f>YEAR(DATEVALUE('Customers Raw data'!B566))</f>
        <v>2024</v>
      </c>
      <c r="K566">
        <f>MONTH(DATEVALUE('Customers Raw data'!B566))</f>
        <v>3</v>
      </c>
      <c r="L566">
        <f ca="1">IF('Customers Raw data'!F566&lt;&gt;"",DATEDIF(DATEVALUE('Customers Raw data'!B566),DATEVALUE('Customers Raw data'!F566),"M"),DATEDIF(DATEVALUE('Customers Raw data'!B566),TODAY(),"M"))</f>
        <v>2</v>
      </c>
      <c r="M566">
        <f t="shared" ca="1" si="40"/>
        <v>400</v>
      </c>
      <c r="N566">
        <f t="shared" si="41"/>
        <v>2</v>
      </c>
      <c r="O566">
        <f t="shared" ca="1" si="42"/>
        <v>1</v>
      </c>
      <c r="P566">
        <f t="shared" si="43"/>
        <v>200</v>
      </c>
      <c r="Q566" t="str">
        <f t="shared" si="44"/>
        <v>2024-06</v>
      </c>
    </row>
    <row r="567" spans="1:17" ht="15" customHeight="1" x14ac:dyDescent="0.25">
      <c r="A567">
        <f>'Customers Raw data'!A567</f>
        <v>1566</v>
      </c>
      <c r="B567" t="str">
        <f>'Customers Raw data'!B567</f>
        <v>2024-06-02</v>
      </c>
      <c r="C567" t="str">
        <f>'Customers Raw data'!C567</f>
        <v>Basic</v>
      </c>
      <c r="D567">
        <f>'Customers Raw data'!D567</f>
        <v>50</v>
      </c>
      <c r="E567">
        <f>'Customers Raw data'!E567</f>
        <v>30</v>
      </c>
      <c r="F567">
        <f>'Customers Raw data'!F567</f>
        <v>0</v>
      </c>
      <c r="G567">
        <f>IF('Customers Raw data'!F567&lt;&gt;"",1,0)</f>
        <v>0</v>
      </c>
      <c r="H567" t="str">
        <f>IF('Customers Raw data'!F567&lt;&gt;"",YEAR(DATEVALUE('Customers Raw data'!F567)),"")</f>
        <v/>
      </c>
      <c r="I567" t="str">
        <f>IF('Customers Raw data'!F567&lt;&gt;"",MONTH(DATEVALUE('Customers Raw data'!F567)),"")</f>
        <v/>
      </c>
      <c r="J567">
        <f>YEAR(DATEVALUE('Customers Raw data'!B567))</f>
        <v>2024</v>
      </c>
      <c r="K567">
        <f>MONTH(DATEVALUE('Customers Raw data'!B567))</f>
        <v>6</v>
      </c>
      <c r="L567">
        <f ca="1">IF('Customers Raw data'!F567&lt;&gt;"",DATEDIF(DATEVALUE('Customers Raw data'!B567),DATEVALUE('Customers Raw data'!F567),"M"),DATEDIF(DATEVALUE('Customers Raw data'!B567),TODAY(),"M"))</f>
        <v>22</v>
      </c>
      <c r="M567">
        <f t="shared" ca="1" si="40"/>
        <v>1100</v>
      </c>
      <c r="N567">
        <f t="shared" si="41"/>
        <v>1</v>
      </c>
      <c r="O567">
        <f t="shared" ca="1" si="42"/>
        <v>0</v>
      </c>
      <c r="P567">
        <f t="shared" si="43"/>
        <v>0</v>
      </c>
      <c r="Q567" t="e">
        <f t="shared" si="44"/>
        <v>#VALUE!</v>
      </c>
    </row>
    <row r="568" spans="1:17" ht="15" customHeight="1" x14ac:dyDescent="0.25">
      <c r="A568">
        <f>'Customers Raw data'!A568</f>
        <v>1567</v>
      </c>
      <c r="B568" t="str">
        <f>'Customers Raw data'!B568</f>
        <v>2025-05-09</v>
      </c>
      <c r="C568" t="str">
        <f>'Customers Raw data'!C568</f>
        <v>Enterprise</v>
      </c>
      <c r="D568">
        <f>'Customers Raw data'!D568</f>
        <v>500</v>
      </c>
      <c r="E568">
        <f>'Customers Raw data'!E568</f>
        <v>200</v>
      </c>
      <c r="F568">
        <f>'Customers Raw data'!F568</f>
        <v>0</v>
      </c>
      <c r="G568">
        <f>IF('Customers Raw data'!F568&lt;&gt;"",1,0)</f>
        <v>0</v>
      </c>
      <c r="H568" t="str">
        <f>IF('Customers Raw data'!F568&lt;&gt;"",YEAR(DATEVALUE('Customers Raw data'!F568)),"")</f>
        <v/>
      </c>
      <c r="I568" t="str">
        <f>IF('Customers Raw data'!F568&lt;&gt;"",MONTH(DATEVALUE('Customers Raw data'!F568)),"")</f>
        <v/>
      </c>
      <c r="J568">
        <f>YEAR(DATEVALUE('Customers Raw data'!B568))</f>
        <v>2025</v>
      </c>
      <c r="K568">
        <f>MONTH(DATEVALUE('Customers Raw data'!B568))</f>
        <v>5</v>
      </c>
      <c r="L568">
        <f ca="1">IF('Customers Raw data'!F568&lt;&gt;"",DATEDIF(DATEVALUE('Customers Raw data'!B568),DATEVALUE('Customers Raw data'!F568),"M"),DATEDIF(DATEVALUE('Customers Raw data'!B568),TODAY(),"M"))</f>
        <v>10</v>
      </c>
      <c r="M568">
        <f t="shared" ca="1" si="40"/>
        <v>5000</v>
      </c>
      <c r="N568">
        <f t="shared" si="41"/>
        <v>3</v>
      </c>
      <c r="O568">
        <f t="shared" ca="1" si="42"/>
        <v>0</v>
      </c>
      <c r="P568">
        <f t="shared" si="43"/>
        <v>0</v>
      </c>
      <c r="Q568" t="e">
        <f t="shared" si="44"/>
        <v>#VALUE!</v>
      </c>
    </row>
    <row r="569" spans="1:17" ht="15" customHeight="1" x14ac:dyDescent="0.25">
      <c r="A569">
        <f>'Customers Raw data'!A569</f>
        <v>1568</v>
      </c>
      <c r="B569" t="str">
        <f>'Customers Raw data'!B569</f>
        <v>2024-10-18</v>
      </c>
      <c r="C569" t="str">
        <f>'Customers Raw data'!C569</f>
        <v>Basic</v>
      </c>
      <c r="D569">
        <f>'Customers Raw data'!D569</f>
        <v>50</v>
      </c>
      <c r="E569">
        <f>'Customers Raw data'!E569</f>
        <v>30</v>
      </c>
      <c r="F569">
        <f>'Customers Raw data'!F569</f>
        <v>0</v>
      </c>
      <c r="G569">
        <f>IF('Customers Raw data'!F569&lt;&gt;"",1,0)</f>
        <v>0</v>
      </c>
      <c r="H569" t="str">
        <f>IF('Customers Raw data'!F569&lt;&gt;"",YEAR(DATEVALUE('Customers Raw data'!F569)),"")</f>
        <v/>
      </c>
      <c r="I569" t="str">
        <f>IF('Customers Raw data'!F569&lt;&gt;"",MONTH(DATEVALUE('Customers Raw data'!F569)),"")</f>
        <v/>
      </c>
      <c r="J569">
        <f>YEAR(DATEVALUE('Customers Raw data'!B569))</f>
        <v>2024</v>
      </c>
      <c r="K569">
        <f>MONTH(DATEVALUE('Customers Raw data'!B569))</f>
        <v>10</v>
      </c>
      <c r="L569">
        <f ca="1">IF('Customers Raw data'!F569&lt;&gt;"",DATEDIF(DATEVALUE('Customers Raw data'!B569),DATEVALUE('Customers Raw data'!F569),"M"),DATEDIF(DATEVALUE('Customers Raw data'!B569),TODAY(),"M"))</f>
        <v>17</v>
      </c>
      <c r="M569">
        <f t="shared" ca="1" si="40"/>
        <v>850</v>
      </c>
      <c r="N569">
        <f t="shared" si="41"/>
        <v>1</v>
      </c>
      <c r="O569">
        <f t="shared" ca="1" si="42"/>
        <v>0</v>
      </c>
      <c r="P569">
        <f t="shared" si="43"/>
        <v>0</v>
      </c>
      <c r="Q569" t="e">
        <f t="shared" si="44"/>
        <v>#VALUE!</v>
      </c>
    </row>
    <row r="570" spans="1:17" ht="15" customHeight="1" x14ac:dyDescent="0.25">
      <c r="A570">
        <f>'Customers Raw data'!A570</f>
        <v>1569</v>
      </c>
      <c r="B570" t="str">
        <f>'Customers Raw data'!B570</f>
        <v>2025-02-01</v>
      </c>
      <c r="C570" t="str">
        <f>'Customers Raw data'!C570</f>
        <v>Basic</v>
      </c>
      <c r="D570">
        <f>'Customers Raw data'!D570</f>
        <v>50</v>
      </c>
      <c r="E570">
        <f>'Customers Raw data'!E570</f>
        <v>30</v>
      </c>
      <c r="F570">
        <f>'Customers Raw data'!F570</f>
        <v>0</v>
      </c>
      <c r="G570">
        <f>IF('Customers Raw data'!F570&lt;&gt;"",1,0)</f>
        <v>0</v>
      </c>
      <c r="H570" t="str">
        <f>IF('Customers Raw data'!F570&lt;&gt;"",YEAR(DATEVALUE('Customers Raw data'!F570)),"")</f>
        <v/>
      </c>
      <c r="I570" t="str">
        <f>IF('Customers Raw data'!F570&lt;&gt;"",MONTH(DATEVALUE('Customers Raw data'!F570)),"")</f>
        <v/>
      </c>
      <c r="J570">
        <f>YEAR(DATEVALUE('Customers Raw data'!B570))</f>
        <v>2025</v>
      </c>
      <c r="K570">
        <f>MONTH(DATEVALUE('Customers Raw data'!B570))</f>
        <v>2</v>
      </c>
      <c r="L570">
        <f ca="1">IF('Customers Raw data'!F570&lt;&gt;"",DATEDIF(DATEVALUE('Customers Raw data'!B570),DATEVALUE('Customers Raw data'!F570),"M"),DATEDIF(DATEVALUE('Customers Raw data'!B570),TODAY(),"M"))</f>
        <v>14</v>
      </c>
      <c r="M570">
        <f t="shared" ca="1" si="40"/>
        <v>700</v>
      </c>
      <c r="N570">
        <f t="shared" si="41"/>
        <v>1</v>
      </c>
      <c r="O570">
        <f t="shared" ca="1" si="42"/>
        <v>0</v>
      </c>
      <c r="P570">
        <f t="shared" si="43"/>
        <v>0</v>
      </c>
      <c r="Q570" t="e">
        <f t="shared" si="44"/>
        <v>#VALUE!</v>
      </c>
    </row>
    <row r="571" spans="1:17" ht="15" customHeight="1" x14ac:dyDescent="0.25">
      <c r="A571">
        <f>'Customers Raw data'!A571</f>
        <v>1570</v>
      </c>
      <c r="B571" t="str">
        <f>'Customers Raw data'!B571</f>
        <v>2024-02-11</v>
      </c>
      <c r="C571" t="str">
        <f>'Customers Raw data'!C571</f>
        <v>Enterprise</v>
      </c>
      <c r="D571">
        <f>'Customers Raw data'!D571</f>
        <v>500</v>
      </c>
      <c r="E571">
        <f>'Customers Raw data'!E571</f>
        <v>200</v>
      </c>
      <c r="F571" t="str">
        <f>'Customers Raw data'!F571</f>
        <v>2025-03-17</v>
      </c>
      <c r="G571">
        <f>IF('Customers Raw data'!F571&lt;&gt;"",1,0)</f>
        <v>1</v>
      </c>
      <c r="H571">
        <f>IF('Customers Raw data'!F571&lt;&gt;"",YEAR(DATEVALUE('Customers Raw data'!F571)),"")</f>
        <v>2025</v>
      </c>
      <c r="I571">
        <f>IF('Customers Raw data'!F571&lt;&gt;"",MONTH(DATEVALUE('Customers Raw data'!F571)),"")</f>
        <v>3</v>
      </c>
      <c r="J571">
        <f>YEAR(DATEVALUE('Customers Raw data'!B571))</f>
        <v>2024</v>
      </c>
      <c r="K571">
        <f>MONTH(DATEVALUE('Customers Raw data'!B571))</f>
        <v>2</v>
      </c>
      <c r="L571">
        <f ca="1">IF('Customers Raw data'!F571&lt;&gt;"",DATEDIF(DATEVALUE('Customers Raw data'!B571),DATEVALUE('Customers Raw data'!F571),"M"),DATEDIF(DATEVALUE('Customers Raw data'!B571),TODAY(),"M"))</f>
        <v>13</v>
      </c>
      <c r="M571">
        <f t="shared" ca="1" si="40"/>
        <v>6500</v>
      </c>
      <c r="N571">
        <f t="shared" si="41"/>
        <v>3</v>
      </c>
      <c r="O571">
        <f t="shared" ca="1" si="42"/>
        <v>0</v>
      </c>
      <c r="P571">
        <f t="shared" si="43"/>
        <v>500</v>
      </c>
      <c r="Q571" t="str">
        <f t="shared" si="44"/>
        <v>2025-03</v>
      </c>
    </row>
    <row r="572" spans="1:17" ht="15" customHeight="1" x14ac:dyDescent="0.25">
      <c r="A572">
        <f>'Customers Raw data'!A572</f>
        <v>1571</v>
      </c>
      <c r="B572" t="str">
        <f>'Customers Raw data'!B572</f>
        <v>2025-01-04</v>
      </c>
      <c r="C572" t="str">
        <f>'Customers Raw data'!C572</f>
        <v>Enterprise</v>
      </c>
      <c r="D572">
        <f>'Customers Raw data'!D572</f>
        <v>500</v>
      </c>
      <c r="E572">
        <f>'Customers Raw data'!E572</f>
        <v>200</v>
      </c>
      <c r="F572">
        <f>'Customers Raw data'!F572</f>
        <v>0</v>
      </c>
      <c r="G572">
        <f>IF('Customers Raw data'!F572&lt;&gt;"",1,0)</f>
        <v>0</v>
      </c>
      <c r="H572" t="str">
        <f>IF('Customers Raw data'!F572&lt;&gt;"",YEAR(DATEVALUE('Customers Raw data'!F572)),"")</f>
        <v/>
      </c>
      <c r="I572" t="str">
        <f>IF('Customers Raw data'!F572&lt;&gt;"",MONTH(DATEVALUE('Customers Raw data'!F572)),"")</f>
        <v/>
      </c>
      <c r="J572">
        <f>YEAR(DATEVALUE('Customers Raw data'!B572))</f>
        <v>2025</v>
      </c>
      <c r="K572">
        <f>MONTH(DATEVALUE('Customers Raw data'!B572))</f>
        <v>1</v>
      </c>
      <c r="L572">
        <f ca="1">IF('Customers Raw data'!F572&lt;&gt;"",DATEDIF(DATEVALUE('Customers Raw data'!B572),DATEVALUE('Customers Raw data'!F572),"M"),DATEDIF(DATEVALUE('Customers Raw data'!B572),TODAY(),"M"))</f>
        <v>15</v>
      </c>
      <c r="M572">
        <f t="shared" ca="1" si="40"/>
        <v>7500</v>
      </c>
      <c r="N572">
        <f t="shared" si="41"/>
        <v>3</v>
      </c>
      <c r="O572">
        <f t="shared" ca="1" si="42"/>
        <v>0</v>
      </c>
      <c r="P572">
        <f t="shared" si="43"/>
        <v>0</v>
      </c>
      <c r="Q572" t="e">
        <f t="shared" si="44"/>
        <v>#VALUE!</v>
      </c>
    </row>
    <row r="573" spans="1:17" ht="15" customHeight="1" x14ac:dyDescent="0.25">
      <c r="A573">
        <f>'Customers Raw data'!A573</f>
        <v>1572</v>
      </c>
      <c r="B573" t="str">
        <f>'Customers Raw data'!B573</f>
        <v>2025-02-07</v>
      </c>
      <c r="C573" t="str">
        <f>'Customers Raw data'!C573</f>
        <v>Pro</v>
      </c>
      <c r="D573">
        <f>'Customers Raw data'!D573</f>
        <v>200</v>
      </c>
      <c r="E573">
        <f>'Customers Raw data'!E573</f>
        <v>100</v>
      </c>
      <c r="F573">
        <f>'Customers Raw data'!F573</f>
        <v>0</v>
      </c>
      <c r="G573">
        <f>IF('Customers Raw data'!F573&lt;&gt;"",1,0)</f>
        <v>0</v>
      </c>
      <c r="H573" t="str">
        <f>IF('Customers Raw data'!F573&lt;&gt;"",YEAR(DATEVALUE('Customers Raw data'!F573)),"")</f>
        <v/>
      </c>
      <c r="I573" t="str">
        <f>IF('Customers Raw data'!F573&lt;&gt;"",MONTH(DATEVALUE('Customers Raw data'!F573)),"")</f>
        <v/>
      </c>
      <c r="J573">
        <f>YEAR(DATEVALUE('Customers Raw data'!B573))</f>
        <v>2025</v>
      </c>
      <c r="K573">
        <f>MONTH(DATEVALUE('Customers Raw data'!B573))</f>
        <v>2</v>
      </c>
      <c r="L573">
        <f ca="1">IF('Customers Raw data'!F573&lt;&gt;"",DATEDIF(DATEVALUE('Customers Raw data'!B573),DATEVALUE('Customers Raw data'!F573),"M"),DATEDIF(DATEVALUE('Customers Raw data'!B573),TODAY(),"M"))</f>
        <v>14</v>
      </c>
      <c r="M573">
        <f t="shared" ca="1" si="40"/>
        <v>2800</v>
      </c>
      <c r="N573">
        <f t="shared" si="41"/>
        <v>2</v>
      </c>
      <c r="O573">
        <f t="shared" ca="1" si="42"/>
        <v>0</v>
      </c>
      <c r="P573">
        <f t="shared" si="43"/>
        <v>0</v>
      </c>
      <c r="Q573" t="e">
        <f t="shared" si="44"/>
        <v>#VALUE!</v>
      </c>
    </row>
    <row r="574" spans="1:17" ht="15" customHeight="1" x14ac:dyDescent="0.25">
      <c r="A574">
        <f>'Customers Raw data'!A574</f>
        <v>1573</v>
      </c>
      <c r="B574" t="str">
        <f>'Customers Raw data'!B574</f>
        <v>2024-07-07</v>
      </c>
      <c r="C574" t="str">
        <f>'Customers Raw data'!C574</f>
        <v>Enterprise</v>
      </c>
      <c r="D574">
        <f>'Customers Raw data'!D574</f>
        <v>500</v>
      </c>
      <c r="E574">
        <f>'Customers Raw data'!E574</f>
        <v>200</v>
      </c>
      <c r="F574">
        <f>'Customers Raw data'!F574</f>
        <v>0</v>
      </c>
      <c r="G574">
        <f>IF('Customers Raw data'!F574&lt;&gt;"",1,0)</f>
        <v>0</v>
      </c>
      <c r="H574" t="str">
        <f>IF('Customers Raw data'!F574&lt;&gt;"",YEAR(DATEVALUE('Customers Raw data'!F574)),"")</f>
        <v/>
      </c>
      <c r="I574" t="str">
        <f>IF('Customers Raw data'!F574&lt;&gt;"",MONTH(DATEVALUE('Customers Raw data'!F574)),"")</f>
        <v/>
      </c>
      <c r="J574">
        <f>YEAR(DATEVALUE('Customers Raw data'!B574))</f>
        <v>2024</v>
      </c>
      <c r="K574">
        <f>MONTH(DATEVALUE('Customers Raw data'!B574))</f>
        <v>7</v>
      </c>
      <c r="L574">
        <f ca="1">IF('Customers Raw data'!F574&lt;&gt;"",DATEDIF(DATEVALUE('Customers Raw data'!B574),DATEVALUE('Customers Raw data'!F574),"M"),DATEDIF(DATEVALUE('Customers Raw data'!B574),TODAY(),"M"))</f>
        <v>21</v>
      </c>
      <c r="M574">
        <f t="shared" ca="1" si="40"/>
        <v>10500</v>
      </c>
      <c r="N574">
        <f t="shared" si="41"/>
        <v>3</v>
      </c>
      <c r="O574">
        <f t="shared" ca="1" si="42"/>
        <v>0</v>
      </c>
      <c r="P574">
        <f t="shared" si="43"/>
        <v>0</v>
      </c>
      <c r="Q574" t="e">
        <f t="shared" si="44"/>
        <v>#VALUE!</v>
      </c>
    </row>
    <row r="575" spans="1:17" ht="15" customHeight="1" x14ac:dyDescent="0.25">
      <c r="A575">
        <f>'Customers Raw data'!A575</f>
        <v>1574</v>
      </c>
      <c r="B575" t="str">
        <f>'Customers Raw data'!B575</f>
        <v>2024-10-17</v>
      </c>
      <c r="C575" t="str">
        <f>'Customers Raw data'!C575</f>
        <v>Enterprise</v>
      </c>
      <c r="D575">
        <f>'Customers Raw data'!D575</f>
        <v>500</v>
      </c>
      <c r="E575">
        <f>'Customers Raw data'!E575</f>
        <v>200</v>
      </c>
      <c r="F575">
        <f>'Customers Raw data'!F575</f>
        <v>0</v>
      </c>
      <c r="G575">
        <f>IF('Customers Raw data'!F575&lt;&gt;"",1,0)</f>
        <v>0</v>
      </c>
      <c r="H575" t="str">
        <f>IF('Customers Raw data'!F575&lt;&gt;"",YEAR(DATEVALUE('Customers Raw data'!F575)),"")</f>
        <v/>
      </c>
      <c r="I575" t="str">
        <f>IF('Customers Raw data'!F575&lt;&gt;"",MONTH(DATEVALUE('Customers Raw data'!F575)),"")</f>
        <v/>
      </c>
      <c r="J575">
        <f>YEAR(DATEVALUE('Customers Raw data'!B575))</f>
        <v>2024</v>
      </c>
      <c r="K575">
        <f>MONTH(DATEVALUE('Customers Raw data'!B575))</f>
        <v>10</v>
      </c>
      <c r="L575">
        <f ca="1">IF('Customers Raw data'!F575&lt;&gt;"",DATEDIF(DATEVALUE('Customers Raw data'!B575),DATEVALUE('Customers Raw data'!F575),"M"),DATEDIF(DATEVALUE('Customers Raw data'!B575),TODAY(),"M"))</f>
        <v>17</v>
      </c>
      <c r="M575">
        <f t="shared" ca="1" si="40"/>
        <v>8500</v>
      </c>
      <c r="N575">
        <f t="shared" si="41"/>
        <v>3</v>
      </c>
      <c r="O575">
        <f t="shared" ca="1" si="42"/>
        <v>0</v>
      </c>
      <c r="P575">
        <f t="shared" si="43"/>
        <v>0</v>
      </c>
      <c r="Q575" t="e">
        <f t="shared" si="44"/>
        <v>#VALUE!</v>
      </c>
    </row>
    <row r="576" spans="1:17" ht="15" customHeight="1" x14ac:dyDescent="0.25">
      <c r="A576">
        <f>'Customers Raw data'!A576</f>
        <v>1575</v>
      </c>
      <c r="B576" t="str">
        <f>'Customers Raw data'!B576</f>
        <v>2024-07-06</v>
      </c>
      <c r="C576" t="str">
        <f>'Customers Raw data'!C576</f>
        <v>Enterprise</v>
      </c>
      <c r="D576">
        <f>'Customers Raw data'!D576</f>
        <v>500</v>
      </c>
      <c r="E576">
        <f>'Customers Raw data'!E576</f>
        <v>200</v>
      </c>
      <c r="F576">
        <f>'Customers Raw data'!F576</f>
        <v>0</v>
      </c>
      <c r="G576">
        <f>IF('Customers Raw data'!F576&lt;&gt;"",1,0)</f>
        <v>0</v>
      </c>
      <c r="H576" t="str">
        <f>IF('Customers Raw data'!F576&lt;&gt;"",YEAR(DATEVALUE('Customers Raw data'!F576)),"")</f>
        <v/>
      </c>
      <c r="I576" t="str">
        <f>IF('Customers Raw data'!F576&lt;&gt;"",MONTH(DATEVALUE('Customers Raw data'!F576)),"")</f>
        <v/>
      </c>
      <c r="J576">
        <f>YEAR(DATEVALUE('Customers Raw data'!B576))</f>
        <v>2024</v>
      </c>
      <c r="K576">
        <f>MONTH(DATEVALUE('Customers Raw data'!B576))</f>
        <v>7</v>
      </c>
      <c r="L576">
        <f ca="1">IF('Customers Raw data'!F576&lt;&gt;"",DATEDIF(DATEVALUE('Customers Raw data'!B576),DATEVALUE('Customers Raw data'!F576),"M"),DATEDIF(DATEVALUE('Customers Raw data'!B576),TODAY(),"M"))</f>
        <v>21</v>
      </c>
      <c r="M576">
        <f t="shared" ca="1" si="40"/>
        <v>10500</v>
      </c>
      <c r="N576">
        <f t="shared" si="41"/>
        <v>3</v>
      </c>
      <c r="O576">
        <f t="shared" ca="1" si="42"/>
        <v>0</v>
      </c>
      <c r="P576">
        <f t="shared" si="43"/>
        <v>0</v>
      </c>
      <c r="Q576" t="e">
        <f t="shared" si="44"/>
        <v>#VALUE!</v>
      </c>
    </row>
    <row r="577" spans="1:17" ht="15" customHeight="1" x14ac:dyDescent="0.25">
      <c r="A577">
        <f>'Customers Raw data'!A577</f>
        <v>1576</v>
      </c>
      <c r="B577" t="str">
        <f>'Customers Raw data'!B577</f>
        <v>2024-06-22</v>
      </c>
      <c r="C577" t="str">
        <f>'Customers Raw data'!C577</f>
        <v>Pro</v>
      </c>
      <c r="D577">
        <f>'Customers Raw data'!D577</f>
        <v>200</v>
      </c>
      <c r="E577">
        <f>'Customers Raw data'!E577</f>
        <v>100</v>
      </c>
      <c r="F577" t="str">
        <f>'Customers Raw data'!F577</f>
        <v>2025-03-31</v>
      </c>
      <c r="G577">
        <f>IF('Customers Raw data'!F577&lt;&gt;"",1,0)</f>
        <v>1</v>
      </c>
      <c r="H577">
        <f>IF('Customers Raw data'!F577&lt;&gt;"",YEAR(DATEVALUE('Customers Raw data'!F577)),"")</f>
        <v>2025</v>
      </c>
      <c r="I577">
        <f>IF('Customers Raw data'!F577&lt;&gt;"",MONTH(DATEVALUE('Customers Raw data'!F577)),"")</f>
        <v>3</v>
      </c>
      <c r="J577">
        <f>YEAR(DATEVALUE('Customers Raw data'!B577))</f>
        <v>2024</v>
      </c>
      <c r="K577">
        <f>MONTH(DATEVALUE('Customers Raw data'!B577))</f>
        <v>6</v>
      </c>
      <c r="L577">
        <f ca="1">IF('Customers Raw data'!F577&lt;&gt;"",DATEDIF(DATEVALUE('Customers Raw data'!B577),DATEVALUE('Customers Raw data'!F577),"M"),DATEDIF(DATEVALUE('Customers Raw data'!B577),TODAY(),"M"))</f>
        <v>9</v>
      </c>
      <c r="M577">
        <f t="shared" ca="1" si="40"/>
        <v>1800</v>
      </c>
      <c r="N577">
        <f t="shared" si="41"/>
        <v>2</v>
      </c>
      <c r="O577">
        <f t="shared" ca="1" si="42"/>
        <v>0</v>
      </c>
      <c r="P577">
        <f t="shared" si="43"/>
        <v>200</v>
      </c>
      <c r="Q577" t="str">
        <f t="shared" si="44"/>
        <v>2025-03</v>
      </c>
    </row>
    <row r="578" spans="1:17" ht="15" customHeight="1" x14ac:dyDescent="0.25">
      <c r="A578">
        <f>'Customers Raw data'!A578</f>
        <v>1577</v>
      </c>
      <c r="B578" t="str">
        <f>'Customers Raw data'!B578</f>
        <v>2025-04-22</v>
      </c>
      <c r="C578" t="str">
        <f>'Customers Raw data'!C578</f>
        <v>Basic</v>
      </c>
      <c r="D578">
        <f>'Customers Raw data'!D578</f>
        <v>50</v>
      </c>
      <c r="E578">
        <f>'Customers Raw data'!E578</f>
        <v>30</v>
      </c>
      <c r="F578">
        <f>'Customers Raw data'!F578</f>
        <v>0</v>
      </c>
      <c r="G578">
        <f>IF('Customers Raw data'!F578&lt;&gt;"",1,0)</f>
        <v>0</v>
      </c>
      <c r="H578" t="str">
        <f>IF('Customers Raw data'!F578&lt;&gt;"",YEAR(DATEVALUE('Customers Raw data'!F578)),"")</f>
        <v/>
      </c>
      <c r="I578" t="str">
        <f>IF('Customers Raw data'!F578&lt;&gt;"",MONTH(DATEVALUE('Customers Raw data'!F578)),"")</f>
        <v/>
      </c>
      <c r="J578">
        <f>YEAR(DATEVALUE('Customers Raw data'!B578))</f>
        <v>2025</v>
      </c>
      <c r="K578">
        <f>MONTH(DATEVALUE('Customers Raw data'!B578))</f>
        <v>4</v>
      </c>
      <c r="L578">
        <f ca="1">IF('Customers Raw data'!F578&lt;&gt;"",DATEDIF(DATEVALUE('Customers Raw data'!B578),DATEVALUE('Customers Raw data'!F578),"M"),DATEDIF(DATEVALUE('Customers Raw data'!B578),TODAY(),"M"))</f>
        <v>11</v>
      </c>
      <c r="M578">
        <f t="shared" ref="M578:M641" ca="1" si="45">D578*L578</f>
        <v>550</v>
      </c>
      <c r="N578">
        <f t="shared" ref="N578:N641" si="46">IF(C578="Basic",1,IF(C578="Pro",2,IF(C578="Enterprise",3,0)))</f>
        <v>1</v>
      </c>
      <c r="O578">
        <f t="shared" ref="O578:O641" ca="1" si="47">IF(AND(G578=1,L578&lt;6),1,0)</f>
        <v>0</v>
      </c>
      <c r="P578">
        <f t="shared" ref="P578:P641" si="48">IF(G578=1,D578,0)</f>
        <v>0</v>
      </c>
      <c r="Q578" t="e">
        <f t="shared" ref="Q578:Q641" si="49">IF(F578&lt;&gt;"",TEXT(DATEVALUE(F578),"YYYY-MM"),"")</f>
        <v>#VALUE!</v>
      </c>
    </row>
    <row r="579" spans="1:17" ht="15" customHeight="1" x14ac:dyDescent="0.25">
      <c r="A579">
        <f>'Customers Raw data'!A579</f>
        <v>1578</v>
      </c>
      <c r="B579" t="str">
        <f>'Customers Raw data'!B579</f>
        <v>2024-12-01</v>
      </c>
      <c r="C579" t="str">
        <f>'Customers Raw data'!C579</f>
        <v>Basic</v>
      </c>
      <c r="D579">
        <f>'Customers Raw data'!D579</f>
        <v>50</v>
      </c>
      <c r="E579">
        <f>'Customers Raw data'!E579</f>
        <v>30</v>
      </c>
      <c r="F579">
        <f>'Customers Raw data'!F579</f>
        <v>0</v>
      </c>
      <c r="G579">
        <f>IF('Customers Raw data'!F579&lt;&gt;"",1,0)</f>
        <v>0</v>
      </c>
      <c r="H579" t="str">
        <f>IF('Customers Raw data'!F579&lt;&gt;"",YEAR(DATEVALUE('Customers Raw data'!F579)),"")</f>
        <v/>
      </c>
      <c r="I579" t="str">
        <f>IF('Customers Raw data'!F579&lt;&gt;"",MONTH(DATEVALUE('Customers Raw data'!F579)),"")</f>
        <v/>
      </c>
      <c r="J579">
        <f>YEAR(DATEVALUE('Customers Raw data'!B579))</f>
        <v>2024</v>
      </c>
      <c r="K579">
        <f>MONTH(DATEVALUE('Customers Raw data'!B579))</f>
        <v>12</v>
      </c>
      <c r="L579">
        <f ca="1">IF('Customers Raw data'!F579&lt;&gt;"",DATEDIF(DATEVALUE('Customers Raw data'!B579),DATEVALUE('Customers Raw data'!F579),"M"),DATEDIF(DATEVALUE('Customers Raw data'!B579),TODAY(),"M"))</f>
        <v>16</v>
      </c>
      <c r="M579">
        <f t="shared" ca="1" si="45"/>
        <v>800</v>
      </c>
      <c r="N579">
        <f t="shared" si="46"/>
        <v>1</v>
      </c>
      <c r="O579">
        <f t="shared" ca="1" si="47"/>
        <v>0</v>
      </c>
      <c r="P579">
        <f t="shared" si="48"/>
        <v>0</v>
      </c>
      <c r="Q579" t="e">
        <f t="shared" si="49"/>
        <v>#VALUE!</v>
      </c>
    </row>
    <row r="580" spans="1:17" ht="15" customHeight="1" x14ac:dyDescent="0.25">
      <c r="A580">
        <f>'Customers Raw data'!A580</f>
        <v>1579</v>
      </c>
      <c r="B580" t="str">
        <f>'Customers Raw data'!B580</f>
        <v>2025-02-19</v>
      </c>
      <c r="C580" t="str">
        <f>'Customers Raw data'!C580</f>
        <v>Basic</v>
      </c>
      <c r="D580">
        <f>'Customers Raw data'!D580</f>
        <v>50</v>
      </c>
      <c r="E580">
        <f>'Customers Raw data'!E580</f>
        <v>30</v>
      </c>
      <c r="F580" t="str">
        <f>'Customers Raw data'!F580</f>
        <v>2025-05-13</v>
      </c>
      <c r="G580">
        <f>IF('Customers Raw data'!F580&lt;&gt;"",1,0)</f>
        <v>1</v>
      </c>
      <c r="H580">
        <f>IF('Customers Raw data'!F580&lt;&gt;"",YEAR(DATEVALUE('Customers Raw data'!F580)),"")</f>
        <v>2025</v>
      </c>
      <c r="I580">
        <f>IF('Customers Raw data'!F580&lt;&gt;"",MONTH(DATEVALUE('Customers Raw data'!F580)),"")</f>
        <v>5</v>
      </c>
      <c r="J580">
        <f>YEAR(DATEVALUE('Customers Raw data'!B580))</f>
        <v>2025</v>
      </c>
      <c r="K580">
        <f>MONTH(DATEVALUE('Customers Raw data'!B580))</f>
        <v>2</v>
      </c>
      <c r="L580">
        <f ca="1">IF('Customers Raw data'!F580&lt;&gt;"",DATEDIF(DATEVALUE('Customers Raw data'!B580),DATEVALUE('Customers Raw data'!F580),"M"),DATEDIF(DATEVALUE('Customers Raw data'!B580),TODAY(),"M"))</f>
        <v>2</v>
      </c>
      <c r="M580">
        <f t="shared" ca="1" si="45"/>
        <v>100</v>
      </c>
      <c r="N580">
        <f t="shared" si="46"/>
        <v>1</v>
      </c>
      <c r="O580">
        <f t="shared" ca="1" si="47"/>
        <v>1</v>
      </c>
      <c r="P580">
        <f t="shared" si="48"/>
        <v>50</v>
      </c>
      <c r="Q580" t="str">
        <f t="shared" si="49"/>
        <v>2025-05</v>
      </c>
    </row>
    <row r="581" spans="1:17" ht="15" customHeight="1" x14ac:dyDescent="0.25">
      <c r="A581">
        <f>'Customers Raw data'!A581</f>
        <v>1580</v>
      </c>
      <c r="B581" t="str">
        <f>'Customers Raw data'!B581</f>
        <v>2024-05-27</v>
      </c>
      <c r="C581" t="str">
        <f>'Customers Raw data'!C581</f>
        <v>Pro</v>
      </c>
      <c r="D581">
        <f>'Customers Raw data'!D581</f>
        <v>200</v>
      </c>
      <c r="E581">
        <f>'Customers Raw data'!E581</f>
        <v>100</v>
      </c>
      <c r="F581">
        <f>'Customers Raw data'!F581</f>
        <v>0</v>
      </c>
      <c r="G581">
        <f>IF('Customers Raw data'!F581&lt;&gt;"",1,0)</f>
        <v>0</v>
      </c>
      <c r="H581" t="str">
        <f>IF('Customers Raw data'!F581&lt;&gt;"",YEAR(DATEVALUE('Customers Raw data'!F581)),"")</f>
        <v/>
      </c>
      <c r="I581" t="str">
        <f>IF('Customers Raw data'!F581&lt;&gt;"",MONTH(DATEVALUE('Customers Raw data'!F581)),"")</f>
        <v/>
      </c>
      <c r="J581">
        <f>YEAR(DATEVALUE('Customers Raw data'!B581))</f>
        <v>2024</v>
      </c>
      <c r="K581">
        <f>MONTH(DATEVALUE('Customers Raw data'!B581))</f>
        <v>5</v>
      </c>
      <c r="L581">
        <f ca="1">IF('Customers Raw data'!F581&lt;&gt;"",DATEDIF(DATEVALUE('Customers Raw data'!B581),DATEVALUE('Customers Raw data'!F581),"M"),DATEDIF(DATEVALUE('Customers Raw data'!B581),TODAY(),"M"))</f>
        <v>22</v>
      </c>
      <c r="M581">
        <f t="shared" ca="1" si="45"/>
        <v>4400</v>
      </c>
      <c r="N581">
        <f t="shared" si="46"/>
        <v>2</v>
      </c>
      <c r="O581">
        <f t="shared" ca="1" si="47"/>
        <v>0</v>
      </c>
      <c r="P581">
        <f t="shared" si="48"/>
        <v>0</v>
      </c>
      <c r="Q581" t="e">
        <f t="shared" si="49"/>
        <v>#VALUE!</v>
      </c>
    </row>
    <row r="582" spans="1:17" ht="15" customHeight="1" x14ac:dyDescent="0.25">
      <c r="A582">
        <f>'Customers Raw data'!A582</f>
        <v>1581</v>
      </c>
      <c r="B582" t="str">
        <f>'Customers Raw data'!B582</f>
        <v>2025-03-16</v>
      </c>
      <c r="C582" t="str">
        <f>'Customers Raw data'!C582</f>
        <v>Basic</v>
      </c>
      <c r="D582">
        <f>'Customers Raw data'!D582</f>
        <v>50</v>
      </c>
      <c r="E582">
        <f>'Customers Raw data'!E582</f>
        <v>30</v>
      </c>
      <c r="F582">
        <f>'Customers Raw data'!F582</f>
        <v>0</v>
      </c>
      <c r="G582">
        <f>IF('Customers Raw data'!F582&lt;&gt;"",1,0)</f>
        <v>0</v>
      </c>
      <c r="H582" t="str">
        <f>IF('Customers Raw data'!F582&lt;&gt;"",YEAR(DATEVALUE('Customers Raw data'!F582)),"")</f>
        <v/>
      </c>
      <c r="I582" t="str">
        <f>IF('Customers Raw data'!F582&lt;&gt;"",MONTH(DATEVALUE('Customers Raw data'!F582)),"")</f>
        <v/>
      </c>
      <c r="J582">
        <f>YEAR(DATEVALUE('Customers Raw data'!B582))</f>
        <v>2025</v>
      </c>
      <c r="K582">
        <f>MONTH(DATEVALUE('Customers Raw data'!B582))</f>
        <v>3</v>
      </c>
      <c r="L582">
        <f ca="1">IF('Customers Raw data'!F582&lt;&gt;"",DATEDIF(DATEVALUE('Customers Raw data'!B582),DATEVALUE('Customers Raw data'!F582),"M"),DATEDIF(DATEVALUE('Customers Raw data'!B582),TODAY(),"M"))</f>
        <v>12</v>
      </c>
      <c r="M582">
        <f t="shared" ca="1" si="45"/>
        <v>600</v>
      </c>
      <c r="N582">
        <f t="shared" si="46"/>
        <v>1</v>
      </c>
      <c r="O582">
        <f t="shared" ca="1" si="47"/>
        <v>0</v>
      </c>
      <c r="P582">
        <f t="shared" si="48"/>
        <v>0</v>
      </c>
      <c r="Q582" t="e">
        <f t="shared" si="49"/>
        <v>#VALUE!</v>
      </c>
    </row>
    <row r="583" spans="1:17" ht="15" customHeight="1" x14ac:dyDescent="0.25">
      <c r="A583">
        <f>'Customers Raw data'!A583</f>
        <v>1582</v>
      </c>
      <c r="B583" t="str">
        <f>'Customers Raw data'!B583</f>
        <v>2025-05-02</v>
      </c>
      <c r="C583" t="str">
        <f>'Customers Raw data'!C583</f>
        <v>Enterprise</v>
      </c>
      <c r="D583">
        <f>'Customers Raw data'!D583</f>
        <v>500</v>
      </c>
      <c r="E583">
        <f>'Customers Raw data'!E583</f>
        <v>200</v>
      </c>
      <c r="F583">
        <f>'Customers Raw data'!F583</f>
        <v>0</v>
      </c>
      <c r="G583">
        <f>IF('Customers Raw data'!F583&lt;&gt;"",1,0)</f>
        <v>0</v>
      </c>
      <c r="H583" t="str">
        <f>IF('Customers Raw data'!F583&lt;&gt;"",YEAR(DATEVALUE('Customers Raw data'!F583)),"")</f>
        <v/>
      </c>
      <c r="I583" t="str">
        <f>IF('Customers Raw data'!F583&lt;&gt;"",MONTH(DATEVALUE('Customers Raw data'!F583)),"")</f>
        <v/>
      </c>
      <c r="J583">
        <f>YEAR(DATEVALUE('Customers Raw data'!B583))</f>
        <v>2025</v>
      </c>
      <c r="K583">
        <f>MONTH(DATEVALUE('Customers Raw data'!B583))</f>
        <v>5</v>
      </c>
      <c r="L583">
        <f ca="1">IF('Customers Raw data'!F583&lt;&gt;"",DATEDIF(DATEVALUE('Customers Raw data'!B583),DATEVALUE('Customers Raw data'!F583),"M"),DATEDIF(DATEVALUE('Customers Raw data'!B583),TODAY(),"M"))</f>
        <v>11</v>
      </c>
      <c r="M583">
        <f t="shared" ca="1" si="45"/>
        <v>5500</v>
      </c>
      <c r="N583">
        <f t="shared" si="46"/>
        <v>3</v>
      </c>
      <c r="O583">
        <f t="shared" ca="1" si="47"/>
        <v>0</v>
      </c>
      <c r="P583">
        <f t="shared" si="48"/>
        <v>0</v>
      </c>
      <c r="Q583" t="e">
        <f t="shared" si="49"/>
        <v>#VALUE!</v>
      </c>
    </row>
    <row r="584" spans="1:17" ht="15" customHeight="1" x14ac:dyDescent="0.25">
      <c r="A584">
        <f>'Customers Raw data'!A584</f>
        <v>1583</v>
      </c>
      <c r="B584" t="str">
        <f>'Customers Raw data'!B584</f>
        <v>2025-05-21</v>
      </c>
      <c r="C584" t="str">
        <f>'Customers Raw data'!C584</f>
        <v>Basic</v>
      </c>
      <c r="D584">
        <f>'Customers Raw data'!D584</f>
        <v>50</v>
      </c>
      <c r="E584">
        <f>'Customers Raw data'!E584</f>
        <v>30</v>
      </c>
      <c r="F584">
        <f>'Customers Raw data'!F584</f>
        <v>0</v>
      </c>
      <c r="G584">
        <f>IF('Customers Raw data'!F584&lt;&gt;"",1,0)</f>
        <v>0</v>
      </c>
      <c r="H584" t="str">
        <f>IF('Customers Raw data'!F584&lt;&gt;"",YEAR(DATEVALUE('Customers Raw data'!F584)),"")</f>
        <v/>
      </c>
      <c r="I584" t="str">
        <f>IF('Customers Raw data'!F584&lt;&gt;"",MONTH(DATEVALUE('Customers Raw data'!F584)),"")</f>
        <v/>
      </c>
      <c r="J584">
        <f>YEAR(DATEVALUE('Customers Raw data'!B584))</f>
        <v>2025</v>
      </c>
      <c r="K584">
        <f>MONTH(DATEVALUE('Customers Raw data'!B584))</f>
        <v>5</v>
      </c>
      <c r="L584">
        <f ca="1">IF('Customers Raw data'!F584&lt;&gt;"",DATEDIF(DATEVALUE('Customers Raw data'!B584),DATEVALUE('Customers Raw data'!F584),"M"),DATEDIF(DATEVALUE('Customers Raw data'!B584),TODAY(),"M"))</f>
        <v>10</v>
      </c>
      <c r="M584">
        <f t="shared" ca="1" si="45"/>
        <v>500</v>
      </c>
      <c r="N584">
        <f t="shared" si="46"/>
        <v>1</v>
      </c>
      <c r="O584">
        <f t="shared" ca="1" si="47"/>
        <v>0</v>
      </c>
      <c r="P584">
        <f t="shared" si="48"/>
        <v>0</v>
      </c>
      <c r="Q584" t="e">
        <f t="shared" si="49"/>
        <v>#VALUE!</v>
      </c>
    </row>
    <row r="585" spans="1:17" ht="15" customHeight="1" x14ac:dyDescent="0.25">
      <c r="A585">
        <f>'Customers Raw data'!A585</f>
        <v>1584</v>
      </c>
      <c r="B585" t="str">
        <f>'Customers Raw data'!B585</f>
        <v>2025-04-08</v>
      </c>
      <c r="C585" t="str">
        <f>'Customers Raw data'!C585</f>
        <v>Enterprise</v>
      </c>
      <c r="D585">
        <f>'Customers Raw data'!D585</f>
        <v>500</v>
      </c>
      <c r="E585">
        <f>'Customers Raw data'!E585</f>
        <v>200</v>
      </c>
      <c r="F585">
        <f>'Customers Raw data'!F585</f>
        <v>0</v>
      </c>
      <c r="G585">
        <f>IF('Customers Raw data'!F585&lt;&gt;"",1,0)</f>
        <v>0</v>
      </c>
      <c r="H585" t="str">
        <f>IF('Customers Raw data'!F585&lt;&gt;"",YEAR(DATEVALUE('Customers Raw data'!F585)),"")</f>
        <v/>
      </c>
      <c r="I585" t="str">
        <f>IF('Customers Raw data'!F585&lt;&gt;"",MONTH(DATEVALUE('Customers Raw data'!F585)),"")</f>
        <v/>
      </c>
      <c r="J585">
        <f>YEAR(DATEVALUE('Customers Raw data'!B585))</f>
        <v>2025</v>
      </c>
      <c r="K585">
        <f>MONTH(DATEVALUE('Customers Raw data'!B585))</f>
        <v>4</v>
      </c>
      <c r="L585">
        <f ca="1">IF('Customers Raw data'!F585&lt;&gt;"",DATEDIF(DATEVALUE('Customers Raw data'!B585),DATEVALUE('Customers Raw data'!F585),"M"),DATEDIF(DATEVALUE('Customers Raw data'!B585),TODAY(),"M"))</f>
        <v>11</v>
      </c>
      <c r="M585">
        <f t="shared" ca="1" si="45"/>
        <v>5500</v>
      </c>
      <c r="N585">
        <f t="shared" si="46"/>
        <v>3</v>
      </c>
      <c r="O585">
        <f t="shared" ca="1" si="47"/>
        <v>0</v>
      </c>
      <c r="P585">
        <f t="shared" si="48"/>
        <v>0</v>
      </c>
      <c r="Q585" t="e">
        <f t="shared" si="49"/>
        <v>#VALUE!</v>
      </c>
    </row>
    <row r="586" spans="1:17" ht="15" customHeight="1" x14ac:dyDescent="0.25">
      <c r="A586">
        <f>'Customers Raw data'!A586</f>
        <v>1585</v>
      </c>
      <c r="B586" t="str">
        <f>'Customers Raw data'!B586</f>
        <v>2025-02-10</v>
      </c>
      <c r="C586" t="str">
        <f>'Customers Raw data'!C586</f>
        <v>Pro</v>
      </c>
      <c r="D586">
        <f>'Customers Raw data'!D586</f>
        <v>200</v>
      </c>
      <c r="E586">
        <f>'Customers Raw data'!E586</f>
        <v>100</v>
      </c>
      <c r="F586">
        <f>'Customers Raw data'!F586</f>
        <v>0</v>
      </c>
      <c r="G586">
        <f>IF('Customers Raw data'!F586&lt;&gt;"",1,0)</f>
        <v>0</v>
      </c>
      <c r="H586" t="str">
        <f>IF('Customers Raw data'!F586&lt;&gt;"",YEAR(DATEVALUE('Customers Raw data'!F586)),"")</f>
        <v/>
      </c>
      <c r="I586" t="str">
        <f>IF('Customers Raw data'!F586&lt;&gt;"",MONTH(DATEVALUE('Customers Raw data'!F586)),"")</f>
        <v/>
      </c>
      <c r="J586">
        <f>YEAR(DATEVALUE('Customers Raw data'!B586))</f>
        <v>2025</v>
      </c>
      <c r="K586">
        <f>MONTH(DATEVALUE('Customers Raw data'!B586))</f>
        <v>2</v>
      </c>
      <c r="L586">
        <f ca="1">IF('Customers Raw data'!F586&lt;&gt;"",DATEDIF(DATEVALUE('Customers Raw data'!B586),DATEVALUE('Customers Raw data'!F586),"M"),DATEDIF(DATEVALUE('Customers Raw data'!B586),TODAY(),"M"))</f>
        <v>13</v>
      </c>
      <c r="M586">
        <f t="shared" ca="1" si="45"/>
        <v>2600</v>
      </c>
      <c r="N586">
        <f t="shared" si="46"/>
        <v>2</v>
      </c>
      <c r="O586">
        <f t="shared" ca="1" si="47"/>
        <v>0</v>
      </c>
      <c r="P586">
        <f t="shared" si="48"/>
        <v>0</v>
      </c>
      <c r="Q586" t="e">
        <f t="shared" si="49"/>
        <v>#VALUE!</v>
      </c>
    </row>
    <row r="587" spans="1:17" ht="15" customHeight="1" x14ac:dyDescent="0.25">
      <c r="A587">
        <f>'Customers Raw data'!A587</f>
        <v>1586</v>
      </c>
      <c r="B587" t="str">
        <f>'Customers Raw data'!B587</f>
        <v>2025-02-03</v>
      </c>
      <c r="C587" t="str">
        <f>'Customers Raw data'!C587</f>
        <v>Pro</v>
      </c>
      <c r="D587">
        <f>'Customers Raw data'!D587</f>
        <v>200</v>
      </c>
      <c r="E587">
        <f>'Customers Raw data'!E587</f>
        <v>100</v>
      </c>
      <c r="F587" t="str">
        <f>'Customers Raw data'!F587</f>
        <v>2025-06-30</v>
      </c>
      <c r="G587">
        <f>IF('Customers Raw data'!F587&lt;&gt;"",1,0)</f>
        <v>1</v>
      </c>
      <c r="H587">
        <f>IF('Customers Raw data'!F587&lt;&gt;"",YEAR(DATEVALUE('Customers Raw data'!F587)),"")</f>
        <v>2025</v>
      </c>
      <c r="I587">
        <f>IF('Customers Raw data'!F587&lt;&gt;"",MONTH(DATEVALUE('Customers Raw data'!F587)),"")</f>
        <v>6</v>
      </c>
      <c r="J587">
        <f>YEAR(DATEVALUE('Customers Raw data'!B587))</f>
        <v>2025</v>
      </c>
      <c r="K587">
        <f>MONTH(DATEVALUE('Customers Raw data'!B587))</f>
        <v>2</v>
      </c>
      <c r="L587">
        <f ca="1">IF('Customers Raw data'!F587&lt;&gt;"",DATEDIF(DATEVALUE('Customers Raw data'!B587),DATEVALUE('Customers Raw data'!F587),"M"),DATEDIF(DATEVALUE('Customers Raw data'!B587),TODAY(),"M"))</f>
        <v>4</v>
      </c>
      <c r="M587">
        <f t="shared" ca="1" si="45"/>
        <v>800</v>
      </c>
      <c r="N587">
        <f t="shared" si="46"/>
        <v>2</v>
      </c>
      <c r="O587">
        <f t="shared" ca="1" si="47"/>
        <v>1</v>
      </c>
      <c r="P587">
        <f t="shared" si="48"/>
        <v>200</v>
      </c>
      <c r="Q587" t="str">
        <f t="shared" si="49"/>
        <v>2025-06</v>
      </c>
    </row>
    <row r="588" spans="1:17" ht="15" customHeight="1" x14ac:dyDescent="0.25">
      <c r="A588">
        <f>'Customers Raw data'!A588</f>
        <v>1587</v>
      </c>
      <c r="B588" t="str">
        <f>'Customers Raw data'!B588</f>
        <v>2025-03-29</v>
      </c>
      <c r="C588" t="str">
        <f>'Customers Raw data'!C588</f>
        <v>Pro</v>
      </c>
      <c r="D588">
        <f>'Customers Raw data'!D588</f>
        <v>200</v>
      </c>
      <c r="E588">
        <f>'Customers Raw data'!E588</f>
        <v>100</v>
      </c>
      <c r="F588">
        <f>'Customers Raw data'!F588</f>
        <v>0</v>
      </c>
      <c r="G588">
        <f>IF('Customers Raw data'!F588&lt;&gt;"",1,0)</f>
        <v>0</v>
      </c>
      <c r="H588" t="str">
        <f>IF('Customers Raw data'!F588&lt;&gt;"",YEAR(DATEVALUE('Customers Raw data'!F588)),"")</f>
        <v/>
      </c>
      <c r="I588" t="str">
        <f>IF('Customers Raw data'!F588&lt;&gt;"",MONTH(DATEVALUE('Customers Raw data'!F588)),"")</f>
        <v/>
      </c>
      <c r="J588">
        <f>YEAR(DATEVALUE('Customers Raw data'!B588))</f>
        <v>2025</v>
      </c>
      <c r="K588">
        <f>MONTH(DATEVALUE('Customers Raw data'!B588))</f>
        <v>3</v>
      </c>
      <c r="L588">
        <f ca="1">IF('Customers Raw data'!F588&lt;&gt;"",DATEDIF(DATEVALUE('Customers Raw data'!B588),DATEVALUE('Customers Raw data'!F588),"M"),DATEDIF(DATEVALUE('Customers Raw data'!B588),TODAY(),"M"))</f>
        <v>12</v>
      </c>
      <c r="M588">
        <f t="shared" ca="1" si="45"/>
        <v>2400</v>
      </c>
      <c r="N588">
        <f t="shared" si="46"/>
        <v>2</v>
      </c>
      <c r="O588">
        <f t="shared" ca="1" si="47"/>
        <v>0</v>
      </c>
      <c r="P588">
        <f t="shared" si="48"/>
        <v>0</v>
      </c>
      <c r="Q588" t="e">
        <f t="shared" si="49"/>
        <v>#VALUE!</v>
      </c>
    </row>
    <row r="589" spans="1:17" ht="15" customHeight="1" x14ac:dyDescent="0.25">
      <c r="A589">
        <f>'Customers Raw data'!A589</f>
        <v>1588</v>
      </c>
      <c r="B589" t="str">
        <f>'Customers Raw data'!B589</f>
        <v>2024-05-18</v>
      </c>
      <c r="C589" t="str">
        <f>'Customers Raw data'!C589</f>
        <v>Basic</v>
      </c>
      <c r="D589">
        <f>'Customers Raw data'!D589</f>
        <v>50</v>
      </c>
      <c r="E589">
        <f>'Customers Raw data'!E589</f>
        <v>30</v>
      </c>
      <c r="F589">
        <f>'Customers Raw data'!F589</f>
        <v>0</v>
      </c>
      <c r="G589">
        <f>IF('Customers Raw data'!F589&lt;&gt;"",1,0)</f>
        <v>0</v>
      </c>
      <c r="H589" t="str">
        <f>IF('Customers Raw data'!F589&lt;&gt;"",YEAR(DATEVALUE('Customers Raw data'!F589)),"")</f>
        <v/>
      </c>
      <c r="I589" t="str">
        <f>IF('Customers Raw data'!F589&lt;&gt;"",MONTH(DATEVALUE('Customers Raw data'!F589)),"")</f>
        <v/>
      </c>
      <c r="J589">
        <f>YEAR(DATEVALUE('Customers Raw data'!B589))</f>
        <v>2024</v>
      </c>
      <c r="K589">
        <f>MONTH(DATEVALUE('Customers Raw data'!B589))</f>
        <v>5</v>
      </c>
      <c r="L589">
        <f ca="1">IF('Customers Raw data'!F589&lt;&gt;"",DATEDIF(DATEVALUE('Customers Raw data'!B589),DATEVALUE('Customers Raw data'!F589),"M"),DATEDIF(DATEVALUE('Customers Raw data'!B589),TODAY(),"M"))</f>
        <v>22</v>
      </c>
      <c r="M589">
        <f t="shared" ca="1" si="45"/>
        <v>1100</v>
      </c>
      <c r="N589">
        <f t="shared" si="46"/>
        <v>1</v>
      </c>
      <c r="O589">
        <f t="shared" ca="1" si="47"/>
        <v>0</v>
      </c>
      <c r="P589">
        <f t="shared" si="48"/>
        <v>0</v>
      </c>
      <c r="Q589" t="e">
        <f t="shared" si="49"/>
        <v>#VALUE!</v>
      </c>
    </row>
    <row r="590" spans="1:17" ht="15" customHeight="1" x14ac:dyDescent="0.25">
      <c r="A590">
        <f>'Customers Raw data'!A590</f>
        <v>1589</v>
      </c>
      <c r="B590" t="str">
        <f>'Customers Raw data'!B590</f>
        <v>2024-12-28</v>
      </c>
      <c r="C590" t="str">
        <f>'Customers Raw data'!C590</f>
        <v>Enterprise</v>
      </c>
      <c r="D590">
        <f>'Customers Raw data'!D590</f>
        <v>500</v>
      </c>
      <c r="E590">
        <f>'Customers Raw data'!E590</f>
        <v>200</v>
      </c>
      <c r="F590">
        <f>'Customers Raw data'!F590</f>
        <v>0</v>
      </c>
      <c r="G590">
        <f>IF('Customers Raw data'!F590&lt;&gt;"",1,0)</f>
        <v>0</v>
      </c>
      <c r="H590" t="str">
        <f>IF('Customers Raw data'!F590&lt;&gt;"",YEAR(DATEVALUE('Customers Raw data'!F590)),"")</f>
        <v/>
      </c>
      <c r="I590" t="str">
        <f>IF('Customers Raw data'!F590&lt;&gt;"",MONTH(DATEVALUE('Customers Raw data'!F590)),"")</f>
        <v/>
      </c>
      <c r="J590">
        <f>YEAR(DATEVALUE('Customers Raw data'!B590))</f>
        <v>2024</v>
      </c>
      <c r="K590">
        <f>MONTH(DATEVALUE('Customers Raw data'!B590))</f>
        <v>12</v>
      </c>
      <c r="L590">
        <f ca="1">IF('Customers Raw data'!F590&lt;&gt;"",DATEDIF(DATEVALUE('Customers Raw data'!B590),DATEVALUE('Customers Raw data'!F590),"M"),DATEDIF(DATEVALUE('Customers Raw data'!B590),TODAY(),"M"))</f>
        <v>15</v>
      </c>
      <c r="M590">
        <f t="shared" ca="1" si="45"/>
        <v>7500</v>
      </c>
      <c r="N590">
        <f t="shared" si="46"/>
        <v>3</v>
      </c>
      <c r="O590">
        <f t="shared" ca="1" si="47"/>
        <v>0</v>
      </c>
      <c r="P590">
        <f t="shared" si="48"/>
        <v>0</v>
      </c>
      <c r="Q590" t="e">
        <f t="shared" si="49"/>
        <v>#VALUE!</v>
      </c>
    </row>
    <row r="591" spans="1:17" ht="15" customHeight="1" x14ac:dyDescent="0.25">
      <c r="A591">
        <f>'Customers Raw data'!A591</f>
        <v>1590</v>
      </c>
      <c r="B591" t="str">
        <f>'Customers Raw data'!B591</f>
        <v>2024-11-05</v>
      </c>
      <c r="C591" t="str">
        <f>'Customers Raw data'!C591</f>
        <v>Enterprise</v>
      </c>
      <c r="D591">
        <f>'Customers Raw data'!D591</f>
        <v>500</v>
      </c>
      <c r="E591">
        <f>'Customers Raw data'!E591</f>
        <v>200</v>
      </c>
      <c r="F591">
        <f>'Customers Raw data'!F591</f>
        <v>0</v>
      </c>
      <c r="G591">
        <f>IF('Customers Raw data'!F591&lt;&gt;"",1,0)</f>
        <v>0</v>
      </c>
      <c r="H591" t="str">
        <f>IF('Customers Raw data'!F591&lt;&gt;"",YEAR(DATEVALUE('Customers Raw data'!F591)),"")</f>
        <v/>
      </c>
      <c r="I591" t="str">
        <f>IF('Customers Raw data'!F591&lt;&gt;"",MONTH(DATEVALUE('Customers Raw data'!F591)),"")</f>
        <v/>
      </c>
      <c r="J591">
        <f>YEAR(DATEVALUE('Customers Raw data'!B591))</f>
        <v>2024</v>
      </c>
      <c r="K591">
        <f>MONTH(DATEVALUE('Customers Raw data'!B591))</f>
        <v>11</v>
      </c>
      <c r="L591">
        <f ca="1">IF('Customers Raw data'!F591&lt;&gt;"",DATEDIF(DATEVALUE('Customers Raw data'!B591),DATEVALUE('Customers Raw data'!F591),"M"),DATEDIF(DATEVALUE('Customers Raw data'!B591),TODAY(),"M"))</f>
        <v>17</v>
      </c>
      <c r="M591">
        <f t="shared" ca="1" si="45"/>
        <v>8500</v>
      </c>
      <c r="N591">
        <f t="shared" si="46"/>
        <v>3</v>
      </c>
      <c r="O591">
        <f t="shared" ca="1" si="47"/>
        <v>0</v>
      </c>
      <c r="P591">
        <f t="shared" si="48"/>
        <v>0</v>
      </c>
      <c r="Q591" t="e">
        <f t="shared" si="49"/>
        <v>#VALUE!</v>
      </c>
    </row>
    <row r="592" spans="1:17" ht="15" customHeight="1" x14ac:dyDescent="0.25">
      <c r="A592">
        <f>'Customers Raw data'!A592</f>
        <v>1591</v>
      </c>
      <c r="B592" t="str">
        <f>'Customers Raw data'!B592</f>
        <v>2024-11-28</v>
      </c>
      <c r="C592" t="str">
        <f>'Customers Raw data'!C592</f>
        <v>Enterprise</v>
      </c>
      <c r="D592">
        <f>'Customers Raw data'!D592</f>
        <v>500</v>
      </c>
      <c r="E592">
        <f>'Customers Raw data'!E592</f>
        <v>200</v>
      </c>
      <c r="F592">
        <f>'Customers Raw data'!F592</f>
        <v>0</v>
      </c>
      <c r="G592">
        <f>IF('Customers Raw data'!F592&lt;&gt;"",1,0)</f>
        <v>0</v>
      </c>
      <c r="H592" t="str">
        <f>IF('Customers Raw data'!F592&lt;&gt;"",YEAR(DATEVALUE('Customers Raw data'!F592)),"")</f>
        <v/>
      </c>
      <c r="I592" t="str">
        <f>IF('Customers Raw data'!F592&lt;&gt;"",MONTH(DATEVALUE('Customers Raw data'!F592)),"")</f>
        <v/>
      </c>
      <c r="J592">
        <f>YEAR(DATEVALUE('Customers Raw data'!B592))</f>
        <v>2024</v>
      </c>
      <c r="K592">
        <f>MONTH(DATEVALUE('Customers Raw data'!B592))</f>
        <v>11</v>
      </c>
      <c r="L592">
        <f ca="1">IF('Customers Raw data'!F592&lt;&gt;"",DATEDIF(DATEVALUE('Customers Raw data'!B592),DATEVALUE('Customers Raw data'!F592),"M"),DATEDIF(DATEVALUE('Customers Raw data'!B592),TODAY(),"M"))</f>
        <v>16</v>
      </c>
      <c r="M592">
        <f t="shared" ca="1" si="45"/>
        <v>8000</v>
      </c>
      <c r="N592">
        <f t="shared" si="46"/>
        <v>3</v>
      </c>
      <c r="O592">
        <f t="shared" ca="1" si="47"/>
        <v>0</v>
      </c>
      <c r="P592">
        <f t="shared" si="48"/>
        <v>0</v>
      </c>
      <c r="Q592" t="e">
        <f t="shared" si="49"/>
        <v>#VALUE!</v>
      </c>
    </row>
    <row r="593" spans="1:17" ht="15" customHeight="1" x14ac:dyDescent="0.25">
      <c r="A593">
        <f>'Customers Raw data'!A593</f>
        <v>1592</v>
      </c>
      <c r="B593" t="str">
        <f>'Customers Raw data'!B593</f>
        <v>2024-03-29</v>
      </c>
      <c r="C593" t="str">
        <f>'Customers Raw data'!C593</f>
        <v>Pro</v>
      </c>
      <c r="D593">
        <f>'Customers Raw data'!D593</f>
        <v>200</v>
      </c>
      <c r="E593">
        <f>'Customers Raw data'!E593</f>
        <v>100</v>
      </c>
      <c r="F593">
        <f>'Customers Raw data'!F593</f>
        <v>0</v>
      </c>
      <c r="G593">
        <f>IF('Customers Raw data'!F593&lt;&gt;"",1,0)</f>
        <v>0</v>
      </c>
      <c r="H593" t="str">
        <f>IF('Customers Raw data'!F593&lt;&gt;"",YEAR(DATEVALUE('Customers Raw data'!F593)),"")</f>
        <v/>
      </c>
      <c r="I593" t="str">
        <f>IF('Customers Raw data'!F593&lt;&gt;"",MONTH(DATEVALUE('Customers Raw data'!F593)),"")</f>
        <v/>
      </c>
      <c r="J593">
        <f>YEAR(DATEVALUE('Customers Raw data'!B593))</f>
        <v>2024</v>
      </c>
      <c r="K593">
        <f>MONTH(DATEVALUE('Customers Raw data'!B593))</f>
        <v>3</v>
      </c>
      <c r="L593">
        <f ca="1">IF('Customers Raw data'!F593&lt;&gt;"",DATEDIF(DATEVALUE('Customers Raw data'!B593),DATEVALUE('Customers Raw data'!F593),"M"),DATEDIF(DATEVALUE('Customers Raw data'!B593),TODAY(),"M"))</f>
        <v>24</v>
      </c>
      <c r="M593">
        <f t="shared" ca="1" si="45"/>
        <v>4800</v>
      </c>
      <c r="N593">
        <f t="shared" si="46"/>
        <v>2</v>
      </c>
      <c r="O593">
        <f t="shared" ca="1" si="47"/>
        <v>0</v>
      </c>
      <c r="P593">
        <f t="shared" si="48"/>
        <v>0</v>
      </c>
      <c r="Q593" t="e">
        <f t="shared" si="49"/>
        <v>#VALUE!</v>
      </c>
    </row>
    <row r="594" spans="1:17" ht="15" customHeight="1" x14ac:dyDescent="0.25">
      <c r="A594">
        <f>'Customers Raw data'!A594</f>
        <v>1593</v>
      </c>
      <c r="B594" t="str">
        <f>'Customers Raw data'!B594</f>
        <v>2025-05-02</v>
      </c>
      <c r="C594" t="str">
        <f>'Customers Raw data'!C594</f>
        <v>Basic</v>
      </c>
      <c r="D594">
        <f>'Customers Raw data'!D594</f>
        <v>50</v>
      </c>
      <c r="E594">
        <f>'Customers Raw data'!E594</f>
        <v>30</v>
      </c>
      <c r="F594" t="str">
        <f>'Customers Raw data'!F594</f>
        <v>2025-06-01</v>
      </c>
      <c r="G594">
        <f>IF('Customers Raw data'!F594&lt;&gt;"",1,0)</f>
        <v>1</v>
      </c>
      <c r="H594">
        <f>IF('Customers Raw data'!F594&lt;&gt;"",YEAR(DATEVALUE('Customers Raw data'!F594)),"")</f>
        <v>2025</v>
      </c>
      <c r="I594">
        <f>IF('Customers Raw data'!F594&lt;&gt;"",MONTH(DATEVALUE('Customers Raw data'!F594)),"")</f>
        <v>6</v>
      </c>
      <c r="J594">
        <f>YEAR(DATEVALUE('Customers Raw data'!B594))</f>
        <v>2025</v>
      </c>
      <c r="K594">
        <f>MONTH(DATEVALUE('Customers Raw data'!B594))</f>
        <v>5</v>
      </c>
      <c r="L594">
        <f ca="1">IF('Customers Raw data'!F594&lt;&gt;"",DATEDIF(DATEVALUE('Customers Raw data'!B594),DATEVALUE('Customers Raw data'!F594),"M"),DATEDIF(DATEVALUE('Customers Raw data'!B594),TODAY(),"M"))</f>
        <v>0</v>
      </c>
      <c r="M594">
        <f t="shared" ca="1" si="45"/>
        <v>0</v>
      </c>
      <c r="N594">
        <f t="shared" si="46"/>
        <v>1</v>
      </c>
      <c r="O594">
        <f t="shared" ca="1" si="47"/>
        <v>1</v>
      </c>
      <c r="P594">
        <f t="shared" si="48"/>
        <v>50</v>
      </c>
      <c r="Q594" t="str">
        <f t="shared" si="49"/>
        <v>2025-06</v>
      </c>
    </row>
    <row r="595" spans="1:17" ht="15" customHeight="1" x14ac:dyDescent="0.25">
      <c r="A595">
        <f>'Customers Raw data'!A595</f>
        <v>1594</v>
      </c>
      <c r="B595" t="str">
        <f>'Customers Raw data'!B595</f>
        <v>2024-08-05</v>
      </c>
      <c r="C595" t="str">
        <f>'Customers Raw data'!C595</f>
        <v>Pro</v>
      </c>
      <c r="D595">
        <f>'Customers Raw data'!D595</f>
        <v>200</v>
      </c>
      <c r="E595">
        <f>'Customers Raw data'!E595</f>
        <v>100</v>
      </c>
      <c r="F595">
        <f>'Customers Raw data'!F595</f>
        <v>0</v>
      </c>
      <c r="G595">
        <f>IF('Customers Raw data'!F595&lt;&gt;"",1,0)</f>
        <v>0</v>
      </c>
      <c r="H595" t="str">
        <f>IF('Customers Raw data'!F595&lt;&gt;"",YEAR(DATEVALUE('Customers Raw data'!F595)),"")</f>
        <v/>
      </c>
      <c r="I595" t="str">
        <f>IF('Customers Raw data'!F595&lt;&gt;"",MONTH(DATEVALUE('Customers Raw data'!F595)),"")</f>
        <v/>
      </c>
      <c r="J595">
        <f>YEAR(DATEVALUE('Customers Raw data'!B595))</f>
        <v>2024</v>
      </c>
      <c r="K595">
        <f>MONTH(DATEVALUE('Customers Raw data'!B595))</f>
        <v>8</v>
      </c>
      <c r="L595">
        <f ca="1">IF('Customers Raw data'!F595&lt;&gt;"",DATEDIF(DATEVALUE('Customers Raw data'!B595),DATEVALUE('Customers Raw data'!F595),"M"),DATEDIF(DATEVALUE('Customers Raw data'!B595),TODAY(),"M"))</f>
        <v>20</v>
      </c>
      <c r="M595">
        <f t="shared" ca="1" si="45"/>
        <v>4000</v>
      </c>
      <c r="N595">
        <f t="shared" si="46"/>
        <v>2</v>
      </c>
      <c r="O595">
        <f t="shared" ca="1" si="47"/>
        <v>0</v>
      </c>
      <c r="P595">
        <f t="shared" si="48"/>
        <v>0</v>
      </c>
      <c r="Q595" t="e">
        <f t="shared" si="49"/>
        <v>#VALUE!</v>
      </c>
    </row>
    <row r="596" spans="1:17" ht="15" customHeight="1" x14ac:dyDescent="0.25">
      <c r="A596">
        <f>'Customers Raw data'!A596</f>
        <v>1595</v>
      </c>
      <c r="B596" t="str">
        <f>'Customers Raw data'!B596</f>
        <v>2024-05-13</v>
      </c>
      <c r="C596" t="str">
        <f>'Customers Raw data'!C596</f>
        <v>Pro</v>
      </c>
      <c r="D596">
        <f>'Customers Raw data'!D596</f>
        <v>200</v>
      </c>
      <c r="E596">
        <f>'Customers Raw data'!E596</f>
        <v>100</v>
      </c>
      <c r="F596" t="str">
        <f>'Customers Raw data'!F596</f>
        <v>2024-08-20</v>
      </c>
      <c r="G596">
        <f>IF('Customers Raw data'!F596&lt;&gt;"",1,0)</f>
        <v>1</v>
      </c>
      <c r="H596">
        <f>IF('Customers Raw data'!F596&lt;&gt;"",YEAR(DATEVALUE('Customers Raw data'!F596)),"")</f>
        <v>2024</v>
      </c>
      <c r="I596">
        <f>IF('Customers Raw data'!F596&lt;&gt;"",MONTH(DATEVALUE('Customers Raw data'!F596)),"")</f>
        <v>8</v>
      </c>
      <c r="J596">
        <f>YEAR(DATEVALUE('Customers Raw data'!B596))</f>
        <v>2024</v>
      </c>
      <c r="K596">
        <f>MONTH(DATEVALUE('Customers Raw data'!B596))</f>
        <v>5</v>
      </c>
      <c r="L596">
        <f ca="1">IF('Customers Raw data'!F596&lt;&gt;"",DATEDIF(DATEVALUE('Customers Raw data'!B596),DATEVALUE('Customers Raw data'!F596),"M"),DATEDIF(DATEVALUE('Customers Raw data'!B596),TODAY(),"M"))</f>
        <v>3</v>
      </c>
      <c r="M596">
        <f t="shared" ca="1" si="45"/>
        <v>600</v>
      </c>
      <c r="N596">
        <f t="shared" si="46"/>
        <v>2</v>
      </c>
      <c r="O596">
        <f t="shared" ca="1" si="47"/>
        <v>1</v>
      </c>
      <c r="P596">
        <f t="shared" si="48"/>
        <v>200</v>
      </c>
      <c r="Q596" t="str">
        <f t="shared" si="49"/>
        <v>2024-08</v>
      </c>
    </row>
    <row r="597" spans="1:17" ht="15" customHeight="1" x14ac:dyDescent="0.25">
      <c r="A597">
        <f>'Customers Raw data'!A597</f>
        <v>1596</v>
      </c>
      <c r="B597" t="str">
        <f>'Customers Raw data'!B597</f>
        <v>2024-08-10</v>
      </c>
      <c r="C597" t="str">
        <f>'Customers Raw data'!C597</f>
        <v>Pro</v>
      </c>
      <c r="D597">
        <f>'Customers Raw data'!D597</f>
        <v>200</v>
      </c>
      <c r="E597">
        <f>'Customers Raw data'!E597</f>
        <v>100</v>
      </c>
      <c r="F597">
        <f>'Customers Raw data'!F597</f>
        <v>0</v>
      </c>
      <c r="G597">
        <f>IF('Customers Raw data'!F597&lt;&gt;"",1,0)</f>
        <v>0</v>
      </c>
      <c r="H597" t="str">
        <f>IF('Customers Raw data'!F597&lt;&gt;"",YEAR(DATEVALUE('Customers Raw data'!F597)),"")</f>
        <v/>
      </c>
      <c r="I597" t="str">
        <f>IF('Customers Raw data'!F597&lt;&gt;"",MONTH(DATEVALUE('Customers Raw data'!F597)),"")</f>
        <v/>
      </c>
      <c r="J597">
        <f>YEAR(DATEVALUE('Customers Raw data'!B597))</f>
        <v>2024</v>
      </c>
      <c r="K597">
        <f>MONTH(DATEVALUE('Customers Raw data'!B597))</f>
        <v>8</v>
      </c>
      <c r="L597">
        <f ca="1">IF('Customers Raw data'!F597&lt;&gt;"",DATEDIF(DATEVALUE('Customers Raw data'!B597),DATEVALUE('Customers Raw data'!F597),"M"),DATEDIF(DATEVALUE('Customers Raw data'!B597),TODAY(),"M"))</f>
        <v>19</v>
      </c>
      <c r="M597">
        <f t="shared" ca="1" si="45"/>
        <v>3800</v>
      </c>
      <c r="N597">
        <f t="shared" si="46"/>
        <v>2</v>
      </c>
      <c r="O597">
        <f t="shared" ca="1" si="47"/>
        <v>0</v>
      </c>
      <c r="P597">
        <f t="shared" si="48"/>
        <v>0</v>
      </c>
      <c r="Q597" t="e">
        <f t="shared" si="49"/>
        <v>#VALUE!</v>
      </c>
    </row>
    <row r="598" spans="1:17" ht="15" customHeight="1" x14ac:dyDescent="0.25">
      <c r="A598">
        <f>'Customers Raw data'!A598</f>
        <v>1597</v>
      </c>
      <c r="B598" t="str">
        <f>'Customers Raw data'!B598</f>
        <v>2024-12-04</v>
      </c>
      <c r="C598" t="str">
        <f>'Customers Raw data'!C598</f>
        <v>Basic</v>
      </c>
      <c r="D598">
        <f>'Customers Raw data'!D598</f>
        <v>50</v>
      </c>
      <c r="E598">
        <f>'Customers Raw data'!E598</f>
        <v>30</v>
      </c>
      <c r="F598">
        <f>'Customers Raw data'!F598</f>
        <v>0</v>
      </c>
      <c r="G598">
        <f>IF('Customers Raw data'!F598&lt;&gt;"",1,0)</f>
        <v>0</v>
      </c>
      <c r="H598" t="str">
        <f>IF('Customers Raw data'!F598&lt;&gt;"",YEAR(DATEVALUE('Customers Raw data'!F598)),"")</f>
        <v/>
      </c>
      <c r="I598" t="str">
        <f>IF('Customers Raw data'!F598&lt;&gt;"",MONTH(DATEVALUE('Customers Raw data'!F598)),"")</f>
        <v/>
      </c>
      <c r="J598">
        <f>YEAR(DATEVALUE('Customers Raw data'!B598))</f>
        <v>2024</v>
      </c>
      <c r="K598">
        <f>MONTH(DATEVALUE('Customers Raw data'!B598))</f>
        <v>12</v>
      </c>
      <c r="L598">
        <f ca="1">IF('Customers Raw data'!F598&lt;&gt;"",DATEDIF(DATEVALUE('Customers Raw data'!B598),DATEVALUE('Customers Raw data'!F598),"M"),DATEDIF(DATEVALUE('Customers Raw data'!B598),TODAY(),"M"))</f>
        <v>16</v>
      </c>
      <c r="M598">
        <f t="shared" ca="1" si="45"/>
        <v>800</v>
      </c>
      <c r="N598">
        <f t="shared" si="46"/>
        <v>1</v>
      </c>
      <c r="O598">
        <f t="shared" ca="1" si="47"/>
        <v>0</v>
      </c>
      <c r="P598">
        <f t="shared" si="48"/>
        <v>0</v>
      </c>
      <c r="Q598" t="e">
        <f t="shared" si="49"/>
        <v>#VALUE!</v>
      </c>
    </row>
    <row r="599" spans="1:17" ht="15" customHeight="1" x14ac:dyDescent="0.25">
      <c r="A599">
        <f>'Customers Raw data'!A599</f>
        <v>1598</v>
      </c>
      <c r="B599" t="str">
        <f>'Customers Raw data'!B599</f>
        <v>2024-04-23</v>
      </c>
      <c r="C599" t="str">
        <f>'Customers Raw data'!C599</f>
        <v>Basic</v>
      </c>
      <c r="D599">
        <f>'Customers Raw data'!D599</f>
        <v>50</v>
      </c>
      <c r="E599">
        <f>'Customers Raw data'!E599</f>
        <v>30</v>
      </c>
      <c r="F599">
        <f>'Customers Raw data'!F599</f>
        <v>0</v>
      </c>
      <c r="G599">
        <f>IF('Customers Raw data'!F599&lt;&gt;"",1,0)</f>
        <v>0</v>
      </c>
      <c r="H599" t="str">
        <f>IF('Customers Raw data'!F599&lt;&gt;"",YEAR(DATEVALUE('Customers Raw data'!F599)),"")</f>
        <v/>
      </c>
      <c r="I599" t="str">
        <f>IF('Customers Raw data'!F599&lt;&gt;"",MONTH(DATEVALUE('Customers Raw data'!F599)),"")</f>
        <v/>
      </c>
      <c r="J599">
        <f>YEAR(DATEVALUE('Customers Raw data'!B599))</f>
        <v>2024</v>
      </c>
      <c r="K599">
        <f>MONTH(DATEVALUE('Customers Raw data'!B599))</f>
        <v>4</v>
      </c>
      <c r="L599">
        <f ca="1">IF('Customers Raw data'!F599&lt;&gt;"",DATEDIF(DATEVALUE('Customers Raw data'!B599),DATEVALUE('Customers Raw data'!F599),"M"),DATEDIF(DATEVALUE('Customers Raw data'!B599),TODAY(),"M"))</f>
        <v>23</v>
      </c>
      <c r="M599">
        <f t="shared" ca="1" si="45"/>
        <v>1150</v>
      </c>
      <c r="N599">
        <f t="shared" si="46"/>
        <v>1</v>
      </c>
      <c r="O599">
        <f t="shared" ca="1" si="47"/>
        <v>0</v>
      </c>
      <c r="P599">
        <f t="shared" si="48"/>
        <v>0</v>
      </c>
      <c r="Q599" t="e">
        <f t="shared" si="49"/>
        <v>#VALUE!</v>
      </c>
    </row>
    <row r="600" spans="1:17" ht="15" customHeight="1" x14ac:dyDescent="0.25">
      <c r="A600">
        <f>'Customers Raw data'!A600</f>
        <v>1599</v>
      </c>
      <c r="B600" t="str">
        <f>'Customers Raw data'!B600</f>
        <v>2024-06-01</v>
      </c>
      <c r="C600" t="str">
        <f>'Customers Raw data'!C600</f>
        <v>Pro</v>
      </c>
      <c r="D600">
        <f>'Customers Raw data'!D600</f>
        <v>200</v>
      </c>
      <c r="E600">
        <f>'Customers Raw data'!E600</f>
        <v>100</v>
      </c>
      <c r="F600" t="str">
        <f>'Customers Raw data'!F600</f>
        <v>2025-02-21</v>
      </c>
      <c r="G600">
        <f>IF('Customers Raw data'!F600&lt;&gt;"",1,0)</f>
        <v>1</v>
      </c>
      <c r="H600">
        <f>IF('Customers Raw data'!F600&lt;&gt;"",YEAR(DATEVALUE('Customers Raw data'!F600)),"")</f>
        <v>2025</v>
      </c>
      <c r="I600">
        <f>IF('Customers Raw data'!F600&lt;&gt;"",MONTH(DATEVALUE('Customers Raw data'!F600)),"")</f>
        <v>2</v>
      </c>
      <c r="J600">
        <f>YEAR(DATEVALUE('Customers Raw data'!B600))</f>
        <v>2024</v>
      </c>
      <c r="K600">
        <f>MONTH(DATEVALUE('Customers Raw data'!B600))</f>
        <v>6</v>
      </c>
      <c r="L600">
        <f ca="1">IF('Customers Raw data'!F600&lt;&gt;"",DATEDIF(DATEVALUE('Customers Raw data'!B600),DATEVALUE('Customers Raw data'!F600),"M"),DATEDIF(DATEVALUE('Customers Raw data'!B600),TODAY(),"M"))</f>
        <v>8</v>
      </c>
      <c r="M600">
        <f t="shared" ca="1" si="45"/>
        <v>1600</v>
      </c>
      <c r="N600">
        <f t="shared" si="46"/>
        <v>2</v>
      </c>
      <c r="O600">
        <f t="shared" ca="1" si="47"/>
        <v>0</v>
      </c>
      <c r="P600">
        <f t="shared" si="48"/>
        <v>200</v>
      </c>
      <c r="Q600" t="str">
        <f t="shared" si="49"/>
        <v>2025-02</v>
      </c>
    </row>
    <row r="601" spans="1:17" ht="15" customHeight="1" x14ac:dyDescent="0.25">
      <c r="A601">
        <f>'Customers Raw data'!A601</f>
        <v>1600</v>
      </c>
      <c r="B601" t="str">
        <f>'Customers Raw data'!B601</f>
        <v>2025-05-31</v>
      </c>
      <c r="C601" t="str">
        <f>'Customers Raw data'!C601</f>
        <v>Enterprise</v>
      </c>
      <c r="D601">
        <f>'Customers Raw data'!D601</f>
        <v>500</v>
      </c>
      <c r="E601">
        <f>'Customers Raw data'!E601</f>
        <v>200</v>
      </c>
      <c r="F601">
        <f>'Customers Raw data'!F601</f>
        <v>0</v>
      </c>
      <c r="G601">
        <f>IF('Customers Raw data'!F601&lt;&gt;"",1,0)</f>
        <v>0</v>
      </c>
      <c r="H601" t="str">
        <f>IF('Customers Raw data'!F601&lt;&gt;"",YEAR(DATEVALUE('Customers Raw data'!F601)),"")</f>
        <v/>
      </c>
      <c r="I601" t="str">
        <f>IF('Customers Raw data'!F601&lt;&gt;"",MONTH(DATEVALUE('Customers Raw data'!F601)),"")</f>
        <v/>
      </c>
      <c r="J601">
        <f>YEAR(DATEVALUE('Customers Raw data'!B601))</f>
        <v>2025</v>
      </c>
      <c r="K601">
        <f>MONTH(DATEVALUE('Customers Raw data'!B601))</f>
        <v>5</v>
      </c>
      <c r="L601">
        <f ca="1">IF('Customers Raw data'!F601&lt;&gt;"",DATEDIF(DATEVALUE('Customers Raw data'!B601),DATEVALUE('Customers Raw data'!F601),"M"),DATEDIF(DATEVALUE('Customers Raw data'!B601),TODAY(),"M"))</f>
        <v>10</v>
      </c>
      <c r="M601">
        <f t="shared" ca="1" si="45"/>
        <v>5000</v>
      </c>
      <c r="N601">
        <f t="shared" si="46"/>
        <v>3</v>
      </c>
      <c r="O601">
        <f t="shared" ca="1" si="47"/>
        <v>0</v>
      </c>
      <c r="P601">
        <f t="shared" si="48"/>
        <v>0</v>
      </c>
      <c r="Q601" t="e">
        <f t="shared" si="49"/>
        <v>#VALUE!</v>
      </c>
    </row>
    <row r="602" spans="1:17" ht="15" customHeight="1" x14ac:dyDescent="0.25">
      <c r="A602">
        <f>'Customers Raw data'!A602</f>
        <v>1601</v>
      </c>
      <c r="B602" t="str">
        <f>'Customers Raw data'!B602</f>
        <v>2025-02-19</v>
      </c>
      <c r="C602" t="str">
        <f>'Customers Raw data'!C602</f>
        <v>Pro</v>
      </c>
      <c r="D602">
        <f>'Customers Raw data'!D602</f>
        <v>200</v>
      </c>
      <c r="E602">
        <f>'Customers Raw data'!E602</f>
        <v>100</v>
      </c>
      <c r="F602">
        <f>'Customers Raw data'!F602</f>
        <v>0</v>
      </c>
      <c r="G602">
        <f>IF('Customers Raw data'!F602&lt;&gt;"",1,0)</f>
        <v>0</v>
      </c>
      <c r="H602" t="str">
        <f>IF('Customers Raw data'!F602&lt;&gt;"",YEAR(DATEVALUE('Customers Raw data'!F602)),"")</f>
        <v/>
      </c>
      <c r="I602" t="str">
        <f>IF('Customers Raw data'!F602&lt;&gt;"",MONTH(DATEVALUE('Customers Raw data'!F602)),"")</f>
        <v/>
      </c>
      <c r="J602">
        <f>YEAR(DATEVALUE('Customers Raw data'!B602))</f>
        <v>2025</v>
      </c>
      <c r="K602">
        <f>MONTH(DATEVALUE('Customers Raw data'!B602))</f>
        <v>2</v>
      </c>
      <c r="L602">
        <f ca="1">IF('Customers Raw data'!F602&lt;&gt;"",DATEDIF(DATEVALUE('Customers Raw data'!B602),DATEVALUE('Customers Raw data'!F602),"M"),DATEDIF(DATEVALUE('Customers Raw data'!B602),TODAY(),"M"))</f>
        <v>13</v>
      </c>
      <c r="M602">
        <f t="shared" ca="1" si="45"/>
        <v>2600</v>
      </c>
      <c r="N602">
        <f t="shared" si="46"/>
        <v>2</v>
      </c>
      <c r="O602">
        <f t="shared" ca="1" si="47"/>
        <v>0</v>
      </c>
      <c r="P602">
        <f t="shared" si="48"/>
        <v>0</v>
      </c>
      <c r="Q602" t="e">
        <f t="shared" si="49"/>
        <v>#VALUE!</v>
      </c>
    </row>
    <row r="603" spans="1:17" ht="15" customHeight="1" x14ac:dyDescent="0.25">
      <c r="A603">
        <f>'Customers Raw data'!A603</f>
        <v>1602</v>
      </c>
      <c r="B603" t="str">
        <f>'Customers Raw data'!B603</f>
        <v>2025-06-01</v>
      </c>
      <c r="C603" t="str">
        <f>'Customers Raw data'!C603</f>
        <v>Basic</v>
      </c>
      <c r="D603">
        <f>'Customers Raw data'!D603</f>
        <v>50</v>
      </c>
      <c r="E603">
        <f>'Customers Raw data'!E603</f>
        <v>30</v>
      </c>
      <c r="F603" t="str">
        <f>'Customers Raw data'!F603</f>
        <v>2025-06-30</v>
      </c>
      <c r="G603">
        <f>IF('Customers Raw data'!F603&lt;&gt;"",1,0)</f>
        <v>1</v>
      </c>
      <c r="H603">
        <f>IF('Customers Raw data'!F603&lt;&gt;"",YEAR(DATEVALUE('Customers Raw data'!F603)),"")</f>
        <v>2025</v>
      </c>
      <c r="I603">
        <f>IF('Customers Raw data'!F603&lt;&gt;"",MONTH(DATEVALUE('Customers Raw data'!F603)),"")</f>
        <v>6</v>
      </c>
      <c r="J603">
        <f>YEAR(DATEVALUE('Customers Raw data'!B603))</f>
        <v>2025</v>
      </c>
      <c r="K603">
        <f>MONTH(DATEVALUE('Customers Raw data'!B603))</f>
        <v>6</v>
      </c>
      <c r="L603">
        <f ca="1">IF('Customers Raw data'!F603&lt;&gt;"",DATEDIF(DATEVALUE('Customers Raw data'!B603),DATEVALUE('Customers Raw data'!F603),"M"),DATEDIF(DATEVALUE('Customers Raw data'!B603),TODAY(),"M"))</f>
        <v>0</v>
      </c>
      <c r="M603">
        <f t="shared" ca="1" si="45"/>
        <v>0</v>
      </c>
      <c r="N603">
        <f t="shared" si="46"/>
        <v>1</v>
      </c>
      <c r="O603">
        <f t="shared" ca="1" si="47"/>
        <v>1</v>
      </c>
      <c r="P603">
        <f t="shared" si="48"/>
        <v>50</v>
      </c>
      <c r="Q603" t="str">
        <f t="shared" si="49"/>
        <v>2025-06</v>
      </c>
    </row>
    <row r="604" spans="1:17" ht="15" customHeight="1" x14ac:dyDescent="0.25">
      <c r="A604">
        <f>'Customers Raw data'!A604</f>
        <v>1603</v>
      </c>
      <c r="B604" t="str">
        <f>'Customers Raw data'!B604</f>
        <v>2024-12-22</v>
      </c>
      <c r="C604" t="str">
        <f>'Customers Raw data'!C604</f>
        <v>Enterprise</v>
      </c>
      <c r="D604">
        <f>'Customers Raw data'!D604</f>
        <v>500</v>
      </c>
      <c r="E604">
        <f>'Customers Raw data'!E604</f>
        <v>200</v>
      </c>
      <c r="F604">
        <f>'Customers Raw data'!F604</f>
        <v>0</v>
      </c>
      <c r="G604">
        <f>IF('Customers Raw data'!F604&lt;&gt;"",1,0)</f>
        <v>0</v>
      </c>
      <c r="H604" t="str">
        <f>IF('Customers Raw data'!F604&lt;&gt;"",YEAR(DATEVALUE('Customers Raw data'!F604)),"")</f>
        <v/>
      </c>
      <c r="I604" t="str">
        <f>IF('Customers Raw data'!F604&lt;&gt;"",MONTH(DATEVALUE('Customers Raw data'!F604)),"")</f>
        <v/>
      </c>
      <c r="J604">
        <f>YEAR(DATEVALUE('Customers Raw data'!B604))</f>
        <v>2024</v>
      </c>
      <c r="K604">
        <f>MONTH(DATEVALUE('Customers Raw data'!B604))</f>
        <v>12</v>
      </c>
      <c r="L604">
        <f ca="1">IF('Customers Raw data'!F604&lt;&gt;"",DATEDIF(DATEVALUE('Customers Raw data'!B604),DATEVALUE('Customers Raw data'!F604),"M"),DATEDIF(DATEVALUE('Customers Raw data'!B604),TODAY(),"M"))</f>
        <v>15</v>
      </c>
      <c r="M604">
        <f t="shared" ca="1" si="45"/>
        <v>7500</v>
      </c>
      <c r="N604">
        <f t="shared" si="46"/>
        <v>3</v>
      </c>
      <c r="O604">
        <f t="shared" ca="1" si="47"/>
        <v>0</v>
      </c>
      <c r="P604">
        <f t="shared" si="48"/>
        <v>0</v>
      </c>
      <c r="Q604" t="e">
        <f t="shared" si="49"/>
        <v>#VALUE!</v>
      </c>
    </row>
    <row r="605" spans="1:17" ht="15" customHeight="1" x14ac:dyDescent="0.25">
      <c r="A605">
        <f>'Customers Raw data'!A605</f>
        <v>1604</v>
      </c>
      <c r="B605" t="str">
        <f>'Customers Raw data'!B605</f>
        <v>2024-01-18</v>
      </c>
      <c r="C605" t="str">
        <f>'Customers Raw data'!C605</f>
        <v>Enterprise</v>
      </c>
      <c r="D605">
        <f>'Customers Raw data'!D605</f>
        <v>500</v>
      </c>
      <c r="E605">
        <f>'Customers Raw data'!E605</f>
        <v>200</v>
      </c>
      <c r="F605">
        <f>'Customers Raw data'!F605</f>
        <v>0</v>
      </c>
      <c r="G605">
        <f>IF('Customers Raw data'!F605&lt;&gt;"",1,0)</f>
        <v>0</v>
      </c>
      <c r="H605" t="str">
        <f>IF('Customers Raw data'!F605&lt;&gt;"",YEAR(DATEVALUE('Customers Raw data'!F605)),"")</f>
        <v/>
      </c>
      <c r="I605" t="str">
        <f>IF('Customers Raw data'!F605&lt;&gt;"",MONTH(DATEVALUE('Customers Raw data'!F605)),"")</f>
        <v/>
      </c>
      <c r="J605">
        <f>YEAR(DATEVALUE('Customers Raw data'!B605))</f>
        <v>2024</v>
      </c>
      <c r="K605">
        <f>MONTH(DATEVALUE('Customers Raw data'!B605))</f>
        <v>1</v>
      </c>
      <c r="L605">
        <f ca="1">IF('Customers Raw data'!F605&lt;&gt;"",DATEDIF(DATEVALUE('Customers Raw data'!B605),DATEVALUE('Customers Raw data'!F605),"M"),DATEDIF(DATEVALUE('Customers Raw data'!B605),TODAY(),"M"))</f>
        <v>26</v>
      </c>
      <c r="M605">
        <f t="shared" ca="1" si="45"/>
        <v>13000</v>
      </c>
      <c r="N605">
        <f t="shared" si="46"/>
        <v>3</v>
      </c>
      <c r="O605">
        <f t="shared" ca="1" si="47"/>
        <v>0</v>
      </c>
      <c r="P605">
        <f t="shared" si="48"/>
        <v>0</v>
      </c>
      <c r="Q605" t="e">
        <f t="shared" si="49"/>
        <v>#VALUE!</v>
      </c>
    </row>
    <row r="606" spans="1:17" ht="15" customHeight="1" x14ac:dyDescent="0.25">
      <c r="A606">
        <f>'Customers Raw data'!A606</f>
        <v>1605</v>
      </c>
      <c r="B606" t="str">
        <f>'Customers Raw data'!B606</f>
        <v>2024-04-03</v>
      </c>
      <c r="C606" t="str">
        <f>'Customers Raw data'!C606</f>
        <v>Pro</v>
      </c>
      <c r="D606">
        <f>'Customers Raw data'!D606</f>
        <v>200</v>
      </c>
      <c r="E606">
        <f>'Customers Raw data'!E606</f>
        <v>100</v>
      </c>
      <c r="F606">
        <f>'Customers Raw data'!F606</f>
        <v>0</v>
      </c>
      <c r="G606">
        <f>IF('Customers Raw data'!F606&lt;&gt;"",1,0)</f>
        <v>0</v>
      </c>
      <c r="H606" t="str">
        <f>IF('Customers Raw data'!F606&lt;&gt;"",YEAR(DATEVALUE('Customers Raw data'!F606)),"")</f>
        <v/>
      </c>
      <c r="I606" t="str">
        <f>IF('Customers Raw data'!F606&lt;&gt;"",MONTH(DATEVALUE('Customers Raw data'!F606)),"")</f>
        <v/>
      </c>
      <c r="J606">
        <f>YEAR(DATEVALUE('Customers Raw data'!B606))</f>
        <v>2024</v>
      </c>
      <c r="K606">
        <f>MONTH(DATEVALUE('Customers Raw data'!B606))</f>
        <v>4</v>
      </c>
      <c r="L606">
        <f ca="1">IF('Customers Raw data'!F606&lt;&gt;"",DATEDIF(DATEVALUE('Customers Raw data'!B606),DATEVALUE('Customers Raw data'!F606),"M"),DATEDIF(DATEVALUE('Customers Raw data'!B606),TODAY(),"M"))</f>
        <v>24</v>
      </c>
      <c r="M606">
        <f t="shared" ca="1" si="45"/>
        <v>4800</v>
      </c>
      <c r="N606">
        <f t="shared" si="46"/>
        <v>2</v>
      </c>
      <c r="O606">
        <f t="shared" ca="1" si="47"/>
        <v>0</v>
      </c>
      <c r="P606">
        <f t="shared" si="48"/>
        <v>0</v>
      </c>
      <c r="Q606" t="e">
        <f t="shared" si="49"/>
        <v>#VALUE!</v>
      </c>
    </row>
    <row r="607" spans="1:17" ht="15" customHeight="1" x14ac:dyDescent="0.25">
      <c r="A607">
        <f>'Customers Raw data'!A607</f>
        <v>1606</v>
      </c>
      <c r="B607" t="str">
        <f>'Customers Raw data'!B607</f>
        <v>2025-02-12</v>
      </c>
      <c r="C607" t="str">
        <f>'Customers Raw data'!C607</f>
        <v>Basic</v>
      </c>
      <c r="D607">
        <f>'Customers Raw data'!D607</f>
        <v>50</v>
      </c>
      <c r="E607">
        <f>'Customers Raw data'!E607</f>
        <v>30</v>
      </c>
      <c r="F607">
        <f>'Customers Raw data'!F607</f>
        <v>0</v>
      </c>
      <c r="G607">
        <f>IF('Customers Raw data'!F607&lt;&gt;"",1,0)</f>
        <v>0</v>
      </c>
      <c r="H607" t="str">
        <f>IF('Customers Raw data'!F607&lt;&gt;"",YEAR(DATEVALUE('Customers Raw data'!F607)),"")</f>
        <v/>
      </c>
      <c r="I607" t="str">
        <f>IF('Customers Raw data'!F607&lt;&gt;"",MONTH(DATEVALUE('Customers Raw data'!F607)),"")</f>
        <v/>
      </c>
      <c r="J607">
        <f>YEAR(DATEVALUE('Customers Raw data'!B607))</f>
        <v>2025</v>
      </c>
      <c r="K607">
        <f>MONTH(DATEVALUE('Customers Raw data'!B607))</f>
        <v>2</v>
      </c>
      <c r="L607">
        <f ca="1">IF('Customers Raw data'!F607&lt;&gt;"",DATEDIF(DATEVALUE('Customers Raw data'!B607),DATEVALUE('Customers Raw data'!F607),"M"),DATEDIF(DATEVALUE('Customers Raw data'!B607),TODAY(),"M"))</f>
        <v>13</v>
      </c>
      <c r="M607">
        <f t="shared" ca="1" si="45"/>
        <v>650</v>
      </c>
      <c r="N607">
        <f t="shared" si="46"/>
        <v>1</v>
      </c>
      <c r="O607">
        <f t="shared" ca="1" si="47"/>
        <v>0</v>
      </c>
      <c r="P607">
        <f t="shared" si="48"/>
        <v>0</v>
      </c>
      <c r="Q607" t="e">
        <f t="shared" si="49"/>
        <v>#VALUE!</v>
      </c>
    </row>
    <row r="608" spans="1:17" ht="15" customHeight="1" x14ac:dyDescent="0.25">
      <c r="A608">
        <f>'Customers Raw data'!A608</f>
        <v>1607</v>
      </c>
      <c r="B608" t="str">
        <f>'Customers Raw data'!B608</f>
        <v>2025-03-01</v>
      </c>
      <c r="C608" t="str">
        <f>'Customers Raw data'!C608</f>
        <v>Pro</v>
      </c>
      <c r="D608">
        <f>'Customers Raw data'!D608</f>
        <v>200</v>
      </c>
      <c r="E608">
        <f>'Customers Raw data'!E608</f>
        <v>100</v>
      </c>
      <c r="F608" t="str">
        <f>'Customers Raw data'!F608</f>
        <v>2025-05-01</v>
      </c>
      <c r="G608">
        <f>IF('Customers Raw data'!F608&lt;&gt;"",1,0)</f>
        <v>1</v>
      </c>
      <c r="H608">
        <f>IF('Customers Raw data'!F608&lt;&gt;"",YEAR(DATEVALUE('Customers Raw data'!F608)),"")</f>
        <v>2025</v>
      </c>
      <c r="I608">
        <f>IF('Customers Raw data'!F608&lt;&gt;"",MONTH(DATEVALUE('Customers Raw data'!F608)),"")</f>
        <v>5</v>
      </c>
      <c r="J608">
        <f>YEAR(DATEVALUE('Customers Raw data'!B608))</f>
        <v>2025</v>
      </c>
      <c r="K608">
        <f>MONTH(DATEVALUE('Customers Raw data'!B608))</f>
        <v>3</v>
      </c>
      <c r="L608">
        <f ca="1">IF('Customers Raw data'!F608&lt;&gt;"",DATEDIF(DATEVALUE('Customers Raw data'!B608),DATEVALUE('Customers Raw data'!F608),"M"),DATEDIF(DATEVALUE('Customers Raw data'!B608),TODAY(),"M"))</f>
        <v>2</v>
      </c>
      <c r="M608">
        <f t="shared" ca="1" si="45"/>
        <v>400</v>
      </c>
      <c r="N608">
        <f t="shared" si="46"/>
        <v>2</v>
      </c>
      <c r="O608">
        <f t="shared" ca="1" si="47"/>
        <v>1</v>
      </c>
      <c r="P608">
        <f t="shared" si="48"/>
        <v>200</v>
      </c>
      <c r="Q608" t="str">
        <f t="shared" si="49"/>
        <v>2025-05</v>
      </c>
    </row>
    <row r="609" spans="1:17" ht="15" customHeight="1" x14ac:dyDescent="0.25">
      <c r="A609">
        <f>'Customers Raw data'!A609</f>
        <v>1608</v>
      </c>
      <c r="B609" t="str">
        <f>'Customers Raw data'!B609</f>
        <v>2025-04-23</v>
      </c>
      <c r="C609" t="str">
        <f>'Customers Raw data'!C609</f>
        <v>Enterprise</v>
      </c>
      <c r="D609">
        <f>'Customers Raw data'!D609</f>
        <v>500</v>
      </c>
      <c r="E609">
        <f>'Customers Raw data'!E609</f>
        <v>200</v>
      </c>
      <c r="F609">
        <f>'Customers Raw data'!F609</f>
        <v>0</v>
      </c>
      <c r="G609">
        <f>IF('Customers Raw data'!F609&lt;&gt;"",1,0)</f>
        <v>0</v>
      </c>
      <c r="H609" t="str">
        <f>IF('Customers Raw data'!F609&lt;&gt;"",YEAR(DATEVALUE('Customers Raw data'!F609)),"")</f>
        <v/>
      </c>
      <c r="I609" t="str">
        <f>IF('Customers Raw data'!F609&lt;&gt;"",MONTH(DATEVALUE('Customers Raw data'!F609)),"")</f>
        <v/>
      </c>
      <c r="J609">
        <f>YEAR(DATEVALUE('Customers Raw data'!B609))</f>
        <v>2025</v>
      </c>
      <c r="K609">
        <f>MONTH(DATEVALUE('Customers Raw data'!B609))</f>
        <v>4</v>
      </c>
      <c r="L609">
        <f ca="1">IF('Customers Raw data'!F609&lt;&gt;"",DATEDIF(DATEVALUE('Customers Raw data'!B609),DATEVALUE('Customers Raw data'!F609),"M"),DATEDIF(DATEVALUE('Customers Raw data'!B609),TODAY(),"M"))</f>
        <v>11</v>
      </c>
      <c r="M609">
        <f t="shared" ca="1" si="45"/>
        <v>5500</v>
      </c>
      <c r="N609">
        <f t="shared" si="46"/>
        <v>3</v>
      </c>
      <c r="O609">
        <f t="shared" ca="1" si="47"/>
        <v>0</v>
      </c>
      <c r="P609">
        <f t="shared" si="48"/>
        <v>0</v>
      </c>
      <c r="Q609" t="e">
        <f t="shared" si="49"/>
        <v>#VALUE!</v>
      </c>
    </row>
    <row r="610" spans="1:17" ht="15" customHeight="1" x14ac:dyDescent="0.25">
      <c r="A610">
        <f>'Customers Raw data'!A610</f>
        <v>1609</v>
      </c>
      <c r="B610" t="str">
        <f>'Customers Raw data'!B610</f>
        <v>2024-02-15</v>
      </c>
      <c r="C610" t="str">
        <f>'Customers Raw data'!C610</f>
        <v>Basic</v>
      </c>
      <c r="D610">
        <f>'Customers Raw data'!D610</f>
        <v>50</v>
      </c>
      <c r="E610">
        <f>'Customers Raw data'!E610</f>
        <v>30</v>
      </c>
      <c r="F610">
        <f>'Customers Raw data'!F610</f>
        <v>0</v>
      </c>
      <c r="G610">
        <f>IF('Customers Raw data'!F610&lt;&gt;"",1,0)</f>
        <v>0</v>
      </c>
      <c r="H610" t="str">
        <f>IF('Customers Raw data'!F610&lt;&gt;"",YEAR(DATEVALUE('Customers Raw data'!F610)),"")</f>
        <v/>
      </c>
      <c r="I610" t="str">
        <f>IF('Customers Raw data'!F610&lt;&gt;"",MONTH(DATEVALUE('Customers Raw data'!F610)),"")</f>
        <v/>
      </c>
      <c r="J610">
        <f>YEAR(DATEVALUE('Customers Raw data'!B610))</f>
        <v>2024</v>
      </c>
      <c r="K610">
        <f>MONTH(DATEVALUE('Customers Raw data'!B610))</f>
        <v>2</v>
      </c>
      <c r="L610">
        <f ca="1">IF('Customers Raw data'!F610&lt;&gt;"",DATEDIF(DATEVALUE('Customers Raw data'!B610),DATEVALUE('Customers Raw data'!F610),"M"),DATEDIF(DATEVALUE('Customers Raw data'!B610),TODAY(),"M"))</f>
        <v>25</v>
      </c>
      <c r="M610">
        <f t="shared" ca="1" si="45"/>
        <v>1250</v>
      </c>
      <c r="N610">
        <f t="shared" si="46"/>
        <v>1</v>
      </c>
      <c r="O610">
        <f t="shared" ca="1" si="47"/>
        <v>0</v>
      </c>
      <c r="P610">
        <f t="shared" si="48"/>
        <v>0</v>
      </c>
      <c r="Q610" t="e">
        <f t="shared" si="49"/>
        <v>#VALUE!</v>
      </c>
    </row>
    <row r="611" spans="1:17" ht="15" customHeight="1" x14ac:dyDescent="0.25">
      <c r="A611">
        <f>'Customers Raw data'!A611</f>
        <v>1610</v>
      </c>
      <c r="B611" t="str">
        <f>'Customers Raw data'!B611</f>
        <v>2025-05-24</v>
      </c>
      <c r="C611" t="str">
        <f>'Customers Raw data'!C611</f>
        <v>Enterprise</v>
      </c>
      <c r="D611">
        <f>'Customers Raw data'!D611</f>
        <v>500</v>
      </c>
      <c r="E611">
        <f>'Customers Raw data'!E611</f>
        <v>200</v>
      </c>
      <c r="F611">
        <f>'Customers Raw data'!F611</f>
        <v>0</v>
      </c>
      <c r="G611">
        <f>IF('Customers Raw data'!F611&lt;&gt;"",1,0)</f>
        <v>0</v>
      </c>
      <c r="H611" t="str">
        <f>IF('Customers Raw data'!F611&lt;&gt;"",YEAR(DATEVALUE('Customers Raw data'!F611)),"")</f>
        <v/>
      </c>
      <c r="I611" t="str">
        <f>IF('Customers Raw data'!F611&lt;&gt;"",MONTH(DATEVALUE('Customers Raw data'!F611)),"")</f>
        <v/>
      </c>
      <c r="J611">
        <f>YEAR(DATEVALUE('Customers Raw data'!B611))</f>
        <v>2025</v>
      </c>
      <c r="K611">
        <f>MONTH(DATEVALUE('Customers Raw data'!B611))</f>
        <v>5</v>
      </c>
      <c r="L611">
        <f ca="1">IF('Customers Raw data'!F611&lt;&gt;"",DATEDIF(DATEVALUE('Customers Raw data'!B611),DATEVALUE('Customers Raw data'!F611),"M"),DATEDIF(DATEVALUE('Customers Raw data'!B611),TODAY(),"M"))</f>
        <v>10</v>
      </c>
      <c r="M611">
        <f t="shared" ca="1" si="45"/>
        <v>5000</v>
      </c>
      <c r="N611">
        <f t="shared" si="46"/>
        <v>3</v>
      </c>
      <c r="O611">
        <f t="shared" ca="1" si="47"/>
        <v>0</v>
      </c>
      <c r="P611">
        <f t="shared" si="48"/>
        <v>0</v>
      </c>
      <c r="Q611" t="e">
        <f t="shared" si="49"/>
        <v>#VALUE!</v>
      </c>
    </row>
    <row r="612" spans="1:17" ht="15" customHeight="1" x14ac:dyDescent="0.25">
      <c r="A612">
        <f>'Customers Raw data'!A612</f>
        <v>1611</v>
      </c>
      <c r="B612" t="str">
        <f>'Customers Raw data'!B612</f>
        <v>2024-11-25</v>
      </c>
      <c r="C612" t="str">
        <f>'Customers Raw data'!C612</f>
        <v>Pro</v>
      </c>
      <c r="D612">
        <f>'Customers Raw data'!D612</f>
        <v>200</v>
      </c>
      <c r="E612">
        <f>'Customers Raw data'!E612</f>
        <v>100</v>
      </c>
      <c r="F612">
        <f>'Customers Raw data'!F612</f>
        <v>0</v>
      </c>
      <c r="G612">
        <f>IF('Customers Raw data'!F612&lt;&gt;"",1,0)</f>
        <v>0</v>
      </c>
      <c r="H612" t="str">
        <f>IF('Customers Raw data'!F612&lt;&gt;"",YEAR(DATEVALUE('Customers Raw data'!F612)),"")</f>
        <v/>
      </c>
      <c r="I612" t="str">
        <f>IF('Customers Raw data'!F612&lt;&gt;"",MONTH(DATEVALUE('Customers Raw data'!F612)),"")</f>
        <v/>
      </c>
      <c r="J612">
        <f>YEAR(DATEVALUE('Customers Raw data'!B612))</f>
        <v>2024</v>
      </c>
      <c r="K612">
        <f>MONTH(DATEVALUE('Customers Raw data'!B612))</f>
        <v>11</v>
      </c>
      <c r="L612">
        <f ca="1">IF('Customers Raw data'!F612&lt;&gt;"",DATEDIF(DATEVALUE('Customers Raw data'!B612),DATEVALUE('Customers Raw data'!F612),"M"),DATEDIF(DATEVALUE('Customers Raw data'!B612),TODAY(),"M"))</f>
        <v>16</v>
      </c>
      <c r="M612">
        <f t="shared" ca="1" si="45"/>
        <v>3200</v>
      </c>
      <c r="N612">
        <f t="shared" si="46"/>
        <v>2</v>
      </c>
      <c r="O612">
        <f t="shared" ca="1" si="47"/>
        <v>0</v>
      </c>
      <c r="P612">
        <f t="shared" si="48"/>
        <v>0</v>
      </c>
      <c r="Q612" t="e">
        <f t="shared" si="49"/>
        <v>#VALUE!</v>
      </c>
    </row>
    <row r="613" spans="1:17" ht="15" customHeight="1" x14ac:dyDescent="0.25">
      <c r="A613">
        <f>'Customers Raw data'!A613</f>
        <v>1612</v>
      </c>
      <c r="B613" t="str">
        <f>'Customers Raw data'!B613</f>
        <v>2025-02-20</v>
      </c>
      <c r="C613" t="str">
        <f>'Customers Raw data'!C613</f>
        <v>Pro</v>
      </c>
      <c r="D613">
        <f>'Customers Raw data'!D613</f>
        <v>200</v>
      </c>
      <c r="E613">
        <f>'Customers Raw data'!E613</f>
        <v>100</v>
      </c>
      <c r="F613">
        <f>'Customers Raw data'!F613</f>
        <v>0</v>
      </c>
      <c r="G613">
        <f>IF('Customers Raw data'!F613&lt;&gt;"",1,0)</f>
        <v>0</v>
      </c>
      <c r="H613" t="str">
        <f>IF('Customers Raw data'!F613&lt;&gt;"",YEAR(DATEVALUE('Customers Raw data'!F613)),"")</f>
        <v/>
      </c>
      <c r="I613" t="str">
        <f>IF('Customers Raw data'!F613&lt;&gt;"",MONTH(DATEVALUE('Customers Raw data'!F613)),"")</f>
        <v/>
      </c>
      <c r="J613">
        <f>YEAR(DATEVALUE('Customers Raw data'!B613))</f>
        <v>2025</v>
      </c>
      <c r="K613">
        <f>MONTH(DATEVALUE('Customers Raw data'!B613))</f>
        <v>2</v>
      </c>
      <c r="L613">
        <f ca="1">IF('Customers Raw data'!F613&lt;&gt;"",DATEDIF(DATEVALUE('Customers Raw data'!B613),DATEVALUE('Customers Raw data'!F613),"M"),DATEDIF(DATEVALUE('Customers Raw data'!B613),TODAY(),"M"))</f>
        <v>13</v>
      </c>
      <c r="M613">
        <f t="shared" ca="1" si="45"/>
        <v>2600</v>
      </c>
      <c r="N613">
        <f t="shared" si="46"/>
        <v>2</v>
      </c>
      <c r="O613">
        <f t="shared" ca="1" si="47"/>
        <v>0</v>
      </c>
      <c r="P613">
        <f t="shared" si="48"/>
        <v>0</v>
      </c>
      <c r="Q613" t="e">
        <f t="shared" si="49"/>
        <v>#VALUE!</v>
      </c>
    </row>
    <row r="614" spans="1:17" ht="15" customHeight="1" x14ac:dyDescent="0.25">
      <c r="A614">
        <f>'Customers Raw data'!A614</f>
        <v>1613</v>
      </c>
      <c r="B614" t="str">
        <f>'Customers Raw data'!B614</f>
        <v>2024-01-06</v>
      </c>
      <c r="C614" t="str">
        <f>'Customers Raw data'!C614</f>
        <v>Enterprise</v>
      </c>
      <c r="D614">
        <f>'Customers Raw data'!D614</f>
        <v>500</v>
      </c>
      <c r="E614">
        <f>'Customers Raw data'!E614</f>
        <v>200</v>
      </c>
      <c r="F614">
        <f>'Customers Raw data'!F614</f>
        <v>0</v>
      </c>
      <c r="G614">
        <f>IF('Customers Raw data'!F614&lt;&gt;"",1,0)</f>
        <v>0</v>
      </c>
      <c r="H614" t="str">
        <f>IF('Customers Raw data'!F614&lt;&gt;"",YEAR(DATEVALUE('Customers Raw data'!F614)),"")</f>
        <v/>
      </c>
      <c r="I614" t="str">
        <f>IF('Customers Raw data'!F614&lt;&gt;"",MONTH(DATEVALUE('Customers Raw data'!F614)),"")</f>
        <v/>
      </c>
      <c r="J614">
        <f>YEAR(DATEVALUE('Customers Raw data'!B614))</f>
        <v>2024</v>
      </c>
      <c r="K614">
        <f>MONTH(DATEVALUE('Customers Raw data'!B614))</f>
        <v>1</v>
      </c>
      <c r="L614">
        <f ca="1">IF('Customers Raw data'!F614&lt;&gt;"",DATEDIF(DATEVALUE('Customers Raw data'!B614),DATEVALUE('Customers Raw data'!F614),"M"),DATEDIF(DATEVALUE('Customers Raw data'!B614),TODAY(),"M"))</f>
        <v>27</v>
      </c>
      <c r="M614">
        <f t="shared" ca="1" si="45"/>
        <v>13500</v>
      </c>
      <c r="N614">
        <f t="shared" si="46"/>
        <v>3</v>
      </c>
      <c r="O614">
        <f t="shared" ca="1" si="47"/>
        <v>0</v>
      </c>
      <c r="P614">
        <f t="shared" si="48"/>
        <v>0</v>
      </c>
      <c r="Q614" t="e">
        <f t="shared" si="49"/>
        <v>#VALUE!</v>
      </c>
    </row>
    <row r="615" spans="1:17" ht="15" customHeight="1" x14ac:dyDescent="0.25">
      <c r="A615">
        <f>'Customers Raw data'!A615</f>
        <v>1614</v>
      </c>
      <c r="B615" t="str">
        <f>'Customers Raw data'!B615</f>
        <v>2025-01-11</v>
      </c>
      <c r="C615" t="str">
        <f>'Customers Raw data'!C615</f>
        <v>Pro</v>
      </c>
      <c r="D615">
        <f>'Customers Raw data'!D615</f>
        <v>200</v>
      </c>
      <c r="E615">
        <f>'Customers Raw data'!E615</f>
        <v>100</v>
      </c>
      <c r="F615">
        <f>'Customers Raw data'!F615</f>
        <v>0</v>
      </c>
      <c r="G615">
        <f>IF('Customers Raw data'!F615&lt;&gt;"",1,0)</f>
        <v>0</v>
      </c>
      <c r="H615" t="str">
        <f>IF('Customers Raw data'!F615&lt;&gt;"",YEAR(DATEVALUE('Customers Raw data'!F615)),"")</f>
        <v/>
      </c>
      <c r="I615" t="str">
        <f>IF('Customers Raw data'!F615&lt;&gt;"",MONTH(DATEVALUE('Customers Raw data'!F615)),"")</f>
        <v/>
      </c>
      <c r="J615">
        <f>YEAR(DATEVALUE('Customers Raw data'!B615))</f>
        <v>2025</v>
      </c>
      <c r="K615">
        <f>MONTH(DATEVALUE('Customers Raw data'!B615))</f>
        <v>1</v>
      </c>
      <c r="L615">
        <f ca="1">IF('Customers Raw data'!F615&lt;&gt;"",DATEDIF(DATEVALUE('Customers Raw data'!B615),DATEVALUE('Customers Raw data'!F615),"M"),DATEDIF(DATEVALUE('Customers Raw data'!B615),TODAY(),"M"))</f>
        <v>14</v>
      </c>
      <c r="M615">
        <f t="shared" ca="1" si="45"/>
        <v>2800</v>
      </c>
      <c r="N615">
        <f t="shared" si="46"/>
        <v>2</v>
      </c>
      <c r="O615">
        <f t="shared" ca="1" si="47"/>
        <v>0</v>
      </c>
      <c r="P615">
        <f t="shared" si="48"/>
        <v>0</v>
      </c>
      <c r="Q615" t="e">
        <f t="shared" si="49"/>
        <v>#VALUE!</v>
      </c>
    </row>
    <row r="616" spans="1:17" ht="15" customHeight="1" x14ac:dyDescent="0.25">
      <c r="A616">
        <f>'Customers Raw data'!A616</f>
        <v>1615</v>
      </c>
      <c r="B616" t="str">
        <f>'Customers Raw data'!B616</f>
        <v>2024-04-22</v>
      </c>
      <c r="C616" t="str">
        <f>'Customers Raw data'!C616</f>
        <v>Pro</v>
      </c>
      <c r="D616">
        <f>'Customers Raw data'!D616</f>
        <v>200</v>
      </c>
      <c r="E616">
        <f>'Customers Raw data'!E616</f>
        <v>100</v>
      </c>
      <c r="F616">
        <f>'Customers Raw data'!F616</f>
        <v>0</v>
      </c>
      <c r="G616">
        <f>IF('Customers Raw data'!F616&lt;&gt;"",1,0)</f>
        <v>0</v>
      </c>
      <c r="H616" t="str">
        <f>IF('Customers Raw data'!F616&lt;&gt;"",YEAR(DATEVALUE('Customers Raw data'!F616)),"")</f>
        <v/>
      </c>
      <c r="I616" t="str">
        <f>IF('Customers Raw data'!F616&lt;&gt;"",MONTH(DATEVALUE('Customers Raw data'!F616)),"")</f>
        <v/>
      </c>
      <c r="J616">
        <f>YEAR(DATEVALUE('Customers Raw data'!B616))</f>
        <v>2024</v>
      </c>
      <c r="K616">
        <f>MONTH(DATEVALUE('Customers Raw data'!B616))</f>
        <v>4</v>
      </c>
      <c r="L616">
        <f ca="1">IF('Customers Raw data'!F616&lt;&gt;"",DATEDIF(DATEVALUE('Customers Raw data'!B616),DATEVALUE('Customers Raw data'!F616),"M"),DATEDIF(DATEVALUE('Customers Raw data'!B616),TODAY(),"M"))</f>
        <v>23</v>
      </c>
      <c r="M616">
        <f t="shared" ca="1" si="45"/>
        <v>4600</v>
      </c>
      <c r="N616">
        <f t="shared" si="46"/>
        <v>2</v>
      </c>
      <c r="O616">
        <f t="shared" ca="1" si="47"/>
        <v>0</v>
      </c>
      <c r="P616">
        <f t="shared" si="48"/>
        <v>0</v>
      </c>
      <c r="Q616" t="e">
        <f t="shared" si="49"/>
        <v>#VALUE!</v>
      </c>
    </row>
    <row r="617" spans="1:17" ht="15" customHeight="1" x14ac:dyDescent="0.25">
      <c r="A617">
        <f>'Customers Raw data'!A617</f>
        <v>1616</v>
      </c>
      <c r="B617" t="str">
        <f>'Customers Raw data'!B617</f>
        <v>2024-04-02</v>
      </c>
      <c r="C617" t="str">
        <f>'Customers Raw data'!C617</f>
        <v>Enterprise</v>
      </c>
      <c r="D617">
        <f>'Customers Raw data'!D617</f>
        <v>500</v>
      </c>
      <c r="E617">
        <f>'Customers Raw data'!E617</f>
        <v>200</v>
      </c>
      <c r="F617" t="str">
        <f>'Customers Raw data'!F617</f>
        <v>2025-03-28</v>
      </c>
      <c r="G617">
        <f>IF('Customers Raw data'!F617&lt;&gt;"",1,0)</f>
        <v>1</v>
      </c>
      <c r="H617">
        <f>IF('Customers Raw data'!F617&lt;&gt;"",YEAR(DATEVALUE('Customers Raw data'!F617)),"")</f>
        <v>2025</v>
      </c>
      <c r="I617">
        <f>IF('Customers Raw data'!F617&lt;&gt;"",MONTH(DATEVALUE('Customers Raw data'!F617)),"")</f>
        <v>3</v>
      </c>
      <c r="J617">
        <f>YEAR(DATEVALUE('Customers Raw data'!B617))</f>
        <v>2024</v>
      </c>
      <c r="K617">
        <f>MONTH(DATEVALUE('Customers Raw data'!B617))</f>
        <v>4</v>
      </c>
      <c r="L617">
        <f ca="1">IF('Customers Raw data'!F617&lt;&gt;"",DATEDIF(DATEVALUE('Customers Raw data'!B617),DATEVALUE('Customers Raw data'!F617),"M"),DATEDIF(DATEVALUE('Customers Raw data'!B617),TODAY(),"M"))</f>
        <v>11</v>
      </c>
      <c r="M617">
        <f t="shared" ca="1" si="45"/>
        <v>5500</v>
      </c>
      <c r="N617">
        <f t="shared" si="46"/>
        <v>3</v>
      </c>
      <c r="O617">
        <f t="shared" ca="1" si="47"/>
        <v>0</v>
      </c>
      <c r="P617">
        <f t="shared" si="48"/>
        <v>500</v>
      </c>
      <c r="Q617" t="str">
        <f t="shared" si="49"/>
        <v>2025-03</v>
      </c>
    </row>
    <row r="618" spans="1:17" ht="15" customHeight="1" x14ac:dyDescent="0.25">
      <c r="A618">
        <f>'Customers Raw data'!A618</f>
        <v>1617</v>
      </c>
      <c r="B618" t="str">
        <f>'Customers Raw data'!B618</f>
        <v>2024-01-25</v>
      </c>
      <c r="C618" t="str">
        <f>'Customers Raw data'!C618</f>
        <v>Basic</v>
      </c>
      <c r="D618">
        <f>'Customers Raw data'!D618</f>
        <v>50</v>
      </c>
      <c r="E618">
        <f>'Customers Raw data'!E618</f>
        <v>30</v>
      </c>
      <c r="F618" t="str">
        <f>'Customers Raw data'!F618</f>
        <v>2025-03-12</v>
      </c>
      <c r="G618">
        <f>IF('Customers Raw data'!F618&lt;&gt;"",1,0)</f>
        <v>1</v>
      </c>
      <c r="H618">
        <f>IF('Customers Raw data'!F618&lt;&gt;"",YEAR(DATEVALUE('Customers Raw data'!F618)),"")</f>
        <v>2025</v>
      </c>
      <c r="I618">
        <f>IF('Customers Raw data'!F618&lt;&gt;"",MONTH(DATEVALUE('Customers Raw data'!F618)),"")</f>
        <v>3</v>
      </c>
      <c r="J618">
        <f>YEAR(DATEVALUE('Customers Raw data'!B618))</f>
        <v>2024</v>
      </c>
      <c r="K618">
        <f>MONTH(DATEVALUE('Customers Raw data'!B618))</f>
        <v>1</v>
      </c>
      <c r="L618">
        <f ca="1">IF('Customers Raw data'!F618&lt;&gt;"",DATEDIF(DATEVALUE('Customers Raw data'!B618),DATEVALUE('Customers Raw data'!F618),"M"),DATEDIF(DATEVALUE('Customers Raw data'!B618),TODAY(),"M"))</f>
        <v>13</v>
      </c>
      <c r="M618">
        <f t="shared" ca="1" si="45"/>
        <v>650</v>
      </c>
      <c r="N618">
        <f t="shared" si="46"/>
        <v>1</v>
      </c>
      <c r="O618">
        <f t="shared" ca="1" si="47"/>
        <v>0</v>
      </c>
      <c r="P618">
        <f t="shared" si="48"/>
        <v>50</v>
      </c>
      <c r="Q618" t="str">
        <f t="shared" si="49"/>
        <v>2025-03</v>
      </c>
    </row>
    <row r="619" spans="1:17" ht="15" customHeight="1" x14ac:dyDescent="0.25">
      <c r="A619">
        <f>'Customers Raw data'!A619</f>
        <v>1618</v>
      </c>
      <c r="B619" t="str">
        <f>'Customers Raw data'!B619</f>
        <v>2025-02-24</v>
      </c>
      <c r="C619" t="str">
        <f>'Customers Raw data'!C619</f>
        <v>Basic</v>
      </c>
      <c r="D619">
        <f>'Customers Raw data'!D619</f>
        <v>50</v>
      </c>
      <c r="E619">
        <f>'Customers Raw data'!E619</f>
        <v>30</v>
      </c>
      <c r="F619">
        <f>'Customers Raw data'!F619</f>
        <v>0</v>
      </c>
      <c r="G619">
        <f>IF('Customers Raw data'!F619&lt;&gt;"",1,0)</f>
        <v>0</v>
      </c>
      <c r="H619" t="str">
        <f>IF('Customers Raw data'!F619&lt;&gt;"",YEAR(DATEVALUE('Customers Raw data'!F619)),"")</f>
        <v/>
      </c>
      <c r="I619" t="str">
        <f>IF('Customers Raw data'!F619&lt;&gt;"",MONTH(DATEVALUE('Customers Raw data'!F619)),"")</f>
        <v/>
      </c>
      <c r="J619">
        <f>YEAR(DATEVALUE('Customers Raw data'!B619))</f>
        <v>2025</v>
      </c>
      <c r="K619">
        <f>MONTH(DATEVALUE('Customers Raw data'!B619))</f>
        <v>2</v>
      </c>
      <c r="L619">
        <f ca="1">IF('Customers Raw data'!F619&lt;&gt;"",DATEDIF(DATEVALUE('Customers Raw data'!B619),DATEVALUE('Customers Raw data'!F619),"M"),DATEDIF(DATEVALUE('Customers Raw data'!B619),TODAY(),"M"))</f>
        <v>13</v>
      </c>
      <c r="M619">
        <f t="shared" ca="1" si="45"/>
        <v>650</v>
      </c>
      <c r="N619">
        <f t="shared" si="46"/>
        <v>1</v>
      </c>
      <c r="O619">
        <f t="shared" ca="1" si="47"/>
        <v>0</v>
      </c>
      <c r="P619">
        <f t="shared" si="48"/>
        <v>0</v>
      </c>
      <c r="Q619" t="e">
        <f t="shared" si="49"/>
        <v>#VALUE!</v>
      </c>
    </row>
    <row r="620" spans="1:17" ht="15" customHeight="1" x14ac:dyDescent="0.25">
      <c r="A620">
        <f>'Customers Raw data'!A620</f>
        <v>1619</v>
      </c>
      <c r="B620" t="str">
        <f>'Customers Raw data'!B620</f>
        <v>2025-05-13</v>
      </c>
      <c r="C620" t="str">
        <f>'Customers Raw data'!C620</f>
        <v>Enterprise</v>
      </c>
      <c r="D620">
        <f>'Customers Raw data'!D620</f>
        <v>500</v>
      </c>
      <c r="E620">
        <f>'Customers Raw data'!E620</f>
        <v>200</v>
      </c>
      <c r="F620">
        <f>'Customers Raw data'!F620</f>
        <v>0</v>
      </c>
      <c r="G620">
        <f>IF('Customers Raw data'!F620&lt;&gt;"",1,0)</f>
        <v>0</v>
      </c>
      <c r="H620" t="str">
        <f>IF('Customers Raw data'!F620&lt;&gt;"",YEAR(DATEVALUE('Customers Raw data'!F620)),"")</f>
        <v/>
      </c>
      <c r="I620" t="str">
        <f>IF('Customers Raw data'!F620&lt;&gt;"",MONTH(DATEVALUE('Customers Raw data'!F620)),"")</f>
        <v/>
      </c>
      <c r="J620">
        <f>YEAR(DATEVALUE('Customers Raw data'!B620))</f>
        <v>2025</v>
      </c>
      <c r="K620">
        <f>MONTH(DATEVALUE('Customers Raw data'!B620))</f>
        <v>5</v>
      </c>
      <c r="L620">
        <f ca="1">IF('Customers Raw data'!F620&lt;&gt;"",DATEDIF(DATEVALUE('Customers Raw data'!B620),DATEVALUE('Customers Raw data'!F620),"M"),DATEDIF(DATEVALUE('Customers Raw data'!B620),TODAY(),"M"))</f>
        <v>10</v>
      </c>
      <c r="M620">
        <f t="shared" ca="1" si="45"/>
        <v>5000</v>
      </c>
      <c r="N620">
        <f t="shared" si="46"/>
        <v>3</v>
      </c>
      <c r="O620">
        <f t="shared" ca="1" si="47"/>
        <v>0</v>
      </c>
      <c r="P620">
        <f t="shared" si="48"/>
        <v>0</v>
      </c>
      <c r="Q620" t="e">
        <f t="shared" si="49"/>
        <v>#VALUE!</v>
      </c>
    </row>
    <row r="621" spans="1:17" ht="15" customHeight="1" x14ac:dyDescent="0.25">
      <c r="A621">
        <f>'Customers Raw data'!A621</f>
        <v>1620</v>
      </c>
      <c r="B621" t="str">
        <f>'Customers Raw data'!B621</f>
        <v>2024-12-21</v>
      </c>
      <c r="C621" t="str">
        <f>'Customers Raw data'!C621</f>
        <v>Pro</v>
      </c>
      <c r="D621">
        <f>'Customers Raw data'!D621</f>
        <v>200</v>
      </c>
      <c r="E621">
        <f>'Customers Raw data'!E621</f>
        <v>100</v>
      </c>
      <c r="F621">
        <f>'Customers Raw data'!F621</f>
        <v>0</v>
      </c>
      <c r="G621">
        <f>IF('Customers Raw data'!F621&lt;&gt;"",1,0)</f>
        <v>0</v>
      </c>
      <c r="H621" t="str">
        <f>IF('Customers Raw data'!F621&lt;&gt;"",YEAR(DATEVALUE('Customers Raw data'!F621)),"")</f>
        <v/>
      </c>
      <c r="I621" t="str">
        <f>IF('Customers Raw data'!F621&lt;&gt;"",MONTH(DATEVALUE('Customers Raw data'!F621)),"")</f>
        <v/>
      </c>
      <c r="J621">
        <f>YEAR(DATEVALUE('Customers Raw data'!B621))</f>
        <v>2024</v>
      </c>
      <c r="K621">
        <f>MONTH(DATEVALUE('Customers Raw data'!B621))</f>
        <v>12</v>
      </c>
      <c r="L621">
        <f ca="1">IF('Customers Raw data'!F621&lt;&gt;"",DATEDIF(DATEVALUE('Customers Raw data'!B621),DATEVALUE('Customers Raw data'!F621),"M"),DATEDIF(DATEVALUE('Customers Raw data'!B621),TODAY(),"M"))</f>
        <v>15</v>
      </c>
      <c r="M621">
        <f t="shared" ca="1" si="45"/>
        <v>3000</v>
      </c>
      <c r="N621">
        <f t="shared" si="46"/>
        <v>2</v>
      </c>
      <c r="O621">
        <f t="shared" ca="1" si="47"/>
        <v>0</v>
      </c>
      <c r="P621">
        <f t="shared" si="48"/>
        <v>0</v>
      </c>
      <c r="Q621" t="e">
        <f t="shared" si="49"/>
        <v>#VALUE!</v>
      </c>
    </row>
    <row r="622" spans="1:17" ht="15" customHeight="1" x14ac:dyDescent="0.25">
      <c r="A622">
        <f>'Customers Raw data'!A622</f>
        <v>1621</v>
      </c>
      <c r="B622" t="str">
        <f>'Customers Raw data'!B622</f>
        <v>2024-04-14</v>
      </c>
      <c r="C622" t="str">
        <f>'Customers Raw data'!C622</f>
        <v>Basic</v>
      </c>
      <c r="D622">
        <f>'Customers Raw data'!D622</f>
        <v>50</v>
      </c>
      <c r="E622">
        <f>'Customers Raw data'!E622</f>
        <v>30</v>
      </c>
      <c r="F622">
        <f>'Customers Raw data'!F622</f>
        <v>0</v>
      </c>
      <c r="G622">
        <f>IF('Customers Raw data'!F622&lt;&gt;"",1,0)</f>
        <v>0</v>
      </c>
      <c r="H622" t="str">
        <f>IF('Customers Raw data'!F622&lt;&gt;"",YEAR(DATEVALUE('Customers Raw data'!F622)),"")</f>
        <v/>
      </c>
      <c r="I622" t="str">
        <f>IF('Customers Raw data'!F622&lt;&gt;"",MONTH(DATEVALUE('Customers Raw data'!F622)),"")</f>
        <v/>
      </c>
      <c r="J622">
        <f>YEAR(DATEVALUE('Customers Raw data'!B622))</f>
        <v>2024</v>
      </c>
      <c r="K622">
        <f>MONTH(DATEVALUE('Customers Raw data'!B622))</f>
        <v>4</v>
      </c>
      <c r="L622">
        <f ca="1">IF('Customers Raw data'!F622&lt;&gt;"",DATEDIF(DATEVALUE('Customers Raw data'!B622),DATEVALUE('Customers Raw data'!F622),"M"),DATEDIF(DATEVALUE('Customers Raw data'!B622),TODAY(),"M"))</f>
        <v>23</v>
      </c>
      <c r="M622">
        <f t="shared" ca="1" si="45"/>
        <v>1150</v>
      </c>
      <c r="N622">
        <f t="shared" si="46"/>
        <v>1</v>
      </c>
      <c r="O622">
        <f t="shared" ca="1" si="47"/>
        <v>0</v>
      </c>
      <c r="P622">
        <f t="shared" si="48"/>
        <v>0</v>
      </c>
      <c r="Q622" t="e">
        <f t="shared" si="49"/>
        <v>#VALUE!</v>
      </c>
    </row>
    <row r="623" spans="1:17" ht="15" customHeight="1" x14ac:dyDescent="0.25">
      <c r="A623">
        <f>'Customers Raw data'!A623</f>
        <v>1622</v>
      </c>
      <c r="B623" t="str">
        <f>'Customers Raw data'!B623</f>
        <v>2024-02-24</v>
      </c>
      <c r="C623" t="str">
        <f>'Customers Raw data'!C623</f>
        <v>Enterprise</v>
      </c>
      <c r="D623">
        <f>'Customers Raw data'!D623</f>
        <v>500</v>
      </c>
      <c r="E623">
        <f>'Customers Raw data'!E623</f>
        <v>200</v>
      </c>
      <c r="F623">
        <f>'Customers Raw data'!F623</f>
        <v>0</v>
      </c>
      <c r="G623">
        <f>IF('Customers Raw data'!F623&lt;&gt;"",1,0)</f>
        <v>0</v>
      </c>
      <c r="H623" t="str">
        <f>IF('Customers Raw data'!F623&lt;&gt;"",YEAR(DATEVALUE('Customers Raw data'!F623)),"")</f>
        <v/>
      </c>
      <c r="I623" t="str">
        <f>IF('Customers Raw data'!F623&lt;&gt;"",MONTH(DATEVALUE('Customers Raw data'!F623)),"")</f>
        <v/>
      </c>
      <c r="J623">
        <f>YEAR(DATEVALUE('Customers Raw data'!B623))</f>
        <v>2024</v>
      </c>
      <c r="K623">
        <f>MONTH(DATEVALUE('Customers Raw data'!B623))</f>
        <v>2</v>
      </c>
      <c r="L623">
        <f ca="1">IF('Customers Raw data'!F623&lt;&gt;"",DATEDIF(DATEVALUE('Customers Raw data'!B623),DATEVALUE('Customers Raw data'!F623),"M"),DATEDIF(DATEVALUE('Customers Raw data'!B623),TODAY(),"M"))</f>
        <v>25</v>
      </c>
      <c r="M623">
        <f t="shared" ca="1" si="45"/>
        <v>12500</v>
      </c>
      <c r="N623">
        <f t="shared" si="46"/>
        <v>3</v>
      </c>
      <c r="O623">
        <f t="shared" ca="1" si="47"/>
        <v>0</v>
      </c>
      <c r="P623">
        <f t="shared" si="48"/>
        <v>0</v>
      </c>
      <c r="Q623" t="e">
        <f t="shared" si="49"/>
        <v>#VALUE!</v>
      </c>
    </row>
    <row r="624" spans="1:17" ht="15" customHeight="1" x14ac:dyDescent="0.25">
      <c r="A624">
        <f>'Customers Raw data'!A624</f>
        <v>1623</v>
      </c>
      <c r="B624" t="str">
        <f>'Customers Raw data'!B624</f>
        <v>2025-05-15</v>
      </c>
      <c r="C624" t="str">
        <f>'Customers Raw data'!C624</f>
        <v>Enterprise</v>
      </c>
      <c r="D624">
        <f>'Customers Raw data'!D624</f>
        <v>500</v>
      </c>
      <c r="E624">
        <f>'Customers Raw data'!E624</f>
        <v>200</v>
      </c>
      <c r="F624">
        <f>'Customers Raw data'!F624</f>
        <v>0</v>
      </c>
      <c r="G624">
        <f>IF('Customers Raw data'!F624&lt;&gt;"",1,0)</f>
        <v>0</v>
      </c>
      <c r="H624" t="str">
        <f>IF('Customers Raw data'!F624&lt;&gt;"",YEAR(DATEVALUE('Customers Raw data'!F624)),"")</f>
        <v/>
      </c>
      <c r="I624" t="str">
        <f>IF('Customers Raw data'!F624&lt;&gt;"",MONTH(DATEVALUE('Customers Raw data'!F624)),"")</f>
        <v/>
      </c>
      <c r="J624">
        <f>YEAR(DATEVALUE('Customers Raw data'!B624))</f>
        <v>2025</v>
      </c>
      <c r="K624">
        <f>MONTH(DATEVALUE('Customers Raw data'!B624))</f>
        <v>5</v>
      </c>
      <c r="L624">
        <f ca="1">IF('Customers Raw data'!F624&lt;&gt;"",DATEDIF(DATEVALUE('Customers Raw data'!B624),DATEVALUE('Customers Raw data'!F624),"M"),DATEDIF(DATEVALUE('Customers Raw data'!B624),TODAY(),"M"))</f>
        <v>10</v>
      </c>
      <c r="M624">
        <f t="shared" ca="1" si="45"/>
        <v>5000</v>
      </c>
      <c r="N624">
        <f t="shared" si="46"/>
        <v>3</v>
      </c>
      <c r="O624">
        <f t="shared" ca="1" si="47"/>
        <v>0</v>
      </c>
      <c r="P624">
        <f t="shared" si="48"/>
        <v>0</v>
      </c>
      <c r="Q624" t="e">
        <f t="shared" si="49"/>
        <v>#VALUE!</v>
      </c>
    </row>
    <row r="625" spans="1:17" ht="15" customHeight="1" x14ac:dyDescent="0.25">
      <c r="A625">
        <f>'Customers Raw data'!A625</f>
        <v>1624</v>
      </c>
      <c r="B625" t="str">
        <f>'Customers Raw data'!B625</f>
        <v>2024-07-27</v>
      </c>
      <c r="C625" t="str">
        <f>'Customers Raw data'!C625</f>
        <v>Enterprise</v>
      </c>
      <c r="D625">
        <f>'Customers Raw data'!D625</f>
        <v>500</v>
      </c>
      <c r="E625">
        <f>'Customers Raw data'!E625</f>
        <v>200</v>
      </c>
      <c r="F625" t="str">
        <f>'Customers Raw data'!F625</f>
        <v>2024-09-19</v>
      </c>
      <c r="G625">
        <f>IF('Customers Raw data'!F625&lt;&gt;"",1,0)</f>
        <v>1</v>
      </c>
      <c r="H625">
        <f>IF('Customers Raw data'!F625&lt;&gt;"",YEAR(DATEVALUE('Customers Raw data'!F625)),"")</f>
        <v>2024</v>
      </c>
      <c r="I625">
        <f>IF('Customers Raw data'!F625&lt;&gt;"",MONTH(DATEVALUE('Customers Raw data'!F625)),"")</f>
        <v>9</v>
      </c>
      <c r="J625">
        <f>YEAR(DATEVALUE('Customers Raw data'!B625))</f>
        <v>2024</v>
      </c>
      <c r="K625">
        <f>MONTH(DATEVALUE('Customers Raw data'!B625))</f>
        <v>7</v>
      </c>
      <c r="L625">
        <f ca="1">IF('Customers Raw data'!F625&lt;&gt;"",DATEDIF(DATEVALUE('Customers Raw data'!B625),DATEVALUE('Customers Raw data'!F625),"M"),DATEDIF(DATEVALUE('Customers Raw data'!B625),TODAY(),"M"))</f>
        <v>1</v>
      </c>
      <c r="M625">
        <f t="shared" ca="1" si="45"/>
        <v>500</v>
      </c>
      <c r="N625">
        <f t="shared" si="46"/>
        <v>3</v>
      </c>
      <c r="O625">
        <f t="shared" ca="1" si="47"/>
        <v>1</v>
      </c>
      <c r="P625">
        <f t="shared" si="48"/>
        <v>500</v>
      </c>
      <c r="Q625" t="str">
        <f t="shared" si="49"/>
        <v>2024-09</v>
      </c>
    </row>
    <row r="626" spans="1:17" ht="15" customHeight="1" x14ac:dyDescent="0.25">
      <c r="A626">
        <f>'Customers Raw data'!A626</f>
        <v>1625</v>
      </c>
      <c r="B626" t="str">
        <f>'Customers Raw data'!B626</f>
        <v>2024-01-07</v>
      </c>
      <c r="C626" t="str">
        <f>'Customers Raw data'!C626</f>
        <v>Basic</v>
      </c>
      <c r="D626">
        <f>'Customers Raw data'!D626</f>
        <v>50</v>
      </c>
      <c r="E626">
        <f>'Customers Raw data'!E626</f>
        <v>30</v>
      </c>
      <c r="F626">
        <f>'Customers Raw data'!F626</f>
        <v>0</v>
      </c>
      <c r="G626">
        <f>IF('Customers Raw data'!F626&lt;&gt;"",1,0)</f>
        <v>0</v>
      </c>
      <c r="H626" t="str">
        <f>IF('Customers Raw data'!F626&lt;&gt;"",YEAR(DATEVALUE('Customers Raw data'!F626)),"")</f>
        <v/>
      </c>
      <c r="I626" t="str">
        <f>IF('Customers Raw data'!F626&lt;&gt;"",MONTH(DATEVALUE('Customers Raw data'!F626)),"")</f>
        <v/>
      </c>
      <c r="J626">
        <f>YEAR(DATEVALUE('Customers Raw data'!B626))</f>
        <v>2024</v>
      </c>
      <c r="K626">
        <f>MONTH(DATEVALUE('Customers Raw data'!B626))</f>
        <v>1</v>
      </c>
      <c r="L626">
        <f ca="1">IF('Customers Raw data'!F626&lt;&gt;"",DATEDIF(DATEVALUE('Customers Raw data'!B626),DATEVALUE('Customers Raw data'!F626),"M"),DATEDIF(DATEVALUE('Customers Raw data'!B626),TODAY(),"M"))</f>
        <v>27</v>
      </c>
      <c r="M626">
        <f t="shared" ca="1" si="45"/>
        <v>1350</v>
      </c>
      <c r="N626">
        <f t="shared" si="46"/>
        <v>1</v>
      </c>
      <c r="O626">
        <f t="shared" ca="1" si="47"/>
        <v>0</v>
      </c>
      <c r="P626">
        <f t="shared" si="48"/>
        <v>0</v>
      </c>
      <c r="Q626" t="e">
        <f t="shared" si="49"/>
        <v>#VALUE!</v>
      </c>
    </row>
    <row r="627" spans="1:17" ht="15" customHeight="1" x14ac:dyDescent="0.25">
      <c r="A627">
        <f>'Customers Raw data'!A627</f>
        <v>1626</v>
      </c>
      <c r="B627" t="str">
        <f>'Customers Raw data'!B627</f>
        <v>2024-05-30</v>
      </c>
      <c r="C627" t="str">
        <f>'Customers Raw data'!C627</f>
        <v>Basic</v>
      </c>
      <c r="D627">
        <f>'Customers Raw data'!D627</f>
        <v>50</v>
      </c>
      <c r="E627">
        <f>'Customers Raw data'!E627</f>
        <v>30</v>
      </c>
      <c r="F627">
        <f>'Customers Raw data'!F627</f>
        <v>0</v>
      </c>
      <c r="G627">
        <f>IF('Customers Raw data'!F627&lt;&gt;"",1,0)</f>
        <v>0</v>
      </c>
      <c r="H627" t="str">
        <f>IF('Customers Raw data'!F627&lt;&gt;"",YEAR(DATEVALUE('Customers Raw data'!F627)),"")</f>
        <v/>
      </c>
      <c r="I627" t="str">
        <f>IF('Customers Raw data'!F627&lt;&gt;"",MONTH(DATEVALUE('Customers Raw data'!F627)),"")</f>
        <v/>
      </c>
      <c r="J627">
        <f>YEAR(DATEVALUE('Customers Raw data'!B627))</f>
        <v>2024</v>
      </c>
      <c r="K627">
        <f>MONTH(DATEVALUE('Customers Raw data'!B627))</f>
        <v>5</v>
      </c>
      <c r="L627">
        <f ca="1">IF('Customers Raw data'!F627&lt;&gt;"",DATEDIF(DATEVALUE('Customers Raw data'!B627),DATEVALUE('Customers Raw data'!F627),"M"),DATEDIF(DATEVALUE('Customers Raw data'!B627),TODAY(),"M"))</f>
        <v>22</v>
      </c>
      <c r="M627">
        <f t="shared" ca="1" si="45"/>
        <v>1100</v>
      </c>
      <c r="N627">
        <f t="shared" si="46"/>
        <v>1</v>
      </c>
      <c r="O627">
        <f t="shared" ca="1" si="47"/>
        <v>0</v>
      </c>
      <c r="P627">
        <f t="shared" si="48"/>
        <v>0</v>
      </c>
      <c r="Q627" t="e">
        <f t="shared" si="49"/>
        <v>#VALUE!</v>
      </c>
    </row>
    <row r="628" spans="1:17" ht="15" customHeight="1" x14ac:dyDescent="0.25">
      <c r="A628">
        <f>'Customers Raw data'!A628</f>
        <v>1627</v>
      </c>
      <c r="B628" t="str">
        <f>'Customers Raw data'!B628</f>
        <v>2024-08-26</v>
      </c>
      <c r="C628" t="str">
        <f>'Customers Raw data'!C628</f>
        <v>Enterprise</v>
      </c>
      <c r="D628">
        <f>'Customers Raw data'!D628</f>
        <v>500</v>
      </c>
      <c r="E628">
        <f>'Customers Raw data'!E628</f>
        <v>200</v>
      </c>
      <c r="F628">
        <f>'Customers Raw data'!F628</f>
        <v>0</v>
      </c>
      <c r="G628">
        <f>IF('Customers Raw data'!F628&lt;&gt;"",1,0)</f>
        <v>0</v>
      </c>
      <c r="H628" t="str">
        <f>IF('Customers Raw data'!F628&lt;&gt;"",YEAR(DATEVALUE('Customers Raw data'!F628)),"")</f>
        <v/>
      </c>
      <c r="I628" t="str">
        <f>IF('Customers Raw data'!F628&lt;&gt;"",MONTH(DATEVALUE('Customers Raw data'!F628)),"")</f>
        <v/>
      </c>
      <c r="J628">
        <f>YEAR(DATEVALUE('Customers Raw data'!B628))</f>
        <v>2024</v>
      </c>
      <c r="K628">
        <f>MONTH(DATEVALUE('Customers Raw data'!B628))</f>
        <v>8</v>
      </c>
      <c r="L628">
        <f ca="1">IF('Customers Raw data'!F628&lt;&gt;"",DATEDIF(DATEVALUE('Customers Raw data'!B628),DATEVALUE('Customers Raw data'!F628),"M"),DATEDIF(DATEVALUE('Customers Raw data'!B628),TODAY(),"M"))</f>
        <v>19</v>
      </c>
      <c r="M628">
        <f t="shared" ca="1" si="45"/>
        <v>9500</v>
      </c>
      <c r="N628">
        <f t="shared" si="46"/>
        <v>3</v>
      </c>
      <c r="O628">
        <f t="shared" ca="1" si="47"/>
        <v>0</v>
      </c>
      <c r="P628">
        <f t="shared" si="48"/>
        <v>0</v>
      </c>
      <c r="Q628" t="e">
        <f t="shared" si="49"/>
        <v>#VALUE!</v>
      </c>
    </row>
    <row r="629" spans="1:17" ht="15" customHeight="1" x14ac:dyDescent="0.25">
      <c r="A629">
        <f>'Customers Raw data'!A629</f>
        <v>1628</v>
      </c>
      <c r="B629" t="str">
        <f>'Customers Raw data'!B629</f>
        <v>2024-10-14</v>
      </c>
      <c r="C629" t="str">
        <f>'Customers Raw data'!C629</f>
        <v>Basic</v>
      </c>
      <c r="D629">
        <f>'Customers Raw data'!D629</f>
        <v>50</v>
      </c>
      <c r="E629">
        <f>'Customers Raw data'!E629</f>
        <v>30</v>
      </c>
      <c r="F629">
        <f>'Customers Raw data'!F629</f>
        <v>0</v>
      </c>
      <c r="G629">
        <f>IF('Customers Raw data'!F629&lt;&gt;"",1,0)</f>
        <v>0</v>
      </c>
      <c r="H629" t="str">
        <f>IF('Customers Raw data'!F629&lt;&gt;"",YEAR(DATEVALUE('Customers Raw data'!F629)),"")</f>
        <v/>
      </c>
      <c r="I629" t="str">
        <f>IF('Customers Raw data'!F629&lt;&gt;"",MONTH(DATEVALUE('Customers Raw data'!F629)),"")</f>
        <v/>
      </c>
      <c r="J629">
        <f>YEAR(DATEVALUE('Customers Raw data'!B629))</f>
        <v>2024</v>
      </c>
      <c r="K629">
        <f>MONTH(DATEVALUE('Customers Raw data'!B629))</f>
        <v>10</v>
      </c>
      <c r="L629">
        <f ca="1">IF('Customers Raw data'!F629&lt;&gt;"",DATEDIF(DATEVALUE('Customers Raw data'!B629),DATEVALUE('Customers Raw data'!F629),"M"),DATEDIF(DATEVALUE('Customers Raw data'!B629),TODAY(),"M"))</f>
        <v>17</v>
      </c>
      <c r="M629">
        <f t="shared" ca="1" si="45"/>
        <v>850</v>
      </c>
      <c r="N629">
        <f t="shared" si="46"/>
        <v>1</v>
      </c>
      <c r="O629">
        <f t="shared" ca="1" si="47"/>
        <v>0</v>
      </c>
      <c r="P629">
        <f t="shared" si="48"/>
        <v>0</v>
      </c>
      <c r="Q629" t="e">
        <f t="shared" si="49"/>
        <v>#VALUE!</v>
      </c>
    </row>
    <row r="630" spans="1:17" ht="15" customHeight="1" x14ac:dyDescent="0.25">
      <c r="A630">
        <f>'Customers Raw data'!A630</f>
        <v>1629</v>
      </c>
      <c r="B630" t="str">
        <f>'Customers Raw data'!B630</f>
        <v>2024-11-21</v>
      </c>
      <c r="C630" t="str">
        <f>'Customers Raw data'!C630</f>
        <v>Pro</v>
      </c>
      <c r="D630">
        <f>'Customers Raw data'!D630</f>
        <v>200</v>
      </c>
      <c r="E630">
        <f>'Customers Raw data'!E630</f>
        <v>100</v>
      </c>
      <c r="F630" t="str">
        <f>'Customers Raw data'!F630</f>
        <v>2025-04-21</v>
      </c>
      <c r="G630">
        <f>IF('Customers Raw data'!F630&lt;&gt;"",1,0)</f>
        <v>1</v>
      </c>
      <c r="H630">
        <f>IF('Customers Raw data'!F630&lt;&gt;"",YEAR(DATEVALUE('Customers Raw data'!F630)),"")</f>
        <v>2025</v>
      </c>
      <c r="I630">
        <f>IF('Customers Raw data'!F630&lt;&gt;"",MONTH(DATEVALUE('Customers Raw data'!F630)),"")</f>
        <v>4</v>
      </c>
      <c r="J630">
        <f>YEAR(DATEVALUE('Customers Raw data'!B630))</f>
        <v>2024</v>
      </c>
      <c r="K630">
        <f>MONTH(DATEVALUE('Customers Raw data'!B630))</f>
        <v>11</v>
      </c>
      <c r="L630">
        <f ca="1">IF('Customers Raw data'!F630&lt;&gt;"",DATEDIF(DATEVALUE('Customers Raw data'!B630),DATEVALUE('Customers Raw data'!F630),"M"),DATEDIF(DATEVALUE('Customers Raw data'!B630),TODAY(),"M"))</f>
        <v>5</v>
      </c>
      <c r="M630">
        <f t="shared" ca="1" si="45"/>
        <v>1000</v>
      </c>
      <c r="N630">
        <f t="shared" si="46"/>
        <v>2</v>
      </c>
      <c r="O630">
        <f t="shared" ca="1" si="47"/>
        <v>1</v>
      </c>
      <c r="P630">
        <f t="shared" si="48"/>
        <v>200</v>
      </c>
      <c r="Q630" t="str">
        <f t="shared" si="49"/>
        <v>2025-04</v>
      </c>
    </row>
    <row r="631" spans="1:17" ht="15" customHeight="1" x14ac:dyDescent="0.25">
      <c r="A631">
        <f>'Customers Raw data'!A631</f>
        <v>1630</v>
      </c>
      <c r="B631" t="str">
        <f>'Customers Raw data'!B631</f>
        <v>2024-01-30</v>
      </c>
      <c r="C631" t="str">
        <f>'Customers Raw data'!C631</f>
        <v>Basic</v>
      </c>
      <c r="D631">
        <f>'Customers Raw data'!D631</f>
        <v>50</v>
      </c>
      <c r="E631">
        <f>'Customers Raw data'!E631</f>
        <v>30</v>
      </c>
      <c r="F631">
        <f>'Customers Raw data'!F631</f>
        <v>0</v>
      </c>
      <c r="G631">
        <f>IF('Customers Raw data'!F631&lt;&gt;"",1,0)</f>
        <v>0</v>
      </c>
      <c r="H631" t="str">
        <f>IF('Customers Raw data'!F631&lt;&gt;"",YEAR(DATEVALUE('Customers Raw data'!F631)),"")</f>
        <v/>
      </c>
      <c r="I631" t="str">
        <f>IF('Customers Raw data'!F631&lt;&gt;"",MONTH(DATEVALUE('Customers Raw data'!F631)),"")</f>
        <v/>
      </c>
      <c r="J631">
        <f>YEAR(DATEVALUE('Customers Raw data'!B631))</f>
        <v>2024</v>
      </c>
      <c r="K631">
        <f>MONTH(DATEVALUE('Customers Raw data'!B631))</f>
        <v>1</v>
      </c>
      <c r="L631">
        <f ca="1">IF('Customers Raw data'!F631&lt;&gt;"",DATEDIF(DATEVALUE('Customers Raw data'!B631),DATEVALUE('Customers Raw data'!F631),"M"),DATEDIF(DATEVALUE('Customers Raw data'!B631),TODAY(),"M"))</f>
        <v>26</v>
      </c>
      <c r="M631">
        <f t="shared" ca="1" si="45"/>
        <v>1300</v>
      </c>
      <c r="N631">
        <f t="shared" si="46"/>
        <v>1</v>
      </c>
      <c r="O631">
        <f t="shared" ca="1" si="47"/>
        <v>0</v>
      </c>
      <c r="P631">
        <f t="shared" si="48"/>
        <v>0</v>
      </c>
      <c r="Q631" t="e">
        <f t="shared" si="49"/>
        <v>#VALUE!</v>
      </c>
    </row>
    <row r="632" spans="1:17" ht="15" customHeight="1" x14ac:dyDescent="0.25">
      <c r="A632">
        <f>'Customers Raw data'!A632</f>
        <v>1631</v>
      </c>
      <c r="B632" t="str">
        <f>'Customers Raw data'!B632</f>
        <v>2025-02-08</v>
      </c>
      <c r="C632" t="str">
        <f>'Customers Raw data'!C632</f>
        <v>Enterprise</v>
      </c>
      <c r="D632">
        <f>'Customers Raw data'!D632</f>
        <v>500</v>
      </c>
      <c r="E632">
        <f>'Customers Raw data'!E632</f>
        <v>200</v>
      </c>
      <c r="F632">
        <f>'Customers Raw data'!F632</f>
        <v>0</v>
      </c>
      <c r="G632">
        <f>IF('Customers Raw data'!F632&lt;&gt;"",1,0)</f>
        <v>0</v>
      </c>
      <c r="H632" t="str">
        <f>IF('Customers Raw data'!F632&lt;&gt;"",YEAR(DATEVALUE('Customers Raw data'!F632)),"")</f>
        <v/>
      </c>
      <c r="I632" t="str">
        <f>IF('Customers Raw data'!F632&lt;&gt;"",MONTH(DATEVALUE('Customers Raw data'!F632)),"")</f>
        <v/>
      </c>
      <c r="J632">
        <f>YEAR(DATEVALUE('Customers Raw data'!B632))</f>
        <v>2025</v>
      </c>
      <c r="K632">
        <f>MONTH(DATEVALUE('Customers Raw data'!B632))</f>
        <v>2</v>
      </c>
      <c r="L632">
        <f ca="1">IF('Customers Raw data'!F632&lt;&gt;"",DATEDIF(DATEVALUE('Customers Raw data'!B632),DATEVALUE('Customers Raw data'!F632),"M"),DATEDIF(DATEVALUE('Customers Raw data'!B632),TODAY(),"M"))</f>
        <v>13</v>
      </c>
      <c r="M632">
        <f t="shared" ca="1" si="45"/>
        <v>6500</v>
      </c>
      <c r="N632">
        <f t="shared" si="46"/>
        <v>3</v>
      </c>
      <c r="O632">
        <f t="shared" ca="1" si="47"/>
        <v>0</v>
      </c>
      <c r="P632">
        <f t="shared" si="48"/>
        <v>0</v>
      </c>
      <c r="Q632" t="e">
        <f t="shared" si="49"/>
        <v>#VALUE!</v>
      </c>
    </row>
    <row r="633" spans="1:17" ht="15" customHeight="1" x14ac:dyDescent="0.25">
      <c r="A633">
        <f>'Customers Raw data'!A633</f>
        <v>1632</v>
      </c>
      <c r="B633" t="str">
        <f>'Customers Raw data'!B633</f>
        <v>2024-11-19</v>
      </c>
      <c r="C633" t="str">
        <f>'Customers Raw data'!C633</f>
        <v>Pro</v>
      </c>
      <c r="D633">
        <f>'Customers Raw data'!D633</f>
        <v>200</v>
      </c>
      <c r="E633">
        <f>'Customers Raw data'!E633</f>
        <v>100</v>
      </c>
      <c r="F633">
        <f>'Customers Raw data'!F633</f>
        <v>0</v>
      </c>
      <c r="G633">
        <f>IF('Customers Raw data'!F633&lt;&gt;"",1,0)</f>
        <v>0</v>
      </c>
      <c r="H633" t="str">
        <f>IF('Customers Raw data'!F633&lt;&gt;"",YEAR(DATEVALUE('Customers Raw data'!F633)),"")</f>
        <v/>
      </c>
      <c r="I633" t="str">
        <f>IF('Customers Raw data'!F633&lt;&gt;"",MONTH(DATEVALUE('Customers Raw data'!F633)),"")</f>
        <v/>
      </c>
      <c r="J633">
        <f>YEAR(DATEVALUE('Customers Raw data'!B633))</f>
        <v>2024</v>
      </c>
      <c r="K633">
        <f>MONTH(DATEVALUE('Customers Raw data'!B633))</f>
        <v>11</v>
      </c>
      <c r="L633">
        <f ca="1">IF('Customers Raw data'!F633&lt;&gt;"",DATEDIF(DATEVALUE('Customers Raw data'!B633),DATEVALUE('Customers Raw data'!F633),"M"),DATEDIF(DATEVALUE('Customers Raw data'!B633),TODAY(),"M"))</f>
        <v>16</v>
      </c>
      <c r="M633">
        <f t="shared" ca="1" si="45"/>
        <v>3200</v>
      </c>
      <c r="N633">
        <f t="shared" si="46"/>
        <v>2</v>
      </c>
      <c r="O633">
        <f t="shared" ca="1" si="47"/>
        <v>0</v>
      </c>
      <c r="P633">
        <f t="shared" si="48"/>
        <v>0</v>
      </c>
      <c r="Q633" t="e">
        <f t="shared" si="49"/>
        <v>#VALUE!</v>
      </c>
    </row>
    <row r="634" spans="1:17" ht="15" customHeight="1" x14ac:dyDescent="0.25">
      <c r="A634">
        <f>'Customers Raw data'!A634</f>
        <v>1633</v>
      </c>
      <c r="B634" t="str">
        <f>'Customers Raw data'!B634</f>
        <v>2024-02-16</v>
      </c>
      <c r="C634" t="str">
        <f>'Customers Raw data'!C634</f>
        <v>Enterprise</v>
      </c>
      <c r="D634">
        <f>'Customers Raw data'!D634</f>
        <v>500</v>
      </c>
      <c r="E634">
        <f>'Customers Raw data'!E634</f>
        <v>200</v>
      </c>
      <c r="F634">
        <f>'Customers Raw data'!F634</f>
        <v>0</v>
      </c>
      <c r="G634">
        <f>IF('Customers Raw data'!F634&lt;&gt;"",1,0)</f>
        <v>0</v>
      </c>
      <c r="H634" t="str">
        <f>IF('Customers Raw data'!F634&lt;&gt;"",YEAR(DATEVALUE('Customers Raw data'!F634)),"")</f>
        <v/>
      </c>
      <c r="I634" t="str">
        <f>IF('Customers Raw data'!F634&lt;&gt;"",MONTH(DATEVALUE('Customers Raw data'!F634)),"")</f>
        <v/>
      </c>
      <c r="J634">
        <f>YEAR(DATEVALUE('Customers Raw data'!B634))</f>
        <v>2024</v>
      </c>
      <c r="K634">
        <f>MONTH(DATEVALUE('Customers Raw data'!B634))</f>
        <v>2</v>
      </c>
      <c r="L634">
        <f ca="1">IF('Customers Raw data'!F634&lt;&gt;"",DATEDIF(DATEVALUE('Customers Raw data'!B634),DATEVALUE('Customers Raw data'!F634),"M"),DATEDIF(DATEVALUE('Customers Raw data'!B634),TODAY(),"M"))</f>
        <v>25</v>
      </c>
      <c r="M634">
        <f t="shared" ca="1" si="45"/>
        <v>12500</v>
      </c>
      <c r="N634">
        <f t="shared" si="46"/>
        <v>3</v>
      </c>
      <c r="O634">
        <f t="shared" ca="1" si="47"/>
        <v>0</v>
      </c>
      <c r="P634">
        <f t="shared" si="48"/>
        <v>0</v>
      </c>
      <c r="Q634" t="e">
        <f t="shared" si="49"/>
        <v>#VALUE!</v>
      </c>
    </row>
    <row r="635" spans="1:17" ht="15" customHeight="1" x14ac:dyDescent="0.25">
      <c r="A635">
        <f>'Customers Raw data'!A635</f>
        <v>1634</v>
      </c>
      <c r="B635" t="str">
        <f>'Customers Raw data'!B635</f>
        <v>2024-08-11</v>
      </c>
      <c r="C635" t="str">
        <f>'Customers Raw data'!C635</f>
        <v>Enterprise</v>
      </c>
      <c r="D635">
        <f>'Customers Raw data'!D635</f>
        <v>500</v>
      </c>
      <c r="E635">
        <f>'Customers Raw data'!E635</f>
        <v>200</v>
      </c>
      <c r="F635">
        <f>'Customers Raw data'!F635</f>
        <v>0</v>
      </c>
      <c r="G635">
        <f>IF('Customers Raw data'!F635&lt;&gt;"",1,0)</f>
        <v>0</v>
      </c>
      <c r="H635" t="str">
        <f>IF('Customers Raw data'!F635&lt;&gt;"",YEAR(DATEVALUE('Customers Raw data'!F635)),"")</f>
        <v/>
      </c>
      <c r="I635" t="str">
        <f>IF('Customers Raw data'!F635&lt;&gt;"",MONTH(DATEVALUE('Customers Raw data'!F635)),"")</f>
        <v/>
      </c>
      <c r="J635">
        <f>YEAR(DATEVALUE('Customers Raw data'!B635))</f>
        <v>2024</v>
      </c>
      <c r="K635">
        <f>MONTH(DATEVALUE('Customers Raw data'!B635))</f>
        <v>8</v>
      </c>
      <c r="L635">
        <f ca="1">IF('Customers Raw data'!F635&lt;&gt;"",DATEDIF(DATEVALUE('Customers Raw data'!B635),DATEVALUE('Customers Raw data'!F635),"M"),DATEDIF(DATEVALUE('Customers Raw data'!B635),TODAY(),"M"))</f>
        <v>19</v>
      </c>
      <c r="M635">
        <f t="shared" ca="1" si="45"/>
        <v>9500</v>
      </c>
      <c r="N635">
        <f t="shared" si="46"/>
        <v>3</v>
      </c>
      <c r="O635">
        <f t="shared" ca="1" si="47"/>
        <v>0</v>
      </c>
      <c r="P635">
        <f t="shared" si="48"/>
        <v>0</v>
      </c>
      <c r="Q635" t="e">
        <f t="shared" si="49"/>
        <v>#VALUE!</v>
      </c>
    </row>
    <row r="636" spans="1:17" ht="15" customHeight="1" x14ac:dyDescent="0.25">
      <c r="A636">
        <f>'Customers Raw data'!A636</f>
        <v>1635</v>
      </c>
      <c r="B636" t="str">
        <f>'Customers Raw data'!B636</f>
        <v>2024-01-30</v>
      </c>
      <c r="C636" t="str">
        <f>'Customers Raw data'!C636</f>
        <v>Enterprise</v>
      </c>
      <c r="D636">
        <f>'Customers Raw data'!D636</f>
        <v>500</v>
      </c>
      <c r="E636">
        <f>'Customers Raw data'!E636</f>
        <v>200</v>
      </c>
      <c r="F636">
        <f>'Customers Raw data'!F636</f>
        <v>0</v>
      </c>
      <c r="G636">
        <f>IF('Customers Raw data'!F636&lt;&gt;"",1,0)</f>
        <v>0</v>
      </c>
      <c r="H636" t="str">
        <f>IF('Customers Raw data'!F636&lt;&gt;"",YEAR(DATEVALUE('Customers Raw data'!F636)),"")</f>
        <v/>
      </c>
      <c r="I636" t="str">
        <f>IF('Customers Raw data'!F636&lt;&gt;"",MONTH(DATEVALUE('Customers Raw data'!F636)),"")</f>
        <v/>
      </c>
      <c r="J636">
        <f>YEAR(DATEVALUE('Customers Raw data'!B636))</f>
        <v>2024</v>
      </c>
      <c r="K636">
        <f>MONTH(DATEVALUE('Customers Raw data'!B636))</f>
        <v>1</v>
      </c>
      <c r="L636">
        <f ca="1">IF('Customers Raw data'!F636&lt;&gt;"",DATEDIF(DATEVALUE('Customers Raw data'!B636),DATEVALUE('Customers Raw data'!F636),"M"),DATEDIF(DATEVALUE('Customers Raw data'!B636),TODAY(),"M"))</f>
        <v>26</v>
      </c>
      <c r="M636">
        <f t="shared" ca="1" si="45"/>
        <v>13000</v>
      </c>
      <c r="N636">
        <f t="shared" si="46"/>
        <v>3</v>
      </c>
      <c r="O636">
        <f t="shared" ca="1" si="47"/>
        <v>0</v>
      </c>
      <c r="P636">
        <f t="shared" si="48"/>
        <v>0</v>
      </c>
      <c r="Q636" t="e">
        <f t="shared" si="49"/>
        <v>#VALUE!</v>
      </c>
    </row>
    <row r="637" spans="1:17" ht="15" customHeight="1" x14ac:dyDescent="0.25">
      <c r="A637">
        <f>'Customers Raw data'!A637</f>
        <v>1636</v>
      </c>
      <c r="B637" t="str">
        <f>'Customers Raw data'!B637</f>
        <v>2024-08-11</v>
      </c>
      <c r="C637" t="str">
        <f>'Customers Raw data'!C637</f>
        <v>Enterprise</v>
      </c>
      <c r="D637">
        <f>'Customers Raw data'!D637</f>
        <v>500</v>
      </c>
      <c r="E637">
        <f>'Customers Raw data'!E637</f>
        <v>200</v>
      </c>
      <c r="F637">
        <f>'Customers Raw data'!F637</f>
        <v>0</v>
      </c>
      <c r="G637">
        <f>IF('Customers Raw data'!F637&lt;&gt;"",1,0)</f>
        <v>0</v>
      </c>
      <c r="H637" t="str">
        <f>IF('Customers Raw data'!F637&lt;&gt;"",YEAR(DATEVALUE('Customers Raw data'!F637)),"")</f>
        <v/>
      </c>
      <c r="I637" t="str">
        <f>IF('Customers Raw data'!F637&lt;&gt;"",MONTH(DATEVALUE('Customers Raw data'!F637)),"")</f>
        <v/>
      </c>
      <c r="J637">
        <f>YEAR(DATEVALUE('Customers Raw data'!B637))</f>
        <v>2024</v>
      </c>
      <c r="K637">
        <f>MONTH(DATEVALUE('Customers Raw data'!B637))</f>
        <v>8</v>
      </c>
      <c r="L637">
        <f ca="1">IF('Customers Raw data'!F637&lt;&gt;"",DATEDIF(DATEVALUE('Customers Raw data'!B637),DATEVALUE('Customers Raw data'!F637),"M"),DATEDIF(DATEVALUE('Customers Raw data'!B637),TODAY(),"M"))</f>
        <v>19</v>
      </c>
      <c r="M637">
        <f t="shared" ca="1" si="45"/>
        <v>9500</v>
      </c>
      <c r="N637">
        <f t="shared" si="46"/>
        <v>3</v>
      </c>
      <c r="O637">
        <f t="shared" ca="1" si="47"/>
        <v>0</v>
      </c>
      <c r="P637">
        <f t="shared" si="48"/>
        <v>0</v>
      </c>
      <c r="Q637" t="e">
        <f t="shared" si="49"/>
        <v>#VALUE!</v>
      </c>
    </row>
    <row r="638" spans="1:17" ht="15" customHeight="1" x14ac:dyDescent="0.25">
      <c r="A638">
        <f>'Customers Raw data'!A638</f>
        <v>1637</v>
      </c>
      <c r="B638" t="str">
        <f>'Customers Raw data'!B638</f>
        <v>2025-05-21</v>
      </c>
      <c r="C638" t="str">
        <f>'Customers Raw data'!C638</f>
        <v>Enterprise</v>
      </c>
      <c r="D638">
        <f>'Customers Raw data'!D638</f>
        <v>500</v>
      </c>
      <c r="E638">
        <f>'Customers Raw data'!E638</f>
        <v>200</v>
      </c>
      <c r="F638">
        <f>'Customers Raw data'!F638</f>
        <v>0</v>
      </c>
      <c r="G638">
        <f>IF('Customers Raw data'!F638&lt;&gt;"",1,0)</f>
        <v>0</v>
      </c>
      <c r="H638" t="str">
        <f>IF('Customers Raw data'!F638&lt;&gt;"",YEAR(DATEVALUE('Customers Raw data'!F638)),"")</f>
        <v/>
      </c>
      <c r="I638" t="str">
        <f>IF('Customers Raw data'!F638&lt;&gt;"",MONTH(DATEVALUE('Customers Raw data'!F638)),"")</f>
        <v/>
      </c>
      <c r="J638">
        <f>YEAR(DATEVALUE('Customers Raw data'!B638))</f>
        <v>2025</v>
      </c>
      <c r="K638">
        <f>MONTH(DATEVALUE('Customers Raw data'!B638))</f>
        <v>5</v>
      </c>
      <c r="L638">
        <f ca="1">IF('Customers Raw data'!F638&lt;&gt;"",DATEDIF(DATEVALUE('Customers Raw data'!B638),DATEVALUE('Customers Raw data'!F638),"M"),DATEDIF(DATEVALUE('Customers Raw data'!B638),TODAY(),"M"))</f>
        <v>10</v>
      </c>
      <c r="M638">
        <f t="shared" ca="1" si="45"/>
        <v>5000</v>
      </c>
      <c r="N638">
        <f t="shared" si="46"/>
        <v>3</v>
      </c>
      <c r="O638">
        <f t="shared" ca="1" si="47"/>
        <v>0</v>
      </c>
      <c r="P638">
        <f t="shared" si="48"/>
        <v>0</v>
      </c>
      <c r="Q638" t="e">
        <f t="shared" si="49"/>
        <v>#VALUE!</v>
      </c>
    </row>
    <row r="639" spans="1:17" ht="15" customHeight="1" x14ac:dyDescent="0.25">
      <c r="A639">
        <f>'Customers Raw data'!A639</f>
        <v>1638</v>
      </c>
      <c r="B639" t="str">
        <f>'Customers Raw data'!B639</f>
        <v>2025-03-23</v>
      </c>
      <c r="C639" t="str">
        <f>'Customers Raw data'!C639</f>
        <v>Pro</v>
      </c>
      <c r="D639">
        <f>'Customers Raw data'!D639</f>
        <v>200</v>
      </c>
      <c r="E639">
        <f>'Customers Raw data'!E639</f>
        <v>100</v>
      </c>
      <c r="F639">
        <f>'Customers Raw data'!F639</f>
        <v>0</v>
      </c>
      <c r="G639">
        <f>IF('Customers Raw data'!F639&lt;&gt;"",1,0)</f>
        <v>0</v>
      </c>
      <c r="H639" t="str">
        <f>IF('Customers Raw data'!F639&lt;&gt;"",YEAR(DATEVALUE('Customers Raw data'!F639)),"")</f>
        <v/>
      </c>
      <c r="I639" t="str">
        <f>IF('Customers Raw data'!F639&lt;&gt;"",MONTH(DATEVALUE('Customers Raw data'!F639)),"")</f>
        <v/>
      </c>
      <c r="J639">
        <f>YEAR(DATEVALUE('Customers Raw data'!B639))</f>
        <v>2025</v>
      </c>
      <c r="K639">
        <f>MONTH(DATEVALUE('Customers Raw data'!B639))</f>
        <v>3</v>
      </c>
      <c r="L639">
        <f ca="1">IF('Customers Raw data'!F639&lt;&gt;"",DATEDIF(DATEVALUE('Customers Raw data'!B639),DATEVALUE('Customers Raw data'!F639),"M"),DATEDIF(DATEVALUE('Customers Raw data'!B639),TODAY(),"M"))</f>
        <v>12</v>
      </c>
      <c r="M639">
        <f t="shared" ca="1" si="45"/>
        <v>2400</v>
      </c>
      <c r="N639">
        <f t="shared" si="46"/>
        <v>2</v>
      </c>
      <c r="O639">
        <f t="shared" ca="1" si="47"/>
        <v>0</v>
      </c>
      <c r="P639">
        <f t="shared" si="48"/>
        <v>0</v>
      </c>
      <c r="Q639" t="e">
        <f t="shared" si="49"/>
        <v>#VALUE!</v>
      </c>
    </row>
    <row r="640" spans="1:17" ht="15" customHeight="1" x14ac:dyDescent="0.25">
      <c r="A640">
        <f>'Customers Raw data'!A640</f>
        <v>1639</v>
      </c>
      <c r="B640" t="str">
        <f>'Customers Raw data'!B640</f>
        <v>2024-09-06</v>
      </c>
      <c r="C640" t="str">
        <f>'Customers Raw data'!C640</f>
        <v>Pro</v>
      </c>
      <c r="D640">
        <f>'Customers Raw data'!D640</f>
        <v>200</v>
      </c>
      <c r="E640">
        <f>'Customers Raw data'!E640</f>
        <v>100</v>
      </c>
      <c r="F640">
        <f>'Customers Raw data'!F640</f>
        <v>0</v>
      </c>
      <c r="G640">
        <f>IF('Customers Raw data'!F640&lt;&gt;"",1,0)</f>
        <v>0</v>
      </c>
      <c r="H640" t="str">
        <f>IF('Customers Raw data'!F640&lt;&gt;"",YEAR(DATEVALUE('Customers Raw data'!F640)),"")</f>
        <v/>
      </c>
      <c r="I640" t="str">
        <f>IF('Customers Raw data'!F640&lt;&gt;"",MONTH(DATEVALUE('Customers Raw data'!F640)),"")</f>
        <v/>
      </c>
      <c r="J640">
        <f>YEAR(DATEVALUE('Customers Raw data'!B640))</f>
        <v>2024</v>
      </c>
      <c r="K640">
        <f>MONTH(DATEVALUE('Customers Raw data'!B640))</f>
        <v>9</v>
      </c>
      <c r="L640">
        <f ca="1">IF('Customers Raw data'!F640&lt;&gt;"",DATEDIF(DATEVALUE('Customers Raw data'!B640),DATEVALUE('Customers Raw data'!F640),"M"),DATEDIF(DATEVALUE('Customers Raw data'!B640),TODAY(),"M"))</f>
        <v>19</v>
      </c>
      <c r="M640">
        <f t="shared" ca="1" si="45"/>
        <v>3800</v>
      </c>
      <c r="N640">
        <f t="shared" si="46"/>
        <v>2</v>
      </c>
      <c r="O640">
        <f t="shared" ca="1" si="47"/>
        <v>0</v>
      </c>
      <c r="P640">
        <f t="shared" si="48"/>
        <v>0</v>
      </c>
      <c r="Q640" t="e">
        <f t="shared" si="49"/>
        <v>#VALUE!</v>
      </c>
    </row>
    <row r="641" spans="1:17" ht="15" customHeight="1" x14ac:dyDescent="0.25">
      <c r="A641">
        <f>'Customers Raw data'!A641</f>
        <v>1640</v>
      </c>
      <c r="B641" t="str">
        <f>'Customers Raw data'!B641</f>
        <v>2024-11-28</v>
      </c>
      <c r="C641" t="str">
        <f>'Customers Raw data'!C641</f>
        <v>Basic</v>
      </c>
      <c r="D641">
        <f>'Customers Raw data'!D641</f>
        <v>50</v>
      </c>
      <c r="E641">
        <f>'Customers Raw data'!E641</f>
        <v>30</v>
      </c>
      <c r="F641">
        <f>'Customers Raw data'!F641</f>
        <v>0</v>
      </c>
      <c r="G641">
        <f>IF('Customers Raw data'!F641&lt;&gt;"",1,0)</f>
        <v>0</v>
      </c>
      <c r="H641" t="str">
        <f>IF('Customers Raw data'!F641&lt;&gt;"",YEAR(DATEVALUE('Customers Raw data'!F641)),"")</f>
        <v/>
      </c>
      <c r="I641" t="str">
        <f>IF('Customers Raw data'!F641&lt;&gt;"",MONTH(DATEVALUE('Customers Raw data'!F641)),"")</f>
        <v/>
      </c>
      <c r="J641">
        <f>YEAR(DATEVALUE('Customers Raw data'!B641))</f>
        <v>2024</v>
      </c>
      <c r="K641">
        <f>MONTH(DATEVALUE('Customers Raw data'!B641))</f>
        <v>11</v>
      </c>
      <c r="L641">
        <f ca="1">IF('Customers Raw data'!F641&lt;&gt;"",DATEDIF(DATEVALUE('Customers Raw data'!B641),DATEVALUE('Customers Raw data'!F641),"M"),DATEDIF(DATEVALUE('Customers Raw data'!B641),TODAY(),"M"))</f>
        <v>16</v>
      </c>
      <c r="M641">
        <f t="shared" ca="1" si="45"/>
        <v>800</v>
      </c>
      <c r="N641">
        <f t="shared" si="46"/>
        <v>1</v>
      </c>
      <c r="O641">
        <f t="shared" ca="1" si="47"/>
        <v>0</v>
      </c>
      <c r="P641">
        <f t="shared" si="48"/>
        <v>0</v>
      </c>
      <c r="Q641" t="e">
        <f t="shared" si="49"/>
        <v>#VALUE!</v>
      </c>
    </row>
    <row r="642" spans="1:17" ht="15" customHeight="1" x14ac:dyDescent="0.25">
      <c r="A642">
        <f>'Customers Raw data'!A642</f>
        <v>1641</v>
      </c>
      <c r="B642" t="str">
        <f>'Customers Raw data'!B642</f>
        <v>2024-07-25</v>
      </c>
      <c r="C642" t="str">
        <f>'Customers Raw data'!C642</f>
        <v>Basic</v>
      </c>
      <c r="D642">
        <f>'Customers Raw data'!D642</f>
        <v>50</v>
      </c>
      <c r="E642">
        <f>'Customers Raw data'!E642</f>
        <v>30</v>
      </c>
      <c r="F642">
        <f>'Customers Raw data'!F642</f>
        <v>0</v>
      </c>
      <c r="G642">
        <f>IF('Customers Raw data'!F642&lt;&gt;"",1,0)</f>
        <v>0</v>
      </c>
      <c r="H642" t="str">
        <f>IF('Customers Raw data'!F642&lt;&gt;"",YEAR(DATEVALUE('Customers Raw data'!F642)),"")</f>
        <v/>
      </c>
      <c r="I642" t="str">
        <f>IF('Customers Raw data'!F642&lt;&gt;"",MONTH(DATEVALUE('Customers Raw data'!F642)),"")</f>
        <v/>
      </c>
      <c r="J642">
        <f>YEAR(DATEVALUE('Customers Raw data'!B642))</f>
        <v>2024</v>
      </c>
      <c r="K642">
        <f>MONTH(DATEVALUE('Customers Raw data'!B642))</f>
        <v>7</v>
      </c>
      <c r="L642">
        <f ca="1">IF('Customers Raw data'!F642&lt;&gt;"",DATEDIF(DATEVALUE('Customers Raw data'!B642),DATEVALUE('Customers Raw data'!F642),"M"),DATEDIF(DATEVALUE('Customers Raw data'!B642),TODAY(),"M"))</f>
        <v>20</v>
      </c>
      <c r="M642">
        <f t="shared" ref="M642:M705" ca="1" si="50">D642*L642</f>
        <v>1000</v>
      </c>
      <c r="N642">
        <f t="shared" ref="N642:N705" si="51">IF(C642="Basic",1,IF(C642="Pro",2,IF(C642="Enterprise",3,0)))</f>
        <v>1</v>
      </c>
      <c r="O642">
        <f t="shared" ref="O642:O705" ca="1" si="52">IF(AND(G642=1,L642&lt;6),1,0)</f>
        <v>0</v>
      </c>
      <c r="P642">
        <f t="shared" ref="P642:P705" si="53">IF(G642=1,D642,0)</f>
        <v>0</v>
      </c>
      <c r="Q642" t="e">
        <f t="shared" ref="Q642:Q705" si="54">IF(F642&lt;&gt;"",TEXT(DATEVALUE(F642),"YYYY-MM"),"")</f>
        <v>#VALUE!</v>
      </c>
    </row>
    <row r="643" spans="1:17" ht="15" customHeight="1" x14ac:dyDescent="0.25">
      <c r="A643">
        <f>'Customers Raw data'!A643</f>
        <v>1642</v>
      </c>
      <c r="B643" t="str">
        <f>'Customers Raw data'!B643</f>
        <v>2025-01-18</v>
      </c>
      <c r="C643" t="str">
        <f>'Customers Raw data'!C643</f>
        <v>Enterprise</v>
      </c>
      <c r="D643">
        <f>'Customers Raw data'!D643</f>
        <v>500</v>
      </c>
      <c r="E643">
        <f>'Customers Raw data'!E643</f>
        <v>200</v>
      </c>
      <c r="F643">
        <f>'Customers Raw data'!F643</f>
        <v>0</v>
      </c>
      <c r="G643">
        <f>IF('Customers Raw data'!F643&lt;&gt;"",1,0)</f>
        <v>0</v>
      </c>
      <c r="H643" t="str">
        <f>IF('Customers Raw data'!F643&lt;&gt;"",YEAR(DATEVALUE('Customers Raw data'!F643)),"")</f>
        <v/>
      </c>
      <c r="I643" t="str">
        <f>IF('Customers Raw data'!F643&lt;&gt;"",MONTH(DATEVALUE('Customers Raw data'!F643)),"")</f>
        <v/>
      </c>
      <c r="J643">
        <f>YEAR(DATEVALUE('Customers Raw data'!B643))</f>
        <v>2025</v>
      </c>
      <c r="K643">
        <f>MONTH(DATEVALUE('Customers Raw data'!B643))</f>
        <v>1</v>
      </c>
      <c r="L643">
        <f ca="1">IF('Customers Raw data'!F643&lt;&gt;"",DATEDIF(DATEVALUE('Customers Raw data'!B643),DATEVALUE('Customers Raw data'!F643),"M"),DATEDIF(DATEVALUE('Customers Raw data'!B643),TODAY(),"M"))</f>
        <v>14</v>
      </c>
      <c r="M643">
        <f t="shared" ca="1" si="50"/>
        <v>7000</v>
      </c>
      <c r="N643">
        <f t="shared" si="51"/>
        <v>3</v>
      </c>
      <c r="O643">
        <f t="shared" ca="1" si="52"/>
        <v>0</v>
      </c>
      <c r="P643">
        <f t="shared" si="53"/>
        <v>0</v>
      </c>
      <c r="Q643" t="e">
        <f t="shared" si="54"/>
        <v>#VALUE!</v>
      </c>
    </row>
    <row r="644" spans="1:17" ht="15" customHeight="1" x14ac:dyDescent="0.25">
      <c r="A644">
        <f>'Customers Raw data'!A644</f>
        <v>1643</v>
      </c>
      <c r="B644" t="str">
        <f>'Customers Raw data'!B644</f>
        <v>2024-06-24</v>
      </c>
      <c r="C644" t="str">
        <f>'Customers Raw data'!C644</f>
        <v>Basic</v>
      </c>
      <c r="D644">
        <f>'Customers Raw data'!D644</f>
        <v>50</v>
      </c>
      <c r="E644">
        <f>'Customers Raw data'!E644</f>
        <v>30</v>
      </c>
      <c r="F644">
        <f>'Customers Raw data'!F644</f>
        <v>0</v>
      </c>
      <c r="G644">
        <f>IF('Customers Raw data'!F644&lt;&gt;"",1,0)</f>
        <v>0</v>
      </c>
      <c r="H644" t="str">
        <f>IF('Customers Raw data'!F644&lt;&gt;"",YEAR(DATEVALUE('Customers Raw data'!F644)),"")</f>
        <v/>
      </c>
      <c r="I644" t="str">
        <f>IF('Customers Raw data'!F644&lt;&gt;"",MONTH(DATEVALUE('Customers Raw data'!F644)),"")</f>
        <v/>
      </c>
      <c r="J644">
        <f>YEAR(DATEVALUE('Customers Raw data'!B644))</f>
        <v>2024</v>
      </c>
      <c r="K644">
        <f>MONTH(DATEVALUE('Customers Raw data'!B644))</f>
        <v>6</v>
      </c>
      <c r="L644">
        <f ca="1">IF('Customers Raw data'!F644&lt;&gt;"",DATEDIF(DATEVALUE('Customers Raw data'!B644),DATEVALUE('Customers Raw data'!F644),"M"),DATEDIF(DATEVALUE('Customers Raw data'!B644),TODAY(),"M"))</f>
        <v>21</v>
      </c>
      <c r="M644">
        <f t="shared" ca="1" si="50"/>
        <v>1050</v>
      </c>
      <c r="N644">
        <f t="shared" si="51"/>
        <v>1</v>
      </c>
      <c r="O644">
        <f t="shared" ca="1" si="52"/>
        <v>0</v>
      </c>
      <c r="P644">
        <f t="shared" si="53"/>
        <v>0</v>
      </c>
      <c r="Q644" t="e">
        <f t="shared" si="54"/>
        <v>#VALUE!</v>
      </c>
    </row>
    <row r="645" spans="1:17" ht="15" customHeight="1" x14ac:dyDescent="0.25">
      <c r="A645">
        <f>'Customers Raw data'!A645</f>
        <v>1644</v>
      </c>
      <c r="B645" t="str">
        <f>'Customers Raw data'!B645</f>
        <v>2024-11-07</v>
      </c>
      <c r="C645" t="str">
        <f>'Customers Raw data'!C645</f>
        <v>Enterprise</v>
      </c>
      <c r="D645">
        <f>'Customers Raw data'!D645</f>
        <v>500</v>
      </c>
      <c r="E645">
        <f>'Customers Raw data'!E645</f>
        <v>200</v>
      </c>
      <c r="F645">
        <f>'Customers Raw data'!F645</f>
        <v>0</v>
      </c>
      <c r="G645">
        <f>IF('Customers Raw data'!F645&lt;&gt;"",1,0)</f>
        <v>0</v>
      </c>
      <c r="H645" t="str">
        <f>IF('Customers Raw data'!F645&lt;&gt;"",YEAR(DATEVALUE('Customers Raw data'!F645)),"")</f>
        <v/>
      </c>
      <c r="I645" t="str">
        <f>IF('Customers Raw data'!F645&lt;&gt;"",MONTH(DATEVALUE('Customers Raw data'!F645)),"")</f>
        <v/>
      </c>
      <c r="J645">
        <f>YEAR(DATEVALUE('Customers Raw data'!B645))</f>
        <v>2024</v>
      </c>
      <c r="K645">
        <f>MONTH(DATEVALUE('Customers Raw data'!B645))</f>
        <v>11</v>
      </c>
      <c r="L645">
        <f ca="1">IF('Customers Raw data'!F645&lt;&gt;"",DATEDIF(DATEVALUE('Customers Raw data'!B645),DATEVALUE('Customers Raw data'!F645),"M"),DATEDIF(DATEVALUE('Customers Raw data'!B645),TODAY(),"M"))</f>
        <v>17</v>
      </c>
      <c r="M645">
        <f t="shared" ca="1" si="50"/>
        <v>8500</v>
      </c>
      <c r="N645">
        <f t="shared" si="51"/>
        <v>3</v>
      </c>
      <c r="O645">
        <f t="shared" ca="1" si="52"/>
        <v>0</v>
      </c>
      <c r="P645">
        <f t="shared" si="53"/>
        <v>0</v>
      </c>
      <c r="Q645" t="e">
        <f t="shared" si="54"/>
        <v>#VALUE!</v>
      </c>
    </row>
    <row r="646" spans="1:17" ht="15" customHeight="1" x14ac:dyDescent="0.25">
      <c r="A646">
        <f>'Customers Raw data'!A646</f>
        <v>1645</v>
      </c>
      <c r="B646" t="str">
        <f>'Customers Raw data'!B646</f>
        <v>2025-02-20</v>
      </c>
      <c r="C646" t="str">
        <f>'Customers Raw data'!C646</f>
        <v>Basic</v>
      </c>
      <c r="D646">
        <f>'Customers Raw data'!D646</f>
        <v>50</v>
      </c>
      <c r="E646">
        <f>'Customers Raw data'!E646</f>
        <v>30</v>
      </c>
      <c r="F646">
        <f>'Customers Raw data'!F646</f>
        <v>0</v>
      </c>
      <c r="G646">
        <f>IF('Customers Raw data'!F646&lt;&gt;"",1,0)</f>
        <v>0</v>
      </c>
      <c r="H646" t="str">
        <f>IF('Customers Raw data'!F646&lt;&gt;"",YEAR(DATEVALUE('Customers Raw data'!F646)),"")</f>
        <v/>
      </c>
      <c r="I646" t="str">
        <f>IF('Customers Raw data'!F646&lt;&gt;"",MONTH(DATEVALUE('Customers Raw data'!F646)),"")</f>
        <v/>
      </c>
      <c r="J646">
        <f>YEAR(DATEVALUE('Customers Raw data'!B646))</f>
        <v>2025</v>
      </c>
      <c r="K646">
        <f>MONTH(DATEVALUE('Customers Raw data'!B646))</f>
        <v>2</v>
      </c>
      <c r="L646">
        <f ca="1">IF('Customers Raw data'!F646&lt;&gt;"",DATEDIF(DATEVALUE('Customers Raw data'!B646),DATEVALUE('Customers Raw data'!F646),"M"),DATEDIF(DATEVALUE('Customers Raw data'!B646),TODAY(),"M"))</f>
        <v>13</v>
      </c>
      <c r="M646">
        <f t="shared" ca="1" si="50"/>
        <v>650</v>
      </c>
      <c r="N646">
        <f t="shared" si="51"/>
        <v>1</v>
      </c>
      <c r="O646">
        <f t="shared" ca="1" si="52"/>
        <v>0</v>
      </c>
      <c r="P646">
        <f t="shared" si="53"/>
        <v>0</v>
      </c>
      <c r="Q646" t="e">
        <f t="shared" si="54"/>
        <v>#VALUE!</v>
      </c>
    </row>
    <row r="647" spans="1:17" ht="15" customHeight="1" x14ac:dyDescent="0.25">
      <c r="A647">
        <f>'Customers Raw data'!A647</f>
        <v>1646</v>
      </c>
      <c r="B647" t="str">
        <f>'Customers Raw data'!B647</f>
        <v>2025-03-14</v>
      </c>
      <c r="C647" t="str">
        <f>'Customers Raw data'!C647</f>
        <v>Enterprise</v>
      </c>
      <c r="D647">
        <f>'Customers Raw data'!D647</f>
        <v>500</v>
      </c>
      <c r="E647">
        <f>'Customers Raw data'!E647</f>
        <v>200</v>
      </c>
      <c r="F647">
        <f>'Customers Raw data'!F647</f>
        <v>0</v>
      </c>
      <c r="G647">
        <f>IF('Customers Raw data'!F647&lt;&gt;"",1,0)</f>
        <v>0</v>
      </c>
      <c r="H647" t="str">
        <f>IF('Customers Raw data'!F647&lt;&gt;"",YEAR(DATEVALUE('Customers Raw data'!F647)),"")</f>
        <v/>
      </c>
      <c r="I647" t="str">
        <f>IF('Customers Raw data'!F647&lt;&gt;"",MONTH(DATEVALUE('Customers Raw data'!F647)),"")</f>
        <v/>
      </c>
      <c r="J647">
        <f>YEAR(DATEVALUE('Customers Raw data'!B647))</f>
        <v>2025</v>
      </c>
      <c r="K647">
        <f>MONTH(DATEVALUE('Customers Raw data'!B647))</f>
        <v>3</v>
      </c>
      <c r="L647">
        <f ca="1">IF('Customers Raw data'!F647&lt;&gt;"",DATEDIF(DATEVALUE('Customers Raw data'!B647),DATEVALUE('Customers Raw data'!F647),"M"),DATEDIF(DATEVALUE('Customers Raw data'!B647),TODAY(),"M"))</f>
        <v>12</v>
      </c>
      <c r="M647">
        <f t="shared" ca="1" si="50"/>
        <v>6000</v>
      </c>
      <c r="N647">
        <f t="shared" si="51"/>
        <v>3</v>
      </c>
      <c r="O647">
        <f t="shared" ca="1" si="52"/>
        <v>0</v>
      </c>
      <c r="P647">
        <f t="shared" si="53"/>
        <v>0</v>
      </c>
      <c r="Q647" t="e">
        <f t="shared" si="54"/>
        <v>#VALUE!</v>
      </c>
    </row>
    <row r="648" spans="1:17" ht="15" customHeight="1" x14ac:dyDescent="0.25">
      <c r="A648">
        <f>'Customers Raw data'!A648</f>
        <v>1647</v>
      </c>
      <c r="B648" t="str">
        <f>'Customers Raw data'!B648</f>
        <v>2024-12-11</v>
      </c>
      <c r="C648" t="str">
        <f>'Customers Raw data'!C648</f>
        <v>Basic</v>
      </c>
      <c r="D648">
        <f>'Customers Raw data'!D648</f>
        <v>50</v>
      </c>
      <c r="E648">
        <f>'Customers Raw data'!E648</f>
        <v>30</v>
      </c>
      <c r="F648">
        <f>'Customers Raw data'!F648</f>
        <v>0</v>
      </c>
      <c r="G648">
        <f>IF('Customers Raw data'!F648&lt;&gt;"",1,0)</f>
        <v>0</v>
      </c>
      <c r="H648" t="str">
        <f>IF('Customers Raw data'!F648&lt;&gt;"",YEAR(DATEVALUE('Customers Raw data'!F648)),"")</f>
        <v/>
      </c>
      <c r="I648" t="str">
        <f>IF('Customers Raw data'!F648&lt;&gt;"",MONTH(DATEVALUE('Customers Raw data'!F648)),"")</f>
        <v/>
      </c>
      <c r="J648">
        <f>YEAR(DATEVALUE('Customers Raw data'!B648))</f>
        <v>2024</v>
      </c>
      <c r="K648">
        <f>MONTH(DATEVALUE('Customers Raw data'!B648))</f>
        <v>12</v>
      </c>
      <c r="L648">
        <f ca="1">IF('Customers Raw data'!F648&lt;&gt;"",DATEDIF(DATEVALUE('Customers Raw data'!B648),DATEVALUE('Customers Raw data'!F648),"M"),DATEDIF(DATEVALUE('Customers Raw data'!B648),TODAY(),"M"))</f>
        <v>15</v>
      </c>
      <c r="M648">
        <f t="shared" ca="1" si="50"/>
        <v>750</v>
      </c>
      <c r="N648">
        <f t="shared" si="51"/>
        <v>1</v>
      </c>
      <c r="O648">
        <f t="shared" ca="1" si="52"/>
        <v>0</v>
      </c>
      <c r="P648">
        <f t="shared" si="53"/>
        <v>0</v>
      </c>
      <c r="Q648" t="e">
        <f t="shared" si="54"/>
        <v>#VALUE!</v>
      </c>
    </row>
    <row r="649" spans="1:17" ht="15" customHeight="1" x14ac:dyDescent="0.25">
      <c r="A649">
        <f>'Customers Raw data'!A649</f>
        <v>1648</v>
      </c>
      <c r="B649" t="str">
        <f>'Customers Raw data'!B649</f>
        <v>2025-04-16</v>
      </c>
      <c r="C649" t="str">
        <f>'Customers Raw data'!C649</f>
        <v>Basic</v>
      </c>
      <c r="D649">
        <f>'Customers Raw data'!D649</f>
        <v>50</v>
      </c>
      <c r="E649">
        <f>'Customers Raw data'!E649</f>
        <v>30</v>
      </c>
      <c r="F649">
        <f>'Customers Raw data'!F649</f>
        <v>0</v>
      </c>
      <c r="G649">
        <f>IF('Customers Raw data'!F649&lt;&gt;"",1,0)</f>
        <v>0</v>
      </c>
      <c r="H649" t="str">
        <f>IF('Customers Raw data'!F649&lt;&gt;"",YEAR(DATEVALUE('Customers Raw data'!F649)),"")</f>
        <v/>
      </c>
      <c r="I649" t="str">
        <f>IF('Customers Raw data'!F649&lt;&gt;"",MONTH(DATEVALUE('Customers Raw data'!F649)),"")</f>
        <v/>
      </c>
      <c r="J649">
        <f>YEAR(DATEVALUE('Customers Raw data'!B649))</f>
        <v>2025</v>
      </c>
      <c r="K649">
        <f>MONTH(DATEVALUE('Customers Raw data'!B649))</f>
        <v>4</v>
      </c>
      <c r="L649">
        <f ca="1">IF('Customers Raw data'!F649&lt;&gt;"",DATEDIF(DATEVALUE('Customers Raw data'!B649),DATEVALUE('Customers Raw data'!F649),"M"),DATEDIF(DATEVALUE('Customers Raw data'!B649),TODAY(),"M"))</f>
        <v>11</v>
      </c>
      <c r="M649">
        <f t="shared" ca="1" si="50"/>
        <v>550</v>
      </c>
      <c r="N649">
        <f t="shared" si="51"/>
        <v>1</v>
      </c>
      <c r="O649">
        <f t="shared" ca="1" si="52"/>
        <v>0</v>
      </c>
      <c r="P649">
        <f t="shared" si="53"/>
        <v>0</v>
      </c>
      <c r="Q649" t="e">
        <f t="shared" si="54"/>
        <v>#VALUE!</v>
      </c>
    </row>
    <row r="650" spans="1:17" ht="15" customHeight="1" x14ac:dyDescent="0.25">
      <c r="A650">
        <f>'Customers Raw data'!A650</f>
        <v>1649</v>
      </c>
      <c r="B650" t="str">
        <f>'Customers Raw data'!B650</f>
        <v>2025-06-14</v>
      </c>
      <c r="C650" t="str">
        <f>'Customers Raw data'!C650</f>
        <v>Pro</v>
      </c>
      <c r="D650">
        <f>'Customers Raw data'!D650</f>
        <v>200</v>
      </c>
      <c r="E650">
        <f>'Customers Raw data'!E650</f>
        <v>100</v>
      </c>
      <c r="F650">
        <f>'Customers Raw data'!F650</f>
        <v>0</v>
      </c>
      <c r="G650">
        <f>IF('Customers Raw data'!F650&lt;&gt;"",1,0)</f>
        <v>0</v>
      </c>
      <c r="H650" t="str">
        <f>IF('Customers Raw data'!F650&lt;&gt;"",YEAR(DATEVALUE('Customers Raw data'!F650)),"")</f>
        <v/>
      </c>
      <c r="I650" t="str">
        <f>IF('Customers Raw data'!F650&lt;&gt;"",MONTH(DATEVALUE('Customers Raw data'!F650)),"")</f>
        <v/>
      </c>
      <c r="J650">
        <f>YEAR(DATEVALUE('Customers Raw data'!B650))</f>
        <v>2025</v>
      </c>
      <c r="K650">
        <f>MONTH(DATEVALUE('Customers Raw data'!B650))</f>
        <v>6</v>
      </c>
      <c r="L650">
        <f ca="1">IF('Customers Raw data'!F650&lt;&gt;"",DATEDIF(DATEVALUE('Customers Raw data'!B650),DATEVALUE('Customers Raw data'!F650),"M"),DATEDIF(DATEVALUE('Customers Raw data'!B650),TODAY(),"M"))</f>
        <v>9</v>
      </c>
      <c r="M650">
        <f t="shared" ca="1" si="50"/>
        <v>1800</v>
      </c>
      <c r="N650">
        <f t="shared" si="51"/>
        <v>2</v>
      </c>
      <c r="O650">
        <f t="shared" ca="1" si="52"/>
        <v>0</v>
      </c>
      <c r="P650">
        <f t="shared" si="53"/>
        <v>0</v>
      </c>
      <c r="Q650" t="e">
        <f t="shared" si="54"/>
        <v>#VALUE!</v>
      </c>
    </row>
    <row r="651" spans="1:17" ht="15" customHeight="1" x14ac:dyDescent="0.25">
      <c r="A651">
        <f>'Customers Raw data'!A651</f>
        <v>1650</v>
      </c>
      <c r="B651" t="str">
        <f>'Customers Raw data'!B651</f>
        <v>2025-04-09</v>
      </c>
      <c r="C651" t="str">
        <f>'Customers Raw data'!C651</f>
        <v>Pro</v>
      </c>
      <c r="D651">
        <f>'Customers Raw data'!D651</f>
        <v>200</v>
      </c>
      <c r="E651">
        <f>'Customers Raw data'!E651</f>
        <v>100</v>
      </c>
      <c r="F651">
        <f>'Customers Raw data'!F651</f>
        <v>0</v>
      </c>
      <c r="G651">
        <f>IF('Customers Raw data'!F651&lt;&gt;"",1,0)</f>
        <v>0</v>
      </c>
      <c r="H651" t="str">
        <f>IF('Customers Raw data'!F651&lt;&gt;"",YEAR(DATEVALUE('Customers Raw data'!F651)),"")</f>
        <v/>
      </c>
      <c r="I651" t="str">
        <f>IF('Customers Raw data'!F651&lt;&gt;"",MONTH(DATEVALUE('Customers Raw data'!F651)),"")</f>
        <v/>
      </c>
      <c r="J651">
        <f>YEAR(DATEVALUE('Customers Raw data'!B651))</f>
        <v>2025</v>
      </c>
      <c r="K651">
        <f>MONTH(DATEVALUE('Customers Raw data'!B651))</f>
        <v>4</v>
      </c>
      <c r="L651">
        <f ca="1">IF('Customers Raw data'!F651&lt;&gt;"",DATEDIF(DATEVALUE('Customers Raw data'!B651),DATEVALUE('Customers Raw data'!F651),"M"),DATEDIF(DATEVALUE('Customers Raw data'!B651),TODAY(),"M"))</f>
        <v>11</v>
      </c>
      <c r="M651">
        <f t="shared" ca="1" si="50"/>
        <v>2200</v>
      </c>
      <c r="N651">
        <f t="shared" si="51"/>
        <v>2</v>
      </c>
      <c r="O651">
        <f t="shared" ca="1" si="52"/>
        <v>0</v>
      </c>
      <c r="P651">
        <f t="shared" si="53"/>
        <v>0</v>
      </c>
      <c r="Q651" t="e">
        <f t="shared" si="54"/>
        <v>#VALUE!</v>
      </c>
    </row>
    <row r="652" spans="1:17" ht="15" customHeight="1" x14ac:dyDescent="0.25">
      <c r="A652">
        <f>'Customers Raw data'!A652</f>
        <v>1651</v>
      </c>
      <c r="B652" t="str">
        <f>'Customers Raw data'!B652</f>
        <v>2025-06-02</v>
      </c>
      <c r="C652" t="str">
        <f>'Customers Raw data'!C652</f>
        <v>Enterprise</v>
      </c>
      <c r="D652">
        <f>'Customers Raw data'!D652</f>
        <v>500</v>
      </c>
      <c r="E652">
        <f>'Customers Raw data'!E652</f>
        <v>200</v>
      </c>
      <c r="F652">
        <f>'Customers Raw data'!F652</f>
        <v>0</v>
      </c>
      <c r="G652">
        <f>IF('Customers Raw data'!F652&lt;&gt;"",1,0)</f>
        <v>0</v>
      </c>
      <c r="H652" t="str">
        <f>IF('Customers Raw data'!F652&lt;&gt;"",YEAR(DATEVALUE('Customers Raw data'!F652)),"")</f>
        <v/>
      </c>
      <c r="I652" t="str">
        <f>IF('Customers Raw data'!F652&lt;&gt;"",MONTH(DATEVALUE('Customers Raw data'!F652)),"")</f>
        <v/>
      </c>
      <c r="J652">
        <f>YEAR(DATEVALUE('Customers Raw data'!B652))</f>
        <v>2025</v>
      </c>
      <c r="K652">
        <f>MONTH(DATEVALUE('Customers Raw data'!B652))</f>
        <v>6</v>
      </c>
      <c r="L652">
        <f ca="1">IF('Customers Raw data'!F652&lt;&gt;"",DATEDIF(DATEVALUE('Customers Raw data'!B652),DATEVALUE('Customers Raw data'!F652),"M"),DATEDIF(DATEVALUE('Customers Raw data'!B652),TODAY(),"M"))</f>
        <v>10</v>
      </c>
      <c r="M652">
        <f t="shared" ca="1" si="50"/>
        <v>5000</v>
      </c>
      <c r="N652">
        <f t="shared" si="51"/>
        <v>3</v>
      </c>
      <c r="O652">
        <f t="shared" ca="1" si="52"/>
        <v>0</v>
      </c>
      <c r="P652">
        <f t="shared" si="53"/>
        <v>0</v>
      </c>
      <c r="Q652" t="e">
        <f t="shared" si="54"/>
        <v>#VALUE!</v>
      </c>
    </row>
    <row r="653" spans="1:17" ht="15" customHeight="1" x14ac:dyDescent="0.25">
      <c r="A653">
        <f>'Customers Raw data'!A653</f>
        <v>1652</v>
      </c>
      <c r="B653" t="str">
        <f>'Customers Raw data'!B653</f>
        <v>2024-06-30</v>
      </c>
      <c r="C653" t="str">
        <f>'Customers Raw data'!C653</f>
        <v>Basic</v>
      </c>
      <c r="D653">
        <f>'Customers Raw data'!D653</f>
        <v>50</v>
      </c>
      <c r="E653">
        <f>'Customers Raw data'!E653</f>
        <v>30</v>
      </c>
      <c r="F653">
        <f>'Customers Raw data'!F653</f>
        <v>0</v>
      </c>
      <c r="G653">
        <f>IF('Customers Raw data'!F653&lt;&gt;"",1,0)</f>
        <v>0</v>
      </c>
      <c r="H653" t="str">
        <f>IF('Customers Raw data'!F653&lt;&gt;"",YEAR(DATEVALUE('Customers Raw data'!F653)),"")</f>
        <v/>
      </c>
      <c r="I653" t="str">
        <f>IF('Customers Raw data'!F653&lt;&gt;"",MONTH(DATEVALUE('Customers Raw data'!F653)),"")</f>
        <v/>
      </c>
      <c r="J653">
        <f>YEAR(DATEVALUE('Customers Raw data'!B653))</f>
        <v>2024</v>
      </c>
      <c r="K653">
        <f>MONTH(DATEVALUE('Customers Raw data'!B653))</f>
        <v>6</v>
      </c>
      <c r="L653">
        <f ca="1">IF('Customers Raw data'!F653&lt;&gt;"",DATEDIF(DATEVALUE('Customers Raw data'!B653),DATEVALUE('Customers Raw data'!F653),"M"),DATEDIF(DATEVALUE('Customers Raw data'!B653),TODAY(),"M"))</f>
        <v>21</v>
      </c>
      <c r="M653">
        <f t="shared" ca="1" si="50"/>
        <v>1050</v>
      </c>
      <c r="N653">
        <f t="shared" si="51"/>
        <v>1</v>
      </c>
      <c r="O653">
        <f t="shared" ca="1" si="52"/>
        <v>0</v>
      </c>
      <c r="P653">
        <f t="shared" si="53"/>
        <v>0</v>
      </c>
      <c r="Q653" t="e">
        <f t="shared" si="54"/>
        <v>#VALUE!</v>
      </c>
    </row>
    <row r="654" spans="1:17" ht="15" customHeight="1" x14ac:dyDescent="0.25">
      <c r="A654">
        <f>'Customers Raw data'!A654</f>
        <v>1653</v>
      </c>
      <c r="B654" t="str">
        <f>'Customers Raw data'!B654</f>
        <v>2024-04-23</v>
      </c>
      <c r="C654" t="str">
        <f>'Customers Raw data'!C654</f>
        <v>Pro</v>
      </c>
      <c r="D654">
        <f>'Customers Raw data'!D654</f>
        <v>200</v>
      </c>
      <c r="E654">
        <f>'Customers Raw data'!E654</f>
        <v>100</v>
      </c>
      <c r="F654">
        <f>'Customers Raw data'!F654</f>
        <v>0</v>
      </c>
      <c r="G654">
        <f>IF('Customers Raw data'!F654&lt;&gt;"",1,0)</f>
        <v>0</v>
      </c>
      <c r="H654" t="str">
        <f>IF('Customers Raw data'!F654&lt;&gt;"",YEAR(DATEVALUE('Customers Raw data'!F654)),"")</f>
        <v/>
      </c>
      <c r="I654" t="str">
        <f>IF('Customers Raw data'!F654&lt;&gt;"",MONTH(DATEVALUE('Customers Raw data'!F654)),"")</f>
        <v/>
      </c>
      <c r="J654">
        <f>YEAR(DATEVALUE('Customers Raw data'!B654))</f>
        <v>2024</v>
      </c>
      <c r="K654">
        <f>MONTH(DATEVALUE('Customers Raw data'!B654))</f>
        <v>4</v>
      </c>
      <c r="L654">
        <f ca="1">IF('Customers Raw data'!F654&lt;&gt;"",DATEDIF(DATEVALUE('Customers Raw data'!B654),DATEVALUE('Customers Raw data'!F654),"M"),DATEDIF(DATEVALUE('Customers Raw data'!B654),TODAY(),"M"))</f>
        <v>23</v>
      </c>
      <c r="M654">
        <f t="shared" ca="1" si="50"/>
        <v>4600</v>
      </c>
      <c r="N654">
        <f t="shared" si="51"/>
        <v>2</v>
      </c>
      <c r="O654">
        <f t="shared" ca="1" si="52"/>
        <v>0</v>
      </c>
      <c r="P654">
        <f t="shared" si="53"/>
        <v>0</v>
      </c>
      <c r="Q654" t="e">
        <f t="shared" si="54"/>
        <v>#VALUE!</v>
      </c>
    </row>
    <row r="655" spans="1:17" ht="15" customHeight="1" x14ac:dyDescent="0.25">
      <c r="A655">
        <f>'Customers Raw data'!A655</f>
        <v>1654</v>
      </c>
      <c r="B655" t="str">
        <f>'Customers Raw data'!B655</f>
        <v>2025-03-02</v>
      </c>
      <c r="C655" t="str">
        <f>'Customers Raw data'!C655</f>
        <v>Basic</v>
      </c>
      <c r="D655">
        <f>'Customers Raw data'!D655</f>
        <v>50</v>
      </c>
      <c r="E655">
        <f>'Customers Raw data'!E655</f>
        <v>30</v>
      </c>
      <c r="F655">
        <f>'Customers Raw data'!F655</f>
        <v>0</v>
      </c>
      <c r="G655">
        <f>IF('Customers Raw data'!F655&lt;&gt;"",1,0)</f>
        <v>0</v>
      </c>
      <c r="H655" t="str">
        <f>IF('Customers Raw data'!F655&lt;&gt;"",YEAR(DATEVALUE('Customers Raw data'!F655)),"")</f>
        <v/>
      </c>
      <c r="I655" t="str">
        <f>IF('Customers Raw data'!F655&lt;&gt;"",MONTH(DATEVALUE('Customers Raw data'!F655)),"")</f>
        <v/>
      </c>
      <c r="J655">
        <f>YEAR(DATEVALUE('Customers Raw data'!B655))</f>
        <v>2025</v>
      </c>
      <c r="K655">
        <f>MONTH(DATEVALUE('Customers Raw data'!B655))</f>
        <v>3</v>
      </c>
      <c r="L655">
        <f ca="1">IF('Customers Raw data'!F655&lt;&gt;"",DATEDIF(DATEVALUE('Customers Raw data'!B655),DATEVALUE('Customers Raw data'!F655),"M"),DATEDIF(DATEVALUE('Customers Raw data'!B655),TODAY(),"M"))</f>
        <v>13</v>
      </c>
      <c r="M655">
        <f t="shared" ca="1" si="50"/>
        <v>650</v>
      </c>
      <c r="N655">
        <f t="shared" si="51"/>
        <v>1</v>
      </c>
      <c r="O655">
        <f t="shared" ca="1" si="52"/>
        <v>0</v>
      </c>
      <c r="P655">
        <f t="shared" si="53"/>
        <v>0</v>
      </c>
      <c r="Q655" t="e">
        <f t="shared" si="54"/>
        <v>#VALUE!</v>
      </c>
    </row>
    <row r="656" spans="1:17" ht="15" customHeight="1" x14ac:dyDescent="0.25">
      <c r="A656">
        <f>'Customers Raw data'!A656</f>
        <v>1655</v>
      </c>
      <c r="B656" t="str">
        <f>'Customers Raw data'!B656</f>
        <v>2025-01-20</v>
      </c>
      <c r="C656" t="str">
        <f>'Customers Raw data'!C656</f>
        <v>Basic</v>
      </c>
      <c r="D656">
        <f>'Customers Raw data'!D656</f>
        <v>50</v>
      </c>
      <c r="E656">
        <f>'Customers Raw data'!E656</f>
        <v>30</v>
      </c>
      <c r="F656">
        <f>'Customers Raw data'!F656</f>
        <v>0</v>
      </c>
      <c r="G656">
        <f>IF('Customers Raw data'!F656&lt;&gt;"",1,0)</f>
        <v>0</v>
      </c>
      <c r="H656" t="str">
        <f>IF('Customers Raw data'!F656&lt;&gt;"",YEAR(DATEVALUE('Customers Raw data'!F656)),"")</f>
        <v/>
      </c>
      <c r="I656" t="str">
        <f>IF('Customers Raw data'!F656&lt;&gt;"",MONTH(DATEVALUE('Customers Raw data'!F656)),"")</f>
        <v/>
      </c>
      <c r="J656">
        <f>YEAR(DATEVALUE('Customers Raw data'!B656))</f>
        <v>2025</v>
      </c>
      <c r="K656">
        <f>MONTH(DATEVALUE('Customers Raw data'!B656))</f>
        <v>1</v>
      </c>
      <c r="L656">
        <f ca="1">IF('Customers Raw data'!F656&lt;&gt;"",DATEDIF(DATEVALUE('Customers Raw data'!B656),DATEVALUE('Customers Raw data'!F656),"M"),DATEDIF(DATEVALUE('Customers Raw data'!B656),TODAY(),"M"))</f>
        <v>14</v>
      </c>
      <c r="M656">
        <f t="shared" ca="1" si="50"/>
        <v>700</v>
      </c>
      <c r="N656">
        <f t="shared" si="51"/>
        <v>1</v>
      </c>
      <c r="O656">
        <f t="shared" ca="1" si="52"/>
        <v>0</v>
      </c>
      <c r="P656">
        <f t="shared" si="53"/>
        <v>0</v>
      </c>
      <c r="Q656" t="e">
        <f t="shared" si="54"/>
        <v>#VALUE!</v>
      </c>
    </row>
    <row r="657" spans="1:17" ht="15" customHeight="1" x14ac:dyDescent="0.25">
      <c r="A657">
        <f>'Customers Raw data'!A657</f>
        <v>1656</v>
      </c>
      <c r="B657" t="str">
        <f>'Customers Raw data'!B657</f>
        <v>2024-10-01</v>
      </c>
      <c r="C657" t="str">
        <f>'Customers Raw data'!C657</f>
        <v>Pro</v>
      </c>
      <c r="D657">
        <f>'Customers Raw data'!D657</f>
        <v>200</v>
      </c>
      <c r="E657">
        <f>'Customers Raw data'!E657</f>
        <v>100</v>
      </c>
      <c r="F657" t="str">
        <f>'Customers Raw data'!F657</f>
        <v>2025-01-15</v>
      </c>
      <c r="G657">
        <f>IF('Customers Raw data'!F657&lt;&gt;"",1,0)</f>
        <v>1</v>
      </c>
      <c r="H657">
        <f>IF('Customers Raw data'!F657&lt;&gt;"",YEAR(DATEVALUE('Customers Raw data'!F657)),"")</f>
        <v>2025</v>
      </c>
      <c r="I657">
        <f>IF('Customers Raw data'!F657&lt;&gt;"",MONTH(DATEVALUE('Customers Raw data'!F657)),"")</f>
        <v>1</v>
      </c>
      <c r="J657">
        <f>YEAR(DATEVALUE('Customers Raw data'!B657))</f>
        <v>2024</v>
      </c>
      <c r="K657">
        <f>MONTH(DATEVALUE('Customers Raw data'!B657))</f>
        <v>10</v>
      </c>
      <c r="L657">
        <f ca="1">IF('Customers Raw data'!F657&lt;&gt;"",DATEDIF(DATEVALUE('Customers Raw data'!B657),DATEVALUE('Customers Raw data'!F657),"M"),DATEDIF(DATEVALUE('Customers Raw data'!B657),TODAY(),"M"))</f>
        <v>3</v>
      </c>
      <c r="M657">
        <f t="shared" ca="1" si="50"/>
        <v>600</v>
      </c>
      <c r="N657">
        <f t="shared" si="51"/>
        <v>2</v>
      </c>
      <c r="O657">
        <f t="shared" ca="1" si="52"/>
        <v>1</v>
      </c>
      <c r="P657">
        <f t="shared" si="53"/>
        <v>200</v>
      </c>
      <c r="Q657" t="str">
        <f t="shared" si="54"/>
        <v>2025-01</v>
      </c>
    </row>
    <row r="658" spans="1:17" ht="15" customHeight="1" x14ac:dyDescent="0.25">
      <c r="A658">
        <f>'Customers Raw data'!A658</f>
        <v>1657</v>
      </c>
      <c r="B658" t="str">
        <f>'Customers Raw data'!B658</f>
        <v>2024-12-14</v>
      </c>
      <c r="C658" t="str">
        <f>'Customers Raw data'!C658</f>
        <v>Basic</v>
      </c>
      <c r="D658">
        <f>'Customers Raw data'!D658</f>
        <v>50</v>
      </c>
      <c r="E658">
        <f>'Customers Raw data'!E658</f>
        <v>30</v>
      </c>
      <c r="F658">
        <f>'Customers Raw data'!F658</f>
        <v>0</v>
      </c>
      <c r="G658">
        <f>IF('Customers Raw data'!F658&lt;&gt;"",1,0)</f>
        <v>0</v>
      </c>
      <c r="H658" t="str">
        <f>IF('Customers Raw data'!F658&lt;&gt;"",YEAR(DATEVALUE('Customers Raw data'!F658)),"")</f>
        <v/>
      </c>
      <c r="I658" t="str">
        <f>IF('Customers Raw data'!F658&lt;&gt;"",MONTH(DATEVALUE('Customers Raw data'!F658)),"")</f>
        <v/>
      </c>
      <c r="J658">
        <f>YEAR(DATEVALUE('Customers Raw data'!B658))</f>
        <v>2024</v>
      </c>
      <c r="K658">
        <f>MONTH(DATEVALUE('Customers Raw data'!B658))</f>
        <v>12</v>
      </c>
      <c r="L658">
        <f ca="1">IF('Customers Raw data'!F658&lt;&gt;"",DATEDIF(DATEVALUE('Customers Raw data'!B658),DATEVALUE('Customers Raw data'!F658),"M"),DATEDIF(DATEVALUE('Customers Raw data'!B658),TODAY(),"M"))</f>
        <v>15</v>
      </c>
      <c r="M658">
        <f t="shared" ca="1" si="50"/>
        <v>750</v>
      </c>
      <c r="N658">
        <f t="shared" si="51"/>
        <v>1</v>
      </c>
      <c r="O658">
        <f t="shared" ca="1" si="52"/>
        <v>0</v>
      </c>
      <c r="P658">
        <f t="shared" si="53"/>
        <v>0</v>
      </c>
      <c r="Q658" t="e">
        <f t="shared" si="54"/>
        <v>#VALUE!</v>
      </c>
    </row>
    <row r="659" spans="1:17" ht="15" customHeight="1" x14ac:dyDescent="0.25">
      <c r="A659">
        <f>'Customers Raw data'!A659</f>
        <v>1658</v>
      </c>
      <c r="B659" t="str">
        <f>'Customers Raw data'!B659</f>
        <v>2024-12-21</v>
      </c>
      <c r="C659" t="str">
        <f>'Customers Raw data'!C659</f>
        <v>Enterprise</v>
      </c>
      <c r="D659">
        <f>'Customers Raw data'!D659</f>
        <v>500</v>
      </c>
      <c r="E659">
        <f>'Customers Raw data'!E659</f>
        <v>200</v>
      </c>
      <c r="F659">
        <f>'Customers Raw data'!F659</f>
        <v>0</v>
      </c>
      <c r="G659">
        <f>IF('Customers Raw data'!F659&lt;&gt;"",1,0)</f>
        <v>0</v>
      </c>
      <c r="H659" t="str">
        <f>IF('Customers Raw data'!F659&lt;&gt;"",YEAR(DATEVALUE('Customers Raw data'!F659)),"")</f>
        <v/>
      </c>
      <c r="I659" t="str">
        <f>IF('Customers Raw data'!F659&lt;&gt;"",MONTH(DATEVALUE('Customers Raw data'!F659)),"")</f>
        <v/>
      </c>
      <c r="J659">
        <f>YEAR(DATEVALUE('Customers Raw data'!B659))</f>
        <v>2024</v>
      </c>
      <c r="K659">
        <f>MONTH(DATEVALUE('Customers Raw data'!B659))</f>
        <v>12</v>
      </c>
      <c r="L659">
        <f ca="1">IF('Customers Raw data'!F659&lt;&gt;"",DATEDIF(DATEVALUE('Customers Raw data'!B659),DATEVALUE('Customers Raw data'!F659),"M"),DATEDIF(DATEVALUE('Customers Raw data'!B659),TODAY(),"M"))</f>
        <v>15</v>
      </c>
      <c r="M659">
        <f t="shared" ca="1" si="50"/>
        <v>7500</v>
      </c>
      <c r="N659">
        <f t="shared" si="51"/>
        <v>3</v>
      </c>
      <c r="O659">
        <f t="shared" ca="1" si="52"/>
        <v>0</v>
      </c>
      <c r="P659">
        <f t="shared" si="53"/>
        <v>0</v>
      </c>
      <c r="Q659" t="e">
        <f t="shared" si="54"/>
        <v>#VALUE!</v>
      </c>
    </row>
    <row r="660" spans="1:17" ht="15" customHeight="1" x14ac:dyDescent="0.25">
      <c r="A660">
        <f>'Customers Raw data'!A660</f>
        <v>1659</v>
      </c>
      <c r="B660" t="str">
        <f>'Customers Raw data'!B660</f>
        <v>2024-06-20</v>
      </c>
      <c r="C660" t="str">
        <f>'Customers Raw data'!C660</f>
        <v>Pro</v>
      </c>
      <c r="D660">
        <f>'Customers Raw data'!D660</f>
        <v>200</v>
      </c>
      <c r="E660">
        <f>'Customers Raw data'!E660</f>
        <v>100</v>
      </c>
      <c r="F660">
        <f>'Customers Raw data'!F660</f>
        <v>0</v>
      </c>
      <c r="G660">
        <f>IF('Customers Raw data'!F660&lt;&gt;"",1,0)</f>
        <v>0</v>
      </c>
      <c r="H660" t="str">
        <f>IF('Customers Raw data'!F660&lt;&gt;"",YEAR(DATEVALUE('Customers Raw data'!F660)),"")</f>
        <v/>
      </c>
      <c r="I660" t="str">
        <f>IF('Customers Raw data'!F660&lt;&gt;"",MONTH(DATEVALUE('Customers Raw data'!F660)),"")</f>
        <v/>
      </c>
      <c r="J660">
        <f>YEAR(DATEVALUE('Customers Raw data'!B660))</f>
        <v>2024</v>
      </c>
      <c r="K660">
        <f>MONTH(DATEVALUE('Customers Raw data'!B660))</f>
        <v>6</v>
      </c>
      <c r="L660">
        <f ca="1">IF('Customers Raw data'!F660&lt;&gt;"",DATEDIF(DATEVALUE('Customers Raw data'!B660),DATEVALUE('Customers Raw data'!F660),"M"),DATEDIF(DATEVALUE('Customers Raw data'!B660),TODAY(),"M"))</f>
        <v>21</v>
      </c>
      <c r="M660">
        <f t="shared" ca="1" si="50"/>
        <v>4200</v>
      </c>
      <c r="N660">
        <f t="shared" si="51"/>
        <v>2</v>
      </c>
      <c r="O660">
        <f t="shared" ca="1" si="52"/>
        <v>0</v>
      </c>
      <c r="P660">
        <f t="shared" si="53"/>
        <v>0</v>
      </c>
      <c r="Q660" t="e">
        <f t="shared" si="54"/>
        <v>#VALUE!</v>
      </c>
    </row>
    <row r="661" spans="1:17" ht="15" customHeight="1" x14ac:dyDescent="0.25">
      <c r="A661">
        <f>'Customers Raw data'!A661</f>
        <v>1660</v>
      </c>
      <c r="B661" t="str">
        <f>'Customers Raw data'!B661</f>
        <v>2024-03-11</v>
      </c>
      <c r="C661" t="str">
        <f>'Customers Raw data'!C661</f>
        <v>Enterprise</v>
      </c>
      <c r="D661">
        <f>'Customers Raw data'!D661</f>
        <v>500</v>
      </c>
      <c r="E661">
        <f>'Customers Raw data'!E661</f>
        <v>200</v>
      </c>
      <c r="F661">
        <f>'Customers Raw data'!F661</f>
        <v>0</v>
      </c>
      <c r="G661">
        <f>IF('Customers Raw data'!F661&lt;&gt;"",1,0)</f>
        <v>0</v>
      </c>
      <c r="H661" t="str">
        <f>IF('Customers Raw data'!F661&lt;&gt;"",YEAR(DATEVALUE('Customers Raw data'!F661)),"")</f>
        <v/>
      </c>
      <c r="I661" t="str">
        <f>IF('Customers Raw data'!F661&lt;&gt;"",MONTH(DATEVALUE('Customers Raw data'!F661)),"")</f>
        <v/>
      </c>
      <c r="J661">
        <f>YEAR(DATEVALUE('Customers Raw data'!B661))</f>
        <v>2024</v>
      </c>
      <c r="K661">
        <f>MONTH(DATEVALUE('Customers Raw data'!B661))</f>
        <v>3</v>
      </c>
      <c r="L661">
        <f ca="1">IF('Customers Raw data'!F661&lt;&gt;"",DATEDIF(DATEVALUE('Customers Raw data'!B661),DATEVALUE('Customers Raw data'!F661),"M"),DATEDIF(DATEVALUE('Customers Raw data'!B661),TODAY(),"M"))</f>
        <v>24</v>
      </c>
      <c r="M661">
        <f t="shared" ca="1" si="50"/>
        <v>12000</v>
      </c>
      <c r="N661">
        <f t="shared" si="51"/>
        <v>3</v>
      </c>
      <c r="O661">
        <f t="shared" ca="1" si="52"/>
        <v>0</v>
      </c>
      <c r="P661">
        <f t="shared" si="53"/>
        <v>0</v>
      </c>
      <c r="Q661" t="e">
        <f t="shared" si="54"/>
        <v>#VALUE!</v>
      </c>
    </row>
    <row r="662" spans="1:17" ht="15" customHeight="1" x14ac:dyDescent="0.25">
      <c r="A662">
        <f>'Customers Raw data'!A662</f>
        <v>1661</v>
      </c>
      <c r="B662" t="str">
        <f>'Customers Raw data'!B662</f>
        <v>2024-03-22</v>
      </c>
      <c r="C662" t="str">
        <f>'Customers Raw data'!C662</f>
        <v>Basic</v>
      </c>
      <c r="D662">
        <f>'Customers Raw data'!D662</f>
        <v>50</v>
      </c>
      <c r="E662">
        <f>'Customers Raw data'!E662</f>
        <v>30</v>
      </c>
      <c r="F662">
        <f>'Customers Raw data'!F662</f>
        <v>0</v>
      </c>
      <c r="G662">
        <f>IF('Customers Raw data'!F662&lt;&gt;"",1,0)</f>
        <v>0</v>
      </c>
      <c r="H662" t="str">
        <f>IF('Customers Raw data'!F662&lt;&gt;"",YEAR(DATEVALUE('Customers Raw data'!F662)),"")</f>
        <v/>
      </c>
      <c r="I662" t="str">
        <f>IF('Customers Raw data'!F662&lt;&gt;"",MONTH(DATEVALUE('Customers Raw data'!F662)),"")</f>
        <v/>
      </c>
      <c r="J662">
        <f>YEAR(DATEVALUE('Customers Raw data'!B662))</f>
        <v>2024</v>
      </c>
      <c r="K662">
        <f>MONTH(DATEVALUE('Customers Raw data'!B662))</f>
        <v>3</v>
      </c>
      <c r="L662">
        <f ca="1">IF('Customers Raw data'!F662&lt;&gt;"",DATEDIF(DATEVALUE('Customers Raw data'!B662),DATEVALUE('Customers Raw data'!F662),"M"),DATEDIF(DATEVALUE('Customers Raw data'!B662),TODAY(),"M"))</f>
        <v>24</v>
      </c>
      <c r="M662">
        <f t="shared" ca="1" si="50"/>
        <v>1200</v>
      </c>
      <c r="N662">
        <f t="shared" si="51"/>
        <v>1</v>
      </c>
      <c r="O662">
        <f t="shared" ca="1" si="52"/>
        <v>0</v>
      </c>
      <c r="P662">
        <f t="shared" si="53"/>
        <v>0</v>
      </c>
      <c r="Q662" t="e">
        <f t="shared" si="54"/>
        <v>#VALUE!</v>
      </c>
    </row>
    <row r="663" spans="1:17" ht="15" customHeight="1" x14ac:dyDescent="0.25">
      <c r="A663">
        <f>'Customers Raw data'!A663</f>
        <v>1662</v>
      </c>
      <c r="B663" t="str">
        <f>'Customers Raw data'!B663</f>
        <v>2025-06-28</v>
      </c>
      <c r="C663" t="str">
        <f>'Customers Raw data'!C663</f>
        <v>Pro</v>
      </c>
      <c r="D663">
        <f>'Customers Raw data'!D663</f>
        <v>200</v>
      </c>
      <c r="E663">
        <f>'Customers Raw data'!E663</f>
        <v>100</v>
      </c>
      <c r="F663">
        <f>'Customers Raw data'!F663</f>
        <v>0</v>
      </c>
      <c r="G663">
        <f>IF('Customers Raw data'!F663&lt;&gt;"",1,0)</f>
        <v>0</v>
      </c>
      <c r="H663" t="str">
        <f>IF('Customers Raw data'!F663&lt;&gt;"",YEAR(DATEVALUE('Customers Raw data'!F663)),"")</f>
        <v/>
      </c>
      <c r="I663" t="str">
        <f>IF('Customers Raw data'!F663&lt;&gt;"",MONTH(DATEVALUE('Customers Raw data'!F663)),"")</f>
        <v/>
      </c>
      <c r="J663">
        <f>YEAR(DATEVALUE('Customers Raw data'!B663))</f>
        <v>2025</v>
      </c>
      <c r="K663">
        <f>MONTH(DATEVALUE('Customers Raw data'!B663))</f>
        <v>6</v>
      </c>
      <c r="L663">
        <f ca="1">IF('Customers Raw data'!F663&lt;&gt;"",DATEDIF(DATEVALUE('Customers Raw data'!B663),DATEVALUE('Customers Raw data'!F663),"M"),DATEDIF(DATEVALUE('Customers Raw data'!B663),TODAY(),"M"))</f>
        <v>9</v>
      </c>
      <c r="M663">
        <f t="shared" ca="1" si="50"/>
        <v>1800</v>
      </c>
      <c r="N663">
        <f t="shared" si="51"/>
        <v>2</v>
      </c>
      <c r="O663">
        <f t="shared" ca="1" si="52"/>
        <v>0</v>
      </c>
      <c r="P663">
        <f t="shared" si="53"/>
        <v>0</v>
      </c>
      <c r="Q663" t="e">
        <f t="shared" si="54"/>
        <v>#VALUE!</v>
      </c>
    </row>
    <row r="664" spans="1:17" ht="15" customHeight="1" x14ac:dyDescent="0.25">
      <c r="A664">
        <f>'Customers Raw data'!A664</f>
        <v>1663</v>
      </c>
      <c r="B664" t="str">
        <f>'Customers Raw data'!B664</f>
        <v>2024-07-20</v>
      </c>
      <c r="C664" t="str">
        <f>'Customers Raw data'!C664</f>
        <v>Basic</v>
      </c>
      <c r="D664">
        <f>'Customers Raw data'!D664</f>
        <v>50</v>
      </c>
      <c r="E664">
        <f>'Customers Raw data'!E664</f>
        <v>30</v>
      </c>
      <c r="F664">
        <f>'Customers Raw data'!F664</f>
        <v>0</v>
      </c>
      <c r="G664">
        <f>IF('Customers Raw data'!F664&lt;&gt;"",1,0)</f>
        <v>0</v>
      </c>
      <c r="H664" t="str">
        <f>IF('Customers Raw data'!F664&lt;&gt;"",YEAR(DATEVALUE('Customers Raw data'!F664)),"")</f>
        <v/>
      </c>
      <c r="I664" t="str">
        <f>IF('Customers Raw data'!F664&lt;&gt;"",MONTH(DATEVALUE('Customers Raw data'!F664)),"")</f>
        <v/>
      </c>
      <c r="J664">
        <f>YEAR(DATEVALUE('Customers Raw data'!B664))</f>
        <v>2024</v>
      </c>
      <c r="K664">
        <f>MONTH(DATEVALUE('Customers Raw data'!B664))</f>
        <v>7</v>
      </c>
      <c r="L664">
        <f ca="1">IF('Customers Raw data'!F664&lt;&gt;"",DATEDIF(DATEVALUE('Customers Raw data'!B664),DATEVALUE('Customers Raw data'!F664),"M"),DATEDIF(DATEVALUE('Customers Raw data'!B664),TODAY(),"M"))</f>
        <v>20</v>
      </c>
      <c r="M664">
        <f t="shared" ca="1" si="50"/>
        <v>1000</v>
      </c>
      <c r="N664">
        <f t="shared" si="51"/>
        <v>1</v>
      </c>
      <c r="O664">
        <f t="shared" ca="1" si="52"/>
        <v>0</v>
      </c>
      <c r="P664">
        <f t="shared" si="53"/>
        <v>0</v>
      </c>
      <c r="Q664" t="e">
        <f t="shared" si="54"/>
        <v>#VALUE!</v>
      </c>
    </row>
    <row r="665" spans="1:17" ht="15" customHeight="1" x14ac:dyDescent="0.25">
      <c r="A665">
        <f>'Customers Raw data'!A665</f>
        <v>1664</v>
      </c>
      <c r="B665" t="str">
        <f>'Customers Raw data'!B665</f>
        <v>2024-01-23</v>
      </c>
      <c r="C665" t="str">
        <f>'Customers Raw data'!C665</f>
        <v>Enterprise</v>
      </c>
      <c r="D665">
        <f>'Customers Raw data'!D665</f>
        <v>500</v>
      </c>
      <c r="E665">
        <f>'Customers Raw data'!E665</f>
        <v>200</v>
      </c>
      <c r="F665">
        <f>'Customers Raw data'!F665</f>
        <v>0</v>
      </c>
      <c r="G665">
        <f>IF('Customers Raw data'!F665&lt;&gt;"",1,0)</f>
        <v>0</v>
      </c>
      <c r="H665" t="str">
        <f>IF('Customers Raw data'!F665&lt;&gt;"",YEAR(DATEVALUE('Customers Raw data'!F665)),"")</f>
        <v/>
      </c>
      <c r="I665" t="str">
        <f>IF('Customers Raw data'!F665&lt;&gt;"",MONTH(DATEVALUE('Customers Raw data'!F665)),"")</f>
        <v/>
      </c>
      <c r="J665">
        <f>YEAR(DATEVALUE('Customers Raw data'!B665))</f>
        <v>2024</v>
      </c>
      <c r="K665">
        <f>MONTH(DATEVALUE('Customers Raw data'!B665))</f>
        <v>1</v>
      </c>
      <c r="L665">
        <f ca="1">IF('Customers Raw data'!F665&lt;&gt;"",DATEDIF(DATEVALUE('Customers Raw data'!B665),DATEVALUE('Customers Raw data'!F665),"M"),DATEDIF(DATEVALUE('Customers Raw data'!B665),TODAY(),"M"))</f>
        <v>26</v>
      </c>
      <c r="M665">
        <f t="shared" ca="1" si="50"/>
        <v>13000</v>
      </c>
      <c r="N665">
        <f t="shared" si="51"/>
        <v>3</v>
      </c>
      <c r="O665">
        <f t="shared" ca="1" si="52"/>
        <v>0</v>
      </c>
      <c r="P665">
        <f t="shared" si="53"/>
        <v>0</v>
      </c>
      <c r="Q665" t="e">
        <f t="shared" si="54"/>
        <v>#VALUE!</v>
      </c>
    </row>
    <row r="666" spans="1:17" ht="15" customHeight="1" x14ac:dyDescent="0.25">
      <c r="A666">
        <f>'Customers Raw data'!A666</f>
        <v>1665</v>
      </c>
      <c r="B666" t="str">
        <f>'Customers Raw data'!B666</f>
        <v>2024-08-20</v>
      </c>
      <c r="C666" t="str">
        <f>'Customers Raw data'!C666</f>
        <v>Enterprise</v>
      </c>
      <c r="D666">
        <f>'Customers Raw data'!D666</f>
        <v>500</v>
      </c>
      <c r="E666">
        <f>'Customers Raw data'!E666</f>
        <v>200</v>
      </c>
      <c r="F666">
        <f>'Customers Raw data'!F666</f>
        <v>0</v>
      </c>
      <c r="G666">
        <f>IF('Customers Raw data'!F666&lt;&gt;"",1,0)</f>
        <v>0</v>
      </c>
      <c r="H666" t="str">
        <f>IF('Customers Raw data'!F666&lt;&gt;"",YEAR(DATEVALUE('Customers Raw data'!F666)),"")</f>
        <v/>
      </c>
      <c r="I666" t="str">
        <f>IF('Customers Raw data'!F666&lt;&gt;"",MONTH(DATEVALUE('Customers Raw data'!F666)),"")</f>
        <v/>
      </c>
      <c r="J666">
        <f>YEAR(DATEVALUE('Customers Raw data'!B666))</f>
        <v>2024</v>
      </c>
      <c r="K666">
        <f>MONTH(DATEVALUE('Customers Raw data'!B666))</f>
        <v>8</v>
      </c>
      <c r="L666">
        <f ca="1">IF('Customers Raw data'!F666&lt;&gt;"",DATEDIF(DATEVALUE('Customers Raw data'!B666),DATEVALUE('Customers Raw data'!F666),"M"),DATEDIF(DATEVALUE('Customers Raw data'!B666),TODAY(),"M"))</f>
        <v>19</v>
      </c>
      <c r="M666">
        <f t="shared" ca="1" si="50"/>
        <v>9500</v>
      </c>
      <c r="N666">
        <f t="shared" si="51"/>
        <v>3</v>
      </c>
      <c r="O666">
        <f t="shared" ca="1" si="52"/>
        <v>0</v>
      </c>
      <c r="P666">
        <f t="shared" si="53"/>
        <v>0</v>
      </c>
      <c r="Q666" t="e">
        <f t="shared" si="54"/>
        <v>#VALUE!</v>
      </c>
    </row>
    <row r="667" spans="1:17" ht="15" customHeight="1" x14ac:dyDescent="0.25">
      <c r="A667">
        <f>'Customers Raw data'!A667</f>
        <v>1666</v>
      </c>
      <c r="B667" t="str">
        <f>'Customers Raw data'!B667</f>
        <v>2025-05-08</v>
      </c>
      <c r="C667" t="str">
        <f>'Customers Raw data'!C667</f>
        <v>Basic</v>
      </c>
      <c r="D667">
        <f>'Customers Raw data'!D667</f>
        <v>50</v>
      </c>
      <c r="E667">
        <f>'Customers Raw data'!E667</f>
        <v>30</v>
      </c>
      <c r="F667">
        <f>'Customers Raw data'!F667</f>
        <v>0</v>
      </c>
      <c r="G667">
        <f>IF('Customers Raw data'!F667&lt;&gt;"",1,0)</f>
        <v>0</v>
      </c>
      <c r="H667" t="str">
        <f>IF('Customers Raw data'!F667&lt;&gt;"",YEAR(DATEVALUE('Customers Raw data'!F667)),"")</f>
        <v/>
      </c>
      <c r="I667" t="str">
        <f>IF('Customers Raw data'!F667&lt;&gt;"",MONTH(DATEVALUE('Customers Raw data'!F667)),"")</f>
        <v/>
      </c>
      <c r="J667">
        <f>YEAR(DATEVALUE('Customers Raw data'!B667))</f>
        <v>2025</v>
      </c>
      <c r="K667">
        <f>MONTH(DATEVALUE('Customers Raw data'!B667))</f>
        <v>5</v>
      </c>
      <c r="L667">
        <f ca="1">IF('Customers Raw data'!F667&lt;&gt;"",DATEDIF(DATEVALUE('Customers Raw data'!B667),DATEVALUE('Customers Raw data'!F667),"M"),DATEDIF(DATEVALUE('Customers Raw data'!B667),TODAY(),"M"))</f>
        <v>10</v>
      </c>
      <c r="M667">
        <f t="shared" ca="1" si="50"/>
        <v>500</v>
      </c>
      <c r="N667">
        <f t="shared" si="51"/>
        <v>1</v>
      </c>
      <c r="O667">
        <f t="shared" ca="1" si="52"/>
        <v>0</v>
      </c>
      <c r="P667">
        <f t="shared" si="53"/>
        <v>0</v>
      </c>
      <c r="Q667" t="e">
        <f t="shared" si="54"/>
        <v>#VALUE!</v>
      </c>
    </row>
    <row r="668" spans="1:17" ht="15" customHeight="1" x14ac:dyDescent="0.25">
      <c r="A668">
        <f>'Customers Raw data'!A668</f>
        <v>1667</v>
      </c>
      <c r="B668" t="str">
        <f>'Customers Raw data'!B668</f>
        <v>2025-01-03</v>
      </c>
      <c r="C668" t="str">
        <f>'Customers Raw data'!C668</f>
        <v>Basic</v>
      </c>
      <c r="D668">
        <f>'Customers Raw data'!D668</f>
        <v>50</v>
      </c>
      <c r="E668">
        <f>'Customers Raw data'!E668</f>
        <v>30</v>
      </c>
      <c r="F668">
        <f>'Customers Raw data'!F668</f>
        <v>0</v>
      </c>
      <c r="G668">
        <f>IF('Customers Raw data'!F668&lt;&gt;"",1,0)</f>
        <v>0</v>
      </c>
      <c r="H668" t="str">
        <f>IF('Customers Raw data'!F668&lt;&gt;"",YEAR(DATEVALUE('Customers Raw data'!F668)),"")</f>
        <v/>
      </c>
      <c r="I668" t="str">
        <f>IF('Customers Raw data'!F668&lt;&gt;"",MONTH(DATEVALUE('Customers Raw data'!F668)),"")</f>
        <v/>
      </c>
      <c r="J668">
        <f>YEAR(DATEVALUE('Customers Raw data'!B668))</f>
        <v>2025</v>
      </c>
      <c r="K668">
        <f>MONTH(DATEVALUE('Customers Raw data'!B668))</f>
        <v>1</v>
      </c>
      <c r="L668">
        <f ca="1">IF('Customers Raw data'!F668&lt;&gt;"",DATEDIF(DATEVALUE('Customers Raw data'!B668),DATEVALUE('Customers Raw data'!F668),"M"),DATEDIF(DATEVALUE('Customers Raw data'!B668),TODAY(),"M"))</f>
        <v>15</v>
      </c>
      <c r="M668">
        <f t="shared" ca="1" si="50"/>
        <v>750</v>
      </c>
      <c r="N668">
        <f t="shared" si="51"/>
        <v>1</v>
      </c>
      <c r="O668">
        <f t="shared" ca="1" si="52"/>
        <v>0</v>
      </c>
      <c r="P668">
        <f t="shared" si="53"/>
        <v>0</v>
      </c>
      <c r="Q668" t="e">
        <f t="shared" si="54"/>
        <v>#VALUE!</v>
      </c>
    </row>
    <row r="669" spans="1:17" ht="15" customHeight="1" x14ac:dyDescent="0.25">
      <c r="A669">
        <f>'Customers Raw data'!A669</f>
        <v>1668</v>
      </c>
      <c r="B669" t="str">
        <f>'Customers Raw data'!B669</f>
        <v>2024-12-18</v>
      </c>
      <c r="C669" t="str">
        <f>'Customers Raw data'!C669</f>
        <v>Enterprise</v>
      </c>
      <c r="D669">
        <f>'Customers Raw data'!D669</f>
        <v>500</v>
      </c>
      <c r="E669">
        <f>'Customers Raw data'!E669</f>
        <v>200</v>
      </c>
      <c r="F669">
        <f>'Customers Raw data'!F669</f>
        <v>0</v>
      </c>
      <c r="G669">
        <f>IF('Customers Raw data'!F669&lt;&gt;"",1,0)</f>
        <v>0</v>
      </c>
      <c r="H669" t="str">
        <f>IF('Customers Raw data'!F669&lt;&gt;"",YEAR(DATEVALUE('Customers Raw data'!F669)),"")</f>
        <v/>
      </c>
      <c r="I669" t="str">
        <f>IF('Customers Raw data'!F669&lt;&gt;"",MONTH(DATEVALUE('Customers Raw data'!F669)),"")</f>
        <v/>
      </c>
      <c r="J669">
        <f>YEAR(DATEVALUE('Customers Raw data'!B669))</f>
        <v>2024</v>
      </c>
      <c r="K669">
        <f>MONTH(DATEVALUE('Customers Raw data'!B669))</f>
        <v>12</v>
      </c>
      <c r="L669">
        <f ca="1">IF('Customers Raw data'!F669&lt;&gt;"",DATEDIF(DATEVALUE('Customers Raw data'!B669),DATEVALUE('Customers Raw data'!F669),"M"),DATEDIF(DATEVALUE('Customers Raw data'!B669),TODAY(),"M"))</f>
        <v>15</v>
      </c>
      <c r="M669">
        <f t="shared" ca="1" si="50"/>
        <v>7500</v>
      </c>
      <c r="N669">
        <f t="shared" si="51"/>
        <v>3</v>
      </c>
      <c r="O669">
        <f t="shared" ca="1" si="52"/>
        <v>0</v>
      </c>
      <c r="P669">
        <f t="shared" si="53"/>
        <v>0</v>
      </c>
      <c r="Q669" t="e">
        <f t="shared" si="54"/>
        <v>#VALUE!</v>
      </c>
    </row>
    <row r="670" spans="1:17" ht="15" customHeight="1" x14ac:dyDescent="0.25">
      <c r="A670">
        <f>'Customers Raw data'!A670</f>
        <v>1669</v>
      </c>
      <c r="B670" t="str">
        <f>'Customers Raw data'!B670</f>
        <v>2024-04-17</v>
      </c>
      <c r="C670" t="str">
        <f>'Customers Raw data'!C670</f>
        <v>Enterprise</v>
      </c>
      <c r="D670">
        <f>'Customers Raw data'!D670</f>
        <v>500</v>
      </c>
      <c r="E670">
        <f>'Customers Raw data'!E670</f>
        <v>200</v>
      </c>
      <c r="F670">
        <f>'Customers Raw data'!F670</f>
        <v>0</v>
      </c>
      <c r="G670">
        <f>IF('Customers Raw data'!F670&lt;&gt;"",1,0)</f>
        <v>0</v>
      </c>
      <c r="H670" t="str">
        <f>IF('Customers Raw data'!F670&lt;&gt;"",YEAR(DATEVALUE('Customers Raw data'!F670)),"")</f>
        <v/>
      </c>
      <c r="I670" t="str">
        <f>IF('Customers Raw data'!F670&lt;&gt;"",MONTH(DATEVALUE('Customers Raw data'!F670)),"")</f>
        <v/>
      </c>
      <c r="J670">
        <f>YEAR(DATEVALUE('Customers Raw data'!B670))</f>
        <v>2024</v>
      </c>
      <c r="K670">
        <f>MONTH(DATEVALUE('Customers Raw data'!B670))</f>
        <v>4</v>
      </c>
      <c r="L670">
        <f ca="1">IF('Customers Raw data'!F670&lt;&gt;"",DATEDIF(DATEVALUE('Customers Raw data'!B670),DATEVALUE('Customers Raw data'!F670),"M"),DATEDIF(DATEVALUE('Customers Raw data'!B670),TODAY(),"M"))</f>
        <v>23</v>
      </c>
      <c r="M670">
        <f t="shared" ca="1" si="50"/>
        <v>11500</v>
      </c>
      <c r="N670">
        <f t="shared" si="51"/>
        <v>3</v>
      </c>
      <c r="O670">
        <f t="shared" ca="1" si="52"/>
        <v>0</v>
      </c>
      <c r="P670">
        <f t="shared" si="53"/>
        <v>0</v>
      </c>
      <c r="Q670" t="e">
        <f t="shared" si="54"/>
        <v>#VALUE!</v>
      </c>
    </row>
    <row r="671" spans="1:17" ht="15" customHeight="1" x14ac:dyDescent="0.25">
      <c r="A671">
        <f>'Customers Raw data'!A671</f>
        <v>1670</v>
      </c>
      <c r="B671" t="str">
        <f>'Customers Raw data'!B671</f>
        <v>2025-01-28</v>
      </c>
      <c r="C671" t="str">
        <f>'Customers Raw data'!C671</f>
        <v>Basic</v>
      </c>
      <c r="D671">
        <f>'Customers Raw data'!D671</f>
        <v>50</v>
      </c>
      <c r="E671">
        <f>'Customers Raw data'!E671</f>
        <v>30</v>
      </c>
      <c r="F671">
        <f>'Customers Raw data'!F671</f>
        <v>0</v>
      </c>
      <c r="G671">
        <f>IF('Customers Raw data'!F671&lt;&gt;"",1,0)</f>
        <v>0</v>
      </c>
      <c r="H671" t="str">
        <f>IF('Customers Raw data'!F671&lt;&gt;"",YEAR(DATEVALUE('Customers Raw data'!F671)),"")</f>
        <v/>
      </c>
      <c r="I671" t="str">
        <f>IF('Customers Raw data'!F671&lt;&gt;"",MONTH(DATEVALUE('Customers Raw data'!F671)),"")</f>
        <v/>
      </c>
      <c r="J671">
        <f>YEAR(DATEVALUE('Customers Raw data'!B671))</f>
        <v>2025</v>
      </c>
      <c r="K671">
        <f>MONTH(DATEVALUE('Customers Raw data'!B671))</f>
        <v>1</v>
      </c>
      <c r="L671">
        <f ca="1">IF('Customers Raw data'!F671&lt;&gt;"",DATEDIF(DATEVALUE('Customers Raw data'!B671),DATEVALUE('Customers Raw data'!F671),"M"),DATEDIF(DATEVALUE('Customers Raw data'!B671),TODAY(),"M"))</f>
        <v>14</v>
      </c>
      <c r="M671">
        <f t="shared" ca="1" si="50"/>
        <v>700</v>
      </c>
      <c r="N671">
        <f t="shared" si="51"/>
        <v>1</v>
      </c>
      <c r="O671">
        <f t="shared" ca="1" si="52"/>
        <v>0</v>
      </c>
      <c r="P671">
        <f t="shared" si="53"/>
        <v>0</v>
      </c>
      <c r="Q671" t="e">
        <f t="shared" si="54"/>
        <v>#VALUE!</v>
      </c>
    </row>
    <row r="672" spans="1:17" ht="15" customHeight="1" x14ac:dyDescent="0.25">
      <c r="A672">
        <f>'Customers Raw data'!A672</f>
        <v>1671</v>
      </c>
      <c r="B672" t="str">
        <f>'Customers Raw data'!B672</f>
        <v>2024-09-19</v>
      </c>
      <c r="C672" t="str">
        <f>'Customers Raw data'!C672</f>
        <v>Basic</v>
      </c>
      <c r="D672">
        <f>'Customers Raw data'!D672</f>
        <v>50</v>
      </c>
      <c r="E672">
        <f>'Customers Raw data'!E672</f>
        <v>30</v>
      </c>
      <c r="F672">
        <f>'Customers Raw data'!F672</f>
        <v>0</v>
      </c>
      <c r="G672">
        <f>IF('Customers Raw data'!F672&lt;&gt;"",1,0)</f>
        <v>0</v>
      </c>
      <c r="H672" t="str">
        <f>IF('Customers Raw data'!F672&lt;&gt;"",YEAR(DATEVALUE('Customers Raw data'!F672)),"")</f>
        <v/>
      </c>
      <c r="I672" t="str">
        <f>IF('Customers Raw data'!F672&lt;&gt;"",MONTH(DATEVALUE('Customers Raw data'!F672)),"")</f>
        <v/>
      </c>
      <c r="J672">
        <f>YEAR(DATEVALUE('Customers Raw data'!B672))</f>
        <v>2024</v>
      </c>
      <c r="K672">
        <f>MONTH(DATEVALUE('Customers Raw data'!B672))</f>
        <v>9</v>
      </c>
      <c r="L672">
        <f ca="1">IF('Customers Raw data'!F672&lt;&gt;"",DATEDIF(DATEVALUE('Customers Raw data'!B672),DATEVALUE('Customers Raw data'!F672),"M"),DATEDIF(DATEVALUE('Customers Raw data'!B672),TODAY(),"M"))</f>
        <v>18</v>
      </c>
      <c r="M672">
        <f t="shared" ca="1" si="50"/>
        <v>900</v>
      </c>
      <c r="N672">
        <f t="shared" si="51"/>
        <v>1</v>
      </c>
      <c r="O672">
        <f t="shared" ca="1" si="52"/>
        <v>0</v>
      </c>
      <c r="P672">
        <f t="shared" si="53"/>
        <v>0</v>
      </c>
      <c r="Q672" t="e">
        <f t="shared" si="54"/>
        <v>#VALUE!</v>
      </c>
    </row>
    <row r="673" spans="1:17" ht="15" customHeight="1" x14ac:dyDescent="0.25">
      <c r="A673">
        <f>'Customers Raw data'!A673</f>
        <v>1672</v>
      </c>
      <c r="B673" t="str">
        <f>'Customers Raw data'!B673</f>
        <v>2024-08-19</v>
      </c>
      <c r="C673" t="str">
        <f>'Customers Raw data'!C673</f>
        <v>Basic</v>
      </c>
      <c r="D673">
        <f>'Customers Raw data'!D673</f>
        <v>50</v>
      </c>
      <c r="E673">
        <f>'Customers Raw data'!E673</f>
        <v>30</v>
      </c>
      <c r="F673" t="str">
        <f>'Customers Raw data'!F673</f>
        <v>2024-09-25</v>
      </c>
      <c r="G673">
        <f>IF('Customers Raw data'!F673&lt;&gt;"",1,0)</f>
        <v>1</v>
      </c>
      <c r="H673">
        <f>IF('Customers Raw data'!F673&lt;&gt;"",YEAR(DATEVALUE('Customers Raw data'!F673)),"")</f>
        <v>2024</v>
      </c>
      <c r="I673">
        <f>IF('Customers Raw data'!F673&lt;&gt;"",MONTH(DATEVALUE('Customers Raw data'!F673)),"")</f>
        <v>9</v>
      </c>
      <c r="J673">
        <f>YEAR(DATEVALUE('Customers Raw data'!B673))</f>
        <v>2024</v>
      </c>
      <c r="K673">
        <f>MONTH(DATEVALUE('Customers Raw data'!B673))</f>
        <v>8</v>
      </c>
      <c r="L673">
        <f ca="1">IF('Customers Raw data'!F673&lt;&gt;"",DATEDIF(DATEVALUE('Customers Raw data'!B673),DATEVALUE('Customers Raw data'!F673),"M"),DATEDIF(DATEVALUE('Customers Raw data'!B673),TODAY(),"M"))</f>
        <v>1</v>
      </c>
      <c r="M673">
        <f t="shared" ca="1" si="50"/>
        <v>50</v>
      </c>
      <c r="N673">
        <f t="shared" si="51"/>
        <v>1</v>
      </c>
      <c r="O673">
        <f t="shared" ca="1" si="52"/>
        <v>1</v>
      </c>
      <c r="P673">
        <f t="shared" si="53"/>
        <v>50</v>
      </c>
      <c r="Q673" t="str">
        <f t="shared" si="54"/>
        <v>2024-09</v>
      </c>
    </row>
    <row r="674" spans="1:17" ht="15" customHeight="1" x14ac:dyDescent="0.25">
      <c r="A674">
        <f>'Customers Raw data'!A674</f>
        <v>1673</v>
      </c>
      <c r="B674" t="str">
        <f>'Customers Raw data'!B674</f>
        <v>2025-03-10</v>
      </c>
      <c r="C674" t="str">
        <f>'Customers Raw data'!C674</f>
        <v>Enterprise</v>
      </c>
      <c r="D674">
        <f>'Customers Raw data'!D674</f>
        <v>500</v>
      </c>
      <c r="E674">
        <f>'Customers Raw data'!E674</f>
        <v>200</v>
      </c>
      <c r="F674">
        <f>'Customers Raw data'!F674</f>
        <v>0</v>
      </c>
      <c r="G674">
        <f>IF('Customers Raw data'!F674&lt;&gt;"",1,0)</f>
        <v>0</v>
      </c>
      <c r="H674" t="str">
        <f>IF('Customers Raw data'!F674&lt;&gt;"",YEAR(DATEVALUE('Customers Raw data'!F674)),"")</f>
        <v/>
      </c>
      <c r="I674" t="str">
        <f>IF('Customers Raw data'!F674&lt;&gt;"",MONTH(DATEVALUE('Customers Raw data'!F674)),"")</f>
        <v/>
      </c>
      <c r="J674">
        <f>YEAR(DATEVALUE('Customers Raw data'!B674))</f>
        <v>2025</v>
      </c>
      <c r="K674">
        <f>MONTH(DATEVALUE('Customers Raw data'!B674))</f>
        <v>3</v>
      </c>
      <c r="L674">
        <f ca="1">IF('Customers Raw data'!F674&lt;&gt;"",DATEDIF(DATEVALUE('Customers Raw data'!B674),DATEVALUE('Customers Raw data'!F674),"M"),DATEDIF(DATEVALUE('Customers Raw data'!B674),TODAY(),"M"))</f>
        <v>12</v>
      </c>
      <c r="M674">
        <f t="shared" ca="1" si="50"/>
        <v>6000</v>
      </c>
      <c r="N674">
        <f t="shared" si="51"/>
        <v>3</v>
      </c>
      <c r="O674">
        <f t="shared" ca="1" si="52"/>
        <v>0</v>
      </c>
      <c r="P674">
        <f t="shared" si="53"/>
        <v>0</v>
      </c>
      <c r="Q674" t="e">
        <f t="shared" si="54"/>
        <v>#VALUE!</v>
      </c>
    </row>
    <row r="675" spans="1:17" ht="15" customHeight="1" x14ac:dyDescent="0.25">
      <c r="A675">
        <f>'Customers Raw data'!A675</f>
        <v>1674</v>
      </c>
      <c r="B675" t="str">
        <f>'Customers Raw data'!B675</f>
        <v>2024-02-07</v>
      </c>
      <c r="C675" t="str">
        <f>'Customers Raw data'!C675</f>
        <v>Pro</v>
      </c>
      <c r="D675">
        <f>'Customers Raw data'!D675</f>
        <v>200</v>
      </c>
      <c r="E675">
        <f>'Customers Raw data'!E675</f>
        <v>100</v>
      </c>
      <c r="F675">
        <f>'Customers Raw data'!F675</f>
        <v>0</v>
      </c>
      <c r="G675">
        <f>IF('Customers Raw data'!F675&lt;&gt;"",1,0)</f>
        <v>0</v>
      </c>
      <c r="H675" t="str">
        <f>IF('Customers Raw data'!F675&lt;&gt;"",YEAR(DATEVALUE('Customers Raw data'!F675)),"")</f>
        <v/>
      </c>
      <c r="I675" t="str">
        <f>IF('Customers Raw data'!F675&lt;&gt;"",MONTH(DATEVALUE('Customers Raw data'!F675)),"")</f>
        <v/>
      </c>
      <c r="J675">
        <f>YEAR(DATEVALUE('Customers Raw data'!B675))</f>
        <v>2024</v>
      </c>
      <c r="K675">
        <f>MONTH(DATEVALUE('Customers Raw data'!B675))</f>
        <v>2</v>
      </c>
      <c r="L675">
        <f ca="1">IF('Customers Raw data'!F675&lt;&gt;"",DATEDIF(DATEVALUE('Customers Raw data'!B675),DATEVALUE('Customers Raw data'!F675),"M"),DATEDIF(DATEVALUE('Customers Raw data'!B675),TODAY(),"M"))</f>
        <v>26</v>
      </c>
      <c r="M675">
        <f t="shared" ca="1" si="50"/>
        <v>5200</v>
      </c>
      <c r="N675">
        <f t="shared" si="51"/>
        <v>2</v>
      </c>
      <c r="O675">
        <f t="shared" ca="1" si="52"/>
        <v>0</v>
      </c>
      <c r="P675">
        <f t="shared" si="53"/>
        <v>0</v>
      </c>
      <c r="Q675" t="e">
        <f t="shared" si="54"/>
        <v>#VALUE!</v>
      </c>
    </row>
    <row r="676" spans="1:17" ht="15" customHeight="1" x14ac:dyDescent="0.25">
      <c r="A676">
        <f>'Customers Raw data'!A676</f>
        <v>1675</v>
      </c>
      <c r="B676" t="str">
        <f>'Customers Raw data'!B676</f>
        <v>2024-07-05</v>
      </c>
      <c r="C676" t="str">
        <f>'Customers Raw data'!C676</f>
        <v>Pro</v>
      </c>
      <c r="D676">
        <f>'Customers Raw data'!D676</f>
        <v>200</v>
      </c>
      <c r="E676">
        <f>'Customers Raw data'!E676</f>
        <v>100</v>
      </c>
      <c r="F676">
        <f>'Customers Raw data'!F676</f>
        <v>0</v>
      </c>
      <c r="G676">
        <f>IF('Customers Raw data'!F676&lt;&gt;"",1,0)</f>
        <v>0</v>
      </c>
      <c r="H676" t="str">
        <f>IF('Customers Raw data'!F676&lt;&gt;"",YEAR(DATEVALUE('Customers Raw data'!F676)),"")</f>
        <v/>
      </c>
      <c r="I676" t="str">
        <f>IF('Customers Raw data'!F676&lt;&gt;"",MONTH(DATEVALUE('Customers Raw data'!F676)),"")</f>
        <v/>
      </c>
      <c r="J676">
        <f>YEAR(DATEVALUE('Customers Raw data'!B676))</f>
        <v>2024</v>
      </c>
      <c r="K676">
        <f>MONTH(DATEVALUE('Customers Raw data'!B676))</f>
        <v>7</v>
      </c>
      <c r="L676">
        <f ca="1">IF('Customers Raw data'!F676&lt;&gt;"",DATEDIF(DATEVALUE('Customers Raw data'!B676),DATEVALUE('Customers Raw data'!F676),"M"),DATEDIF(DATEVALUE('Customers Raw data'!B676),TODAY(),"M"))</f>
        <v>21</v>
      </c>
      <c r="M676">
        <f t="shared" ca="1" si="50"/>
        <v>4200</v>
      </c>
      <c r="N676">
        <f t="shared" si="51"/>
        <v>2</v>
      </c>
      <c r="O676">
        <f t="shared" ca="1" si="52"/>
        <v>0</v>
      </c>
      <c r="P676">
        <f t="shared" si="53"/>
        <v>0</v>
      </c>
      <c r="Q676" t="e">
        <f t="shared" si="54"/>
        <v>#VALUE!</v>
      </c>
    </row>
    <row r="677" spans="1:17" ht="15" customHeight="1" x14ac:dyDescent="0.25">
      <c r="A677">
        <f>'Customers Raw data'!A677</f>
        <v>1676</v>
      </c>
      <c r="B677" t="str">
        <f>'Customers Raw data'!B677</f>
        <v>2024-07-18</v>
      </c>
      <c r="C677" t="str">
        <f>'Customers Raw data'!C677</f>
        <v>Enterprise</v>
      </c>
      <c r="D677">
        <f>'Customers Raw data'!D677</f>
        <v>500</v>
      </c>
      <c r="E677">
        <f>'Customers Raw data'!E677</f>
        <v>200</v>
      </c>
      <c r="F677">
        <f>'Customers Raw data'!F677</f>
        <v>0</v>
      </c>
      <c r="G677">
        <f>IF('Customers Raw data'!F677&lt;&gt;"",1,0)</f>
        <v>0</v>
      </c>
      <c r="H677" t="str">
        <f>IF('Customers Raw data'!F677&lt;&gt;"",YEAR(DATEVALUE('Customers Raw data'!F677)),"")</f>
        <v/>
      </c>
      <c r="I677" t="str">
        <f>IF('Customers Raw data'!F677&lt;&gt;"",MONTH(DATEVALUE('Customers Raw data'!F677)),"")</f>
        <v/>
      </c>
      <c r="J677">
        <f>YEAR(DATEVALUE('Customers Raw data'!B677))</f>
        <v>2024</v>
      </c>
      <c r="K677">
        <f>MONTH(DATEVALUE('Customers Raw data'!B677))</f>
        <v>7</v>
      </c>
      <c r="L677">
        <f ca="1">IF('Customers Raw data'!F677&lt;&gt;"",DATEDIF(DATEVALUE('Customers Raw data'!B677),DATEVALUE('Customers Raw data'!F677),"M"),DATEDIF(DATEVALUE('Customers Raw data'!B677),TODAY(),"M"))</f>
        <v>20</v>
      </c>
      <c r="M677">
        <f t="shared" ca="1" si="50"/>
        <v>10000</v>
      </c>
      <c r="N677">
        <f t="shared" si="51"/>
        <v>3</v>
      </c>
      <c r="O677">
        <f t="shared" ca="1" si="52"/>
        <v>0</v>
      </c>
      <c r="P677">
        <f t="shared" si="53"/>
        <v>0</v>
      </c>
      <c r="Q677" t="e">
        <f t="shared" si="54"/>
        <v>#VALUE!</v>
      </c>
    </row>
    <row r="678" spans="1:17" ht="15" customHeight="1" x14ac:dyDescent="0.25">
      <c r="A678">
        <f>'Customers Raw data'!A678</f>
        <v>1677</v>
      </c>
      <c r="B678" t="str">
        <f>'Customers Raw data'!B678</f>
        <v>2024-04-18</v>
      </c>
      <c r="C678" t="str">
        <f>'Customers Raw data'!C678</f>
        <v>Basic</v>
      </c>
      <c r="D678">
        <f>'Customers Raw data'!D678</f>
        <v>50</v>
      </c>
      <c r="E678">
        <f>'Customers Raw data'!E678</f>
        <v>30</v>
      </c>
      <c r="F678">
        <f>'Customers Raw data'!F678</f>
        <v>0</v>
      </c>
      <c r="G678">
        <f>IF('Customers Raw data'!F678&lt;&gt;"",1,0)</f>
        <v>0</v>
      </c>
      <c r="H678" t="str">
        <f>IF('Customers Raw data'!F678&lt;&gt;"",YEAR(DATEVALUE('Customers Raw data'!F678)),"")</f>
        <v/>
      </c>
      <c r="I678" t="str">
        <f>IF('Customers Raw data'!F678&lt;&gt;"",MONTH(DATEVALUE('Customers Raw data'!F678)),"")</f>
        <v/>
      </c>
      <c r="J678">
        <f>YEAR(DATEVALUE('Customers Raw data'!B678))</f>
        <v>2024</v>
      </c>
      <c r="K678">
        <f>MONTH(DATEVALUE('Customers Raw data'!B678))</f>
        <v>4</v>
      </c>
      <c r="L678">
        <f ca="1">IF('Customers Raw data'!F678&lt;&gt;"",DATEDIF(DATEVALUE('Customers Raw data'!B678),DATEVALUE('Customers Raw data'!F678),"M"),DATEDIF(DATEVALUE('Customers Raw data'!B678),TODAY(),"M"))</f>
        <v>23</v>
      </c>
      <c r="M678">
        <f t="shared" ca="1" si="50"/>
        <v>1150</v>
      </c>
      <c r="N678">
        <f t="shared" si="51"/>
        <v>1</v>
      </c>
      <c r="O678">
        <f t="shared" ca="1" si="52"/>
        <v>0</v>
      </c>
      <c r="P678">
        <f t="shared" si="53"/>
        <v>0</v>
      </c>
      <c r="Q678" t="e">
        <f t="shared" si="54"/>
        <v>#VALUE!</v>
      </c>
    </row>
    <row r="679" spans="1:17" ht="15" customHeight="1" x14ac:dyDescent="0.25">
      <c r="A679">
        <f>'Customers Raw data'!A679</f>
        <v>1678</v>
      </c>
      <c r="B679" t="str">
        <f>'Customers Raw data'!B679</f>
        <v>2024-02-08</v>
      </c>
      <c r="C679" t="str">
        <f>'Customers Raw data'!C679</f>
        <v>Enterprise</v>
      </c>
      <c r="D679">
        <f>'Customers Raw data'!D679</f>
        <v>500</v>
      </c>
      <c r="E679">
        <f>'Customers Raw data'!E679</f>
        <v>200</v>
      </c>
      <c r="F679">
        <f>'Customers Raw data'!F679</f>
        <v>0</v>
      </c>
      <c r="G679">
        <f>IF('Customers Raw data'!F679&lt;&gt;"",1,0)</f>
        <v>0</v>
      </c>
      <c r="H679" t="str">
        <f>IF('Customers Raw data'!F679&lt;&gt;"",YEAR(DATEVALUE('Customers Raw data'!F679)),"")</f>
        <v/>
      </c>
      <c r="I679" t="str">
        <f>IF('Customers Raw data'!F679&lt;&gt;"",MONTH(DATEVALUE('Customers Raw data'!F679)),"")</f>
        <v/>
      </c>
      <c r="J679">
        <f>YEAR(DATEVALUE('Customers Raw data'!B679))</f>
        <v>2024</v>
      </c>
      <c r="K679">
        <f>MONTH(DATEVALUE('Customers Raw data'!B679))</f>
        <v>2</v>
      </c>
      <c r="L679">
        <f ca="1">IF('Customers Raw data'!F679&lt;&gt;"",DATEDIF(DATEVALUE('Customers Raw data'!B679),DATEVALUE('Customers Raw data'!F679),"M"),DATEDIF(DATEVALUE('Customers Raw data'!B679),TODAY(),"M"))</f>
        <v>25</v>
      </c>
      <c r="M679">
        <f t="shared" ca="1" si="50"/>
        <v>12500</v>
      </c>
      <c r="N679">
        <f t="shared" si="51"/>
        <v>3</v>
      </c>
      <c r="O679">
        <f t="shared" ca="1" si="52"/>
        <v>0</v>
      </c>
      <c r="P679">
        <f t="shared" si="53"/>
        <v>0</v>
      </c>
      <c r="Q679" t="e">
        <f t="shared" si="54"/>
        <v>#VALUE!</v>
      </c>
    </row>
    <row r="680" spans="1:17" ht="15" customHeight="1" x14ac:dyDescent="0.25">
      <c r="A680">
        <f>'Customers Raw data'!A680</f>
        <v>1679</v>
      </c>
      <c r="B680" t="str">
        <f>'Customers Raw data'!B680</f>
        <v>2025-02-27</v>
      </c>
      <c r="C680" t="str">
        <f>'Customers Raw data'!C680</f>
        <v>Basic</v>
      </c>
      <c r="D680">
        <f>'Customers Raw data'!D680</f>
        <v>50</v>
      </c>
      <c r="E680">
        <f>'Customers Raw data'!E680</f>
        <v>30</v>
      </c>
      <c r="F680">
        <f>'Customers Raw data'!F680</f>
        <v>0</v>
      </c>
      <c r="G680">
        <f>IF('Customers Raw data'!F680&lt;&gt;"",1,0)</f>
        <v>0</v>
      </c>
      <c r="H680" t="str">
        <f>IF('Customers Raw data'!F680&lt;&gt;"",YEAR(DATEVALUE('Customers Raw data'!F680)),"")</f>
        <v/>
      </c>
      <c r="I680" t="str">
        <f>IF('Customers Raw data'!F680&lt;&gt;"",MONTH(DATEVALUE('Customers Raw data'!F680)),"")</f>
        <v/>
      </c>
      <c r="J680">
        <f>YEAR(DATEVALUE('Customers Raw data'!B680))</f>
        <v>2025</v>
      </c>
      <c r="K680">
        <f>MONTH(DATEVALUE('Customers Raw data'!B680))</f>
        <v>2</v>
      </c>
      <c r="L680">
        <f ca="1">IF('Customers Raw data'!F680&lt;&gt;"",DATEDIF(DATEVALUE('Customers Raw data'!B680),DATEVALUE('Customers Raw data'!F680),"M"),DATEDIF(DATEVALUE('Customers Raw data'!B680),TODAY(),"M"))</f>
        <v>13</v>
      </c>
      <c r="M680">
        <f t="shared" ca="1" si="50"/>
        <v>650</v>
      </c>
      <c r="N680">
        <f t="shared" si="51"/>
        <v>1</v>
      </c>
      <c r="O680">
        <f t="shared" ca="1" si="52"/>
        <v>0</v>
      </c>
      <c r="P680">
        <f t="shared" si="53"/>
        <v>0</v>
      </c>
      <c r="Q680" t="e">
        <f t="shared" si="54"/>
        <v>#VALUE!</v>
      </c>
    </row>
    <row r="681" spans="1:17" ht="15" customHeight="1" x14ac:dyDescent="0.25">
      <c r="A681">
        <f>'Customers Raw data'!A681</f>
        <v>1680</v>
      </c>
      <c r="B681" t="str">
        <f>'Customers Raw data'!B681</f>
        <v>2025-03-23</v>
      </c>
      <c r="C681" t="str">
        <f>'Customers Raw data'!C681</f>
        <v>Pro</v>
      </c>
      <c r="D681">
        <f>'Customers Raw data'!D681</f>
        <v>200</v>
      </c>
      <c r="E681">
        <f>'Customers Raw data'!E681</f>
        <v>100</v>
      </c>
      <c r="F681">
        <f>'Customers Raw data'!F681</f>
        <v>0</v>
      </c>
      <c r="G681">
        <f>IF('Customers Raw data'!F681&lt;&gt;"",1,0)</f>
        <v>0</v>
      </c>
      <c r="H681" t="str">
        <f>IF('Customers Raw data'!F681&lt;&gt;"",YEAR(DATEVALUE('Customers Raw data'!F681)),"")</f>
        <v/>
      </c>
      <c r="I681" t="str">
        <f>IF('Customers Raw data'!F681&lt;&gt;"",MONTH(DATEVALUE('Customers Raw data'!F681)),"")</f>
        <v/>
      </c>
      <c r="J681">
        <f>YEAR(DATEVALUE('Customers Raw data'!B681))</f>
        <v>2025</v>
      </c>
      <c r="K681">
        <f>MONTH(DATEVALUE('Customers Raw data'!B681))</f>
        <v>3</v>
      </c>
      <c r="L681">
        <f ca="1">IF('Customers Raw data'!F681&lt;&gt;"",DATEDIF(DATEVALUE('Customers Raw data'!B681),DATEVALUE('Customers Raw data'!F681),"M"),DATEDIF(DATEVALUE('Customers Raw data'!B681),TODAY(),"M"))</f>
        <v>12</v>
      </c>
      <c r="M681">
        <f t="shared" ca="1" si="50"/>
        <v>2400</v>
      </c>
      <c r="N681">
        <f t="shared" si="51"/>
        <v>2</v>
      </c>
      <c r="O681">
        <f t="shared" ca="1" si="52"/>
        <v>0</v>
      </c>
      <c r="P681">
        <f t="shared" si="53"/>
        <v>0</v>
      </c>
      <c r="Q681" t="e">
        <f t="shared" si="54"/>
        <v>#VALUE!</v>
      </c>
    </row>
    <row r="682" spans="1:17" ht="15" customHeight="1" x14ac:dyDescent="0.25">
      <c r="A682">
        <f>'Customers Raw data'!A682</f>
        <v>1681</v>
      </c>
      <c r="B682" t="str">
        <f>'Customers Raw data'!B682</f>
        <v>2024-12-10</v>
      </c>
      <c r="C682" t="str">
        <f>'Customers Raw data'!C682</f>
        <v>Enterprise</v>
      </c>
      <c r="D682">
        <f>'Customers Raw data'!D682</f>
        <v>500</v>
      </c>
      <c r="E682">
        <f>'Customers Raw data'!E682</f>
        <v>200</v>
      </c>
      <c r="F682">
        <f>'Customers Raw data'!F682</f>
        <v>0</v>
      </c>
      <c r="G682">
        <f>IF('Customers Raw data'!F682&lt;&gt;"",1,0)</f>
        <v>0</v>
      </c>
      <c r="H682" t="str">
        <f>IF('Customers Raw data'!F682&lt;&gt;"",YEAR(DATEVALUE('Customers Raw data'!F682)),"")</f>
        <v/>
      </c>
      <c r="I682" t="str">
        <f>IF('Customers Raw data'!F682&lt;&gt;"",MONTH(DATEVALUE('Customers Raw data'!F682)),"")</f>
        <v/>
      </c>
      <c r="J682">
        <f>YEAR(DATEVALUE('Customers Raw data'!B682))</f>
        <v>2024</v>
      </c>
      <c r="K682">
        <f>MONTH(DATEVALUE('Customers Raw data'!B682))</f>
        <v>12</v>
      </c>
      <c r="L682">
        <f ca="1">IF('Customers Raw data'!F682&lt;&gt;"",DATEDIF(DATEVALUE('Customers Raw data'!B682),DATEVALUE('Customers Raw data'!F682),"M"),DATEDIF(DATEVALUE('Customers Raw data'!B682),TODAY(),"M"))</f>
        <v>15</v>
      </c>
      <c r="M682">
        <f t="shared" ca="1" si="50"/>
        <v>7500</v>
      </c>
      <c r="N682">
        <f t="shared" si="51"/>
        <v>3</v>
      </c>
      <c r="O682">
        <f t="shared" ca="1" si="52"/>
        <v>0</v>
      </c>
      <c r="P682">
        <f t="shared" si="53"/>
        <v>0</v>
      </c>
      <c r="Q682" t="e">
        <f t="shared" si="54"/>
        <v>#VALUE!</v>
      </c>
    </row>
    <row r="683" spans="1:17" ht="15" customHeight="1" x14ac:dyDescent="0.25">
      <c r="A683">
        <f>'Customers Raw data'!A683</f>
        <v>1682</v>
      </c>
      <c r="B683" t="str">
        <f>'Customers Raw data'!B683</f>
        <v>2024-04-04</v>
      </c>
      <c r="C683" t="str">
        <f>'Customers Raw data'!C683</f>
        <v>Basic</v>
      </c>
      <c r="D683">
        <f>'Customers Raw data'!D683</f>
        <v>50</v>
      </c>
      <c r="E683">
        <f>'Customers Raw data'!E683</f>
        <v>30</v>
      </c>
      <c r="F683">
        <f>'Customers Raw data'!F683</f>
        <v>0</v>
      </c>
      <c r="G683">
        <f>IF('Customers Raw data'!F683&lt;&gt;"",1,0)</f>
        <v>0</v>
      </c>
      <c r="H683" t="str">
        <f>IF('Customers Raw data'!F683&lt;&gt;"",YEAR(DATEVALUE('Customers Raw data'!F683)),"")</f>
        <v/>
      </c>
      <c r="I683" t="str">
        <f>IF('Customers Raw data'!F683&lt;&gt;"",MONTH(DATEVALUE('Customers Raw data'!F683)),"")</f>
        <v/>
      </c>
      <c r="J683">
        <f>YEAR(DATEVALUE('Customers Raw data'!B683))</f>
        <v>2024</v>
      </c>
      <c r="K683">
        <f>MONTH(DATEVALUE('Customers Raw data'!B683))</f>
        <v>4</v>
      </c>
      <c r="L683">
        <f ca="1">IF('Customers Raw data'!F683&lt;&gt;"",DATEDIF(DATEVALUE('Customers Raw data'!B683),DATEVALUE('Customers Raw data'!F683),"M"),DATEDIF(DATEVALUE('Customers Raw data'!B683),TODAY(),"M"))</f>
        <v>24</v>
      </c>
      <c r="M683">
        <f t="shared" ca="1" si="50"/>
        <v>1200</v>
      </c>
      <c r="N683">
        <f t="shared" si="51"/>
        <v>1</v>
      </c>
      <c r="O683">
        <f t="shared" ca="1" si="52"/>
        <v>0</v>
      </c>
      <c r="P683">
        <f t="shared" si="53"/>
        <v>0</v>
      </c>
      <c r="Q683" t="e">
        <f t="shared" si="54"/>
        <v>#VALUE!</v>
      </c>
    </row>
    <row r="684" spans="1:17" ht="15" customHeight="1" x14ac:dyDescent="0.25">
      <c r="A684">
        <f>'Customers Raw data'!A684</f>
        <v>1683</v>
      </c>
      <c r="B684" t="str">
        <f>'Customers Raw data'!B684</f>
        <v>2024-03-06</v>
      </c>
      <c r="C684" t="str">
        <f>'Customers Raw data'!C684</f>
        <v>Pro</v>
      </c>
      <c r="D684">
        <f>'Customers Raw data'!D684</f>
        <v>200</v>
      </c>
      <c r="E684">
        <f>'Customers Raw data'!E684</f>
        <v>100</v>
      </c>
      <c r="F684" t="str">
        <f>'Customers Raw data'!F684</f>
        <v>2025-06-14</v>
      </c>
      <c r="G684">
        <f>IF('Customers Raw data'!F684&lt;&gt;"",1,0)</f>
        <v>1</v>
      </c>
      <c r="H684">
        <f>IF('Customers Raw data'!F684&lt;&gt;"",YEAR(DATEVALUE('Customers Raw data'!F684)),"")</f>
        <v>2025</v>
      </c>
      <c r="I684">
        <f>IF('Customers Raw data'!F684&lt;&gt;"",MONTH(DATEVALUE('Customers Raw data'!F684)),"")</f>
        <v>6</v>
      </c>
      <c r="J684">
        <f>YEAR(DATEVALUE('Customers Raw data'!B684))</f>
        <v>2024</v>
      </c>
      <c r="K684">
        <f>MONTH(DATEVALUE('Customers Raw data'!B684))</f>
        <v>3</v>
      </c>
      <c r="L684">
        <f ca="1">IF('Customers Raw data'!F684&lt;&gt;"",DATEDIF(DATEVALUE('Customers Raw data'!B684),DATEVALUE('Customers Raw data'!F684),"M"),DATEDIF(DATEVALUE('Customers Raw data'!B684),TODAY(),"M"))</f>
        <v>15</v>
      </c>
      <c r="M684">
        <f t="shared" ca="1" si="50"/>
        <v>3000</v>
      </c>
      <c r="N684">
        <f t="shared" si="51"/>
        <v>2</v>
      </c>
      <c r="O684">
        <f t="shared" ca="1" si="52"/>
        <v>0</v>
      </c>
      <c r="P684">
        <f t="shared" si="53"/>
        <v>200</v>
      </c>
      <c r="Q684" t="str">
        <f t="shared" si="54"/>
        <v>2025-06</v>
      </c>
    </row>
    <row r="685" spans="1:17" ht="15" customHeight="1" x14ac:dyDescent="0.25">
      <c r="A685">
        <f>'Customers Raw data'!A685</f>
        <v>1684</v>
      </c>
      <c r="B685" t="str">
        <f>'Customers Raw data'!B685</f>
        <v>2025-05-05</v>
      </c>
      <c r="C685" t="str">
        <f>'Customers Raw data'!C685</f>
        <v>Enterprise</v>
      </c>
      <c r="D685">
        <f>'Customers Raw data'!D685</f>
        <v>500</v>
      </c>
      <c r="E685">
        <f>'Customers Raw data'!E685</f>
        <v>200</v>
      </c>
      <c r="F685">
        <f>'Customers Raw data'!F685</f>
        <v>0</v>
      </c>
      <c r="G685">
        <f>IF('Customers Raw data'!F685&lt;&gt;"",1,0)</f>
        <v>0</v>
      </c>
      <c r="H685" t="str">
        <f>IF('Customers Raw data'!F685&lt;&gt;"",YEAR(DATEVALUE('Customers Raw data'!F685)),"")</f>
        <v/>
      </c>
      <c r="I685" t="str">
        <f>IF('Customers Raw data'!F685&lt;&gt;"",MONTH(DATEVALUE('Customers Raw data'!F685)),"")</f>
        <v/>
      </c>
      <c r="J685">
        <f>YEAR(DATEVALUE('Customers Raw data'!B685))</f>
        <v>2025</v>
      </c>
      <c r="K685">
        <f>MONTH(DATEVALUE('Customers Raw data'!B685))</f>
        <v>5</v>
      </c>
      <c r="L685">
        <f ca="1">IF('Customers Raw data'!F685&lt;&gt;"",DATEDIF(DATEVALUE('Customers Raw data'!B685),DATEVALUE('Customers Raw data'!F685),"M"),DATEDIF(DATEVALUE('Customers Raw data'!B685),TODAY(),"M"))</f>
        <v>11</v>
      </c>
      <c r="M685">
        <f t="shared" ca="1" si="50"/>
        <v>5500</v>
      </c>
      <c r="N685">
        <f t="shared" si="51"/>
        <v>3</v>
      </c>
      <c r="O685">
        <f t="shared" ca="1" si="52"/>
        <v>0</v>
      </c>
      <c r="P685">
        <f t="shared" si="53"/>
        <v>0</v>
      </c>
      <c r="Q685" t="e">
        <f t="shared" si="54"/>
        <v>#VALUE!</v>
      </c>
    </row>
    <row r="686" spans="1:17" ht="15" customHeight="1" x14ac:dyDescent="0.25">
      <c r="A686">
        <f>'Customers Raw data'!A686</f>
        <v>1685</v>
      </c>
      <c r="B686" t="str">
        <f>'Customers Raw data'!B686</f>
        <v>2024-09-13</v>
      </c>
      <c r="C686" t="str">
        <f>'Customers Raw data'!C686</f>
        <v>Pro</v>
      </c>
      <c r="D686">
        <f>'Customers Raw data'!D686</f>
        <v>200</v>
      </c>
      <c r="E686">
        <f>'Customers Raw data'!E686</f>
        <v>100</v>
      </c>
      <c r="F686">
        <f>'Customers Raw data'!F686</f>
        <v>0</v>
      </c>
      <c r="G686">
        <f>IF('Customers Raw data'!F686&lt;&gt;"",1,0)</f>
        <v>0</v>
      </c>
      <c r="H686" t="str">
        <f>IF('Customers Raw data'!F686&lt;&gt;"",YEAR(DATEVALUE('Customers Raw data'!F686)),"")</f>
        <v/>
      </c>
      <c r="I686" t="str">
        <f>IF('Customers Raw data'!F686&lt;&gt;"",MONTH(DATEVALUE('Customers Raw data'!F686)),"")</f>
        <v/>
      </c>
      <c r="J686">
        <f>YEAR(DATEVALUE('Customers Raw data'!B686))</f>
        <v>2024</v>
      </c>
      <c r="K686">
        <f>MONTH(DATEVALUE('Customers Raw data'!B686))</f>
        <v>9</v>
      </c>
      <c r="L686">
        <f ca="1">IF('Customers Raw data'!F686&lt;&gt;"",DATEDIF(DATEVALUE('Customers Raw data'!B686),DATEVALUE('Customers Raw data'!F686),"M"),DATEDIF(DATEVALUE('Customers Raw data'!B686),TODAY(),"M"))</f>
        <v>18</v>
      </c>
      <c r="M686">
        <f t="shared" ca="1" si="50"/>
        <v>3600</v>
      </c>
      <c r="N686">
        <f t="shared" si="51"/>
        <v>2</v>
      </c>
      <c r="O686">
        <f t="shared" ca="1" si="52"/>
        <v>0</v>
      </c>
      <c r="P686">
        <f t="shared" si="53"/>
        <v>0</v>
      </c>
      <c r="Q686" t="e">
        <f t="shared" si="54"/>
        <v>#VALUE!</v>
      </c>
    </row>
    <row r="687" spans="1:17" ht="15" customHeight="1" x14ac:dyDescent="0.25">
      <c r="A687">
        <f>'Customers Raw data'!A687</f>
        <v>1686</v>
      </c>
      <c r="B687" t="str">
        <f>'Customers Raw data'!B687</f>
        <v>2024-04-19</v>
      </c>
      <c r="C687" t="str">
        <f>'Customers Raw data'!C687</f>
        <v>Basic</v>
      </c>
      <c r="D687">
        <f>'Customers Raw data'!D687</f>
        <v>50</v>
      </c>
      <c r="E687">
        <f>'Customers Raw data'!E687</f>
        <v>30</v>
      </c>
      <c r="F687" t="str">
        <f>'Customers Raw data'!F687</f>
        <v>2025-04-21</v>
      </c>
      <c r="G687">
        <f>IF('Customers Raw data'!F687&lt;&gt;"",1,0)</f>
        <v>1</v>
      </c>
      <c r="H687">
        <f>IF('Customers Raw data'!F687&lt;&gt;"",YEAR(DATEVALUE('Customers Raw data'!F687)),"")</f>
        <v>2025</v>
      </c>
      <c r="I687">
        <f>IF('Customers Raw data'!F687&lt;&gt;"",MONTH(DATEVALUE('Customers Raw data'!F687)),"")</f>
        <v>4</v>
      </c>
      <c r="J687">
        <f>YEAR(DATEVALUE('Customers Raw data'!B687))</f>
        <v>2024</v>
      </c>
      <c r="K687">
        <f>MONTH(DATEVALUE('Customers Raw data'!B687))</f>
        <v>4</v>
      </c>
      <c r="L687">
        <f ca="1">IF('Customers Raw data'!F687&lt;&gt;"",DATEDIF(DATEVALUE('Customers Raw data'!B687),DATEVALUE('Customers Raw data'!F687),"M"),DATEDIF(DATEVALUE('Customers Raw data'!B687),TODAY(),"M"))</f>
        <v>12</v>
      </c>
      <c r="M687">
        <f t="shared" ca="1" si="50"/>
        <v>600</v>
      </c>
      <c r="N687">
        <f t="shared" si="51"/>
        <v>1</v>
      </c>
      <c r="O687">
        <f t="shared" ca="1" si="52"/>
        <v>0</v>
      </c>
      <c r="P687">
        <f t="shared" si="53"/>
        <v>50</v>
      </c>
      <c r="Q687" t="str">
        <f t="shared" si="54"/>
        <v>2025-04</v>
      </c>
    </row>
    <row r="688" spans="1:17" ht="15" customHeight="1" x14ac:dyDescent="0.25">
      <c r="A688">
        <f>'Customers Raw data'!A688</f>
        <v>1687</v>
      </c>
      <c r="B688" t="str">
        <f>'Customers Raw data'!B688</f>
        <v>2024-04-29</v>
      </c>
      <c r="C688" t="str">
        <f>'Customers Raw data'!C688</f>
        <v>Enterprise</v>
      </c>
      <c r="D688">
        <f>'Customers Raw data'!D688</f>
        <v>500</v>
      </c>
      <c r="E688">
        <f>'Customers Raw data'!E688</f>
        <v>200</v>
      </c>
      <c r="F688">
        <f>'Customers Raw data'!F688</f>
        <v>0</v>
      </c>
      <c r="G688">
        <f>IF('Customers Raw data'!F688&lt;&gt;"",1,0)</f>
        <v>0</v>
      </c>
      <c r="H688" t="str">
        <f>IF('Customers Raw data'!F688&lt;&gt;"",YEAR(DATEVALUE('Customers Raw data'!F688)),"")</f>
        <v/>
      </c>
      <c r="I688" t="str">
        <f>IF('Customers Raw data'!F688&lt;&gt;"",MONTH(DATEVALUE('Customers Raw data'!F688)),"")</f>
        <v/>
      </c>
      <c r="J688">
        <f>YEAR(DATEVALUE('Customers Raw data'!B688))</f>
        <v>2024</v>
      </c>
      <c r="K688">
        <f>MONTH(DATEVALUE('Customers Raw data'!B688))</f>
        <v>4</v>
      </c>
      <c r="L688">
        <f ca="1">IF('Customers Raw data'!F688&lt;&gt;"",DATEDIF(DATEVALUE('Customers Raw data'!B688),DATEVALUE('Customers Raw data'!F688),"M"),DATEDIF(DATEVALUE('Customers Raw data'!B688),TODAY(),"M"))</f>
        <v>23</v>
      </c>
      <c r="M688">
        <f t="shared" ca="1" si="50"/>
        <v>11500</v>
      </c>
      <c r="N688">
        <f t="shared" si="51"/>
        <v>3</v>
      </c>
      <c r="O688">
        <f t="shared" ca="1" si="52"/>
        <v>0</v>
      </c>
      <c r="P688">
        <f t="shared" si="53"/>
        <v>0</v>
      </c>
      <c r="Q688" t="e">
        <f t="shared" si="54"/>
        <v>#VALUE!</v>
      </c>
    </row>
    <row r="689" spans="1:17" ht="15" customHeight="1" x14ac:dyDescent="0.25">
      <c r="A689">
        <f>'Customers Raw data'!A689</f>
        <v>1688</v>
      </c>
      <c r="B689" t="str">
        <f>'Customers Raw data'!B689</f>
        <v>2024-12-23</v>
      </c>
      <c r="C689" t="str">
        <f>'Customers Raw data'!C689</f>
        <v>Basic</v>
      </c>
      <c r="D689">
        <f>'Customers Raw data'!D689</f>
        <v>50</v>
      </c>
      <c r="E689">
        <f>'Customers Raw data'!E689</f>
        <v>30</v>
      </c>
      <c r="F689">
        <f>'Customers Raw data'!F689</f>
        <v>0</v>
      </c>
      <c r="G689">
        <f>IF('Customers Raw data'!F689&lt;&gt;"",1,0)</f>
        <v>0</v>
      </c>
      <c r="H689" t="str">
        <f>IF('Customers Raw data'!F689&lt;&gt;"",YEAR(DATEVALUE('Customers Raw data'!F689)),"")</f>
        <v/>
      </c>
      <c r="I689" t="str">
        <f>IF('Customers Raw data'!F689&lt;&gt;"",MONTH(DATEVALUE('Customers Raw data'!F689)),"")</f>
        <v/>
      </c>
      <c r="J689">
        <f>YEAR(DATEVALUE('Customers Raw data'!B689))</f>
        <v>2024</v>
      </c>
      <c r="K689">
        <f>MONTH(DATEVALUE('Customers Raw data'!B689))</f>
        <v>12</v>
      </c>
      <c r="L689">
        <f ca="1">IF('Customers Raw data'!F689&lt;&gt;"",DATEDIF(DATEVALUE('Customers Raw data'!B689),DATEVALUE('Customers Raw data'!F689),"M"),DATEDIF(DATEVALUE('Customers Raw data'!B689),TODAY(),"M"))</f>
        <v>15</v>
      </c>
      <c r="M689">
        <f t="shared" ca="1" si="50"/>
        <v>750</v>
      </c>
      <c r="N689">
        <f t="shared" si="51"/>
        <v>1</v>
      </c>
      <c r="O689">
        <f t="shared" ca="1" si="52"/>
        <v>0</v>
      </c>
      <c r="P689">
        <f t="shared" si="53"/>
        <v>0</v>
      </c>
      <c r="Q689" t="e">
        <f t="shared" si="54"/>
        <v>#VALUE!</v>
      </c>
    </row>
    <row r="690" spans="1:17" ht="15" customHeight="1" x14ac:dyDescent="0.25">
      <c r="A690">
        <f>'Customers Raw data'!A690</f>
        <v>1689</v>
      </c>
      <c r="B690" t="str">
        <f>'Customers Raw data'!B690</f>
        <v>2025-02-13</v>
      </c>
      <c r="C690" t="str">
        <f>'Customers Raw data'!C690</f>
        <v>Basic</v>
      </c>
      <c r="D690">
        <f>'Customers Raw data'!D690</f>
        <v>50</v>
      </c>
      <c r="E690">
        <f>'Customers Raw data'!E690</f>
        <v>30</v>
      </c>
      <c r="F690">
        <f>'Customers Raw data'!F690</f>
        <v>0</v>
      </c>
      <c r="G690">
        <f>IF('Customers Raw data'!F690&lt;&gt;"",1,0)</f>
        <v>0</v>
      </c>
      <c r="H690" t="str">
        <f>IF('Customers Raw data'!F690&lt;&gt;"",YEAR(DATEVALUE('Customers Raw data'!F690)),"")</f>
        <v/>
      </c>
      <c r="I690" t="str">
        <f>IF('Customers Raw data'!F690&lt;&gt;"",MONTH(DATEVALUE('Customers Raw data'!F690)),"")</f>
        <v/>
      </c>
      <c r="J690">
        <f>YEAR(DATEVALUE('Customers Raw data'!B690))</f>
        <v>2025</v>
      </c>
      <c r="K690">
        <f>MONTH(DATEVALUE('Customers Raw data'!B690))</f>
        <v>2</v>
      </c>
      <c r="L690">
        <f ca="1">IF('Customers Raw data'!F690&lt;&gt;"",DATEDIF(DATEVALUE('Customers Raw data'!B690),DATEVALUE('Customers Raw data'!F690),"M"),DATEDIF(DATEVALUE('Customers Raw data'!B690),TODAY(),"M"))</f>
        <v>13</v>
      </c>
      <c r="M690">
        <f t="shared" ca="1" si="50"/>
        <v>650</v>
      </c>
      <c r="N690">
        <f t="shared" si="51"/>
        <v>1</v>
      </c>
      <c r="O690">
        <f t="shared" ca="1" si="52"/>
        <v>0</v>
      </c>
      <c r="P690">
        <f t="shared" si="53"/>
        <v>0</v>
      </c>
      <c r="Q690" t="e">
        <f t="shared" si="54"/>
        <v>#VALUE!</v>
      </c>
    </row>
    <row r="691" spans="1:17" ht="15" customHeight="1" x14ac:dyDescent="0.25">
      <c r="A691">
        <f>'Customers Raw data'!A691</f>
        <v>1690</v>
      </c>
      <c r="B691" t="str">
        <f>'Customers Raw data'!B691</f>
        <v>2024-06-21</v>
      </c>
      <c r="C691" t="str">
        <f>'Customers Raw data'!C691</f>
        <v>Pro</v>
      </c>
      <c r="D691">
        <f>'Customers Raw data'!D691</f>
        <v>200</v>
      </c>
      <c r="E691">
        <f>'Customers Raw data'!E691</f>
        <v>100</v>
      </c>
      <c r="F691">
        <f>'Customers Raw data'!F691</f>
        <v>0</v>
      </c>
      <c r="G691">
        <f>IF('Customers Raw data'!F691&lt;&gt;"",1,0)</f>
        <v>0</v>
      </c>
      <c r="H691" t="str">
        <f>IF('Customers Raw data'!F691&lt;&gt;"",YEAR(DATEVALUE('Customers Raw data'!F691)),"")</f>
        <v/>
      </c>
      <c r="I691" t="str">
        <f>IF('Customers Raw data'!F691&lt;&gt;"",MONTH(DATEVALUE('Customers Raw data'!F691)),"")</f>
        <v/>
      </c>
      <c r="J691">
        <f>YEAR(DATEVALUE('Customers Raw data'!B691))</f>
        <v>2024</v>
      </c>
      <c r="K691">
        <f>MONTH(DATEVALUE('Customers Raw data'!B691))</f>
        <v>6</v>
      </c>
      <c r="L691">
        <f ca="1">IF('Customers Raw data'!F691&lt;&gt;"",DATEDIF(DATEVALUE('Customers Raw data'!B691),DATEVALUE('Customers Raw data'!F691),"M"),DATEDIF(DATEVALUE('Customers Raw data'!B691),TODAY(),"M"))</f>
        <v>21</v>
      </c>
      <c r="M691">
        <f t="shared" ca="1" si="50"/>
        <v>4200</v>
      </c>
      <c r="N691">
        <f t="shared" si="51"/>
        <v>2</v>
      </c>
      <c r="O691">
        <f t="shared" ca="1" si="52"/>
        <v>0</v>
      </c>
      <c r="P691">
        <f t="shared" si="53"/>
        <v>0</v>
      </c>
      <c r="Q691" t="e">
        <f t="shared" si="54"/>
        <v>#VALUE!</v>
      </c>
    </row>
    <row r="692" spans="1:17" ht="15" customHeight="1" x14ac:dyDescent="0.25">
      <c r="A692">
        <f>'Customers Raw data'!A692</f>
        <v>1691</v>
      </c>
      <c r="B692" t="str">
        <f>'Customers Raw data'!B692</f>
        <v>2024-09-29</v>
      </c>
      <c r="C692" t="str">
        <f>'Customers Raw data'!C692</f>
        <v>Enterprise</v>
      </c>
      <c r="D692">
        <f>'Customers Raw data'!D692</f>
        <v>500</v>
      </c>
      <c r="E692">
        <f>'Customers Raw data'!E692</f>
        <v>200</v>
      </c>
      <c r="F692">
        <f>'Customers Raw data'!F692</f>
        <v>0</v>
      </c>
      <c r="G692">
        <f>IF('Customers Raw data'!F692&lt;&gt;"",1,0)</f>
        <v>0</v>
      </c>
      <c r="H692" t="str">
        <f>IF('Customers Raw data'!F692&lt;&gt;"",YEAR(DATEVALUE('Customers Raw data'!F692)),"")</f>
        <v/>
      </c>
      <c r="I692" t="str">
        <f>IF('Customers Raw data'!F692&lt;&gt;"",MONTH(DATEVALUE('Customers Raw data'!F692)),"")</f>
        <v/>
      </c>
      <c r="J692">
        <f>YEAR(DATEVALUE('Customers Raw data'!B692))</f>
        <v>2024</v>
      </c>
      <c r="K692">
        <f>MONTH(DATEVALUE('Customers Raw data'!B692))</f>
        <v>9</v>
      </c>
      <c r="L692">
        <f ca="1">IF('Customers Raw data'!F692&lt;&gt;"",DATEDIF(DATEVALUE('Customers Raw data'!B692),DATEVALUE('Customers Raw data'!F692),"M"),DATEDIF(DATEVALUE('Customers Raw data'!B692),TODAY(),"M"))</f>
        <v>18</v>
      </c>
      <c r="M692">
        <f t="shared" ca="1" si="50"/>
        <v>9000</v>
      </c>
      <c r="N692">
        <f t="shared" si="51"/>
        <v>3</v>
      </c>
      <c r="O692">
        <f t="shared" ca="1" si="52"/>
        <v>0</v>
      </c>
      <c r="P692">
        <f t="shared" si="53"/>
        <v>0</v>
      </c>
      <c r="Q692" t="e">
        <f t="shared" si="54"/>
        <v>#VALUE!</v>
      </c>
    </row>
    <row r="693" spans="1:17" ht="15" customHeight="1" x14ac:dyDescent="0.25">
      <c r="A693">
        <f>'Customers Raw data'!A693</f>
        <v>1692</v>
      </c>
      <c r="B693" t="str">
        <f>'Customers Raw data'!B693</f>
        <v>2024-08-06</v>
      </c>
      <c r="C693" t="str">
        <f>'Customers Raw data'!C693</f>
        <v>Pro</v>
      </c>
      <c r="D693">
        <f>'Customers Raw data'!D693</f>
        <v>200</v>
      </c>
      <c r="E693">
        <f>'Customers Raw data'!E693</f>
        <v>100</v>
      </c>
      <c r="F693">
        <f>'Customers Raw data'!F693</f>
        <v>0</v>
      </c>
      <c r="G693">
        <f>IF('Customers Raw data'!F693&lt;&gt;"",1,0)</f>
        <v>0</v>
      </c>
      <c r="H693" t="str">
        <f>IF('Customers Raw data'!F693&lt;&gt;"",YEAR(DATEVALUE('Customers Raw data'!F693)),"")</f>
        <v/>
      </c>
      <c r="I693" t="str">
        <f>IF('Customers Raw data'!F693&lt;&gt;"",MONTH(DATEVALUE('Customers Raw data'!F693)),"")</f>
        <v/>
      </c>
      <c r="J693">
        <f>YEAR(DATEVALUE('Customers Raw data'!B693))</f>
        <v>2024</v>
      </c>
      <c r="K693">
        <f>MONTH(DATEVALUE('Customers Raw data'!B693))</f>
        <v>8</v>
      </c>
      <c r="L693">
        <f ca="1">IF('Customers Raw data'!F693&lt;&gt;"",DATEDIF(DATEVALUE('Customers Raw data'!B693),DATEVALUE('Customers Raw data'!F693),"M"),DATEDIF(DATEVALUE('Customers Raw data'!B693),TODAY(),"M"))</f>
        <v>20</v>
      </c>
      <c r="M693">
        <f t="shared" ca="1" si="50"/>
        <v>4000</v>
      </c>
      <c r="N693">
        <f t="shared" si="51"/>
        <v>2</v>
      </c>
      <c r="O693">
        <f t="shared" ca="1" si="52"/>
        <v>0</v>
      </c>
      <c r="P693">
        <f t="shared" si="53"/>
        <v>0</v>
      </c>
      <c r="Q693" t="e">
        <f t="shared" si="54"/>
        <v>#VALUE!</v>
      </c>
    </row>
    <row r="694" spans="1:17" ht="15" customHeight="1" x14ac:dyDescent="0.25">
      <c r="A694">
        <f>'Customers Raw data'!A694</f>
        <v>1693</v>
      </c>
      <c r="B694" t="str">
        <f>'Customers Raw data'!B694</f>
        <v>2025-06-05</v>
      </c>
      <c r="C694" t="str">
        <f>'Customers Raw data'!C694</f>
        <v>Basic</v>
      </c>
      <c r="D694">
        <f>'Customers Raw data'!D694</f>
        <v>50</v>
      </c>
      <c r="E694">
        <f>'Customers Raw data'!E694</f>
        <v>30</v>
      </c>
      <c r="F694">
        <f>'Customers Raw data'!F694</f>
        <v>0</v>
      </c>
      <c r="G694">
        <f>IF('Customers Raw data'!F694&lt;&gt;"",1,0)</f>
        <v>0</v>
      </c>
      <c r="H694" t="str">
        <f>IF('Customers Raw data'!F694&lt;&gt;"",YEAR(DATEVALUE('Customers Raw data'!F694)),"")</f>
        <v/>
      </c>
      <c r="I694" t="str">
        <f>IF('Customers Raw data'!F694&lt;&gt;"",MONTH(DATEVALUE('Customers Raw data'!F694)),"")</f>
        <v/>
      </c>
      <c r="J694">
        <f>YEAR(DATEVALUE('Customers Raw data'!B694))</f>
        <v>2025</v>
      </c>
      <c r="K694">
        <f>MONTH(DATEVALUE('Customers Raw data'!B694))</f>
        <v>6</v>
      </c>
      <c r="L694">
        <f ca="1">IF('Customers Raw data'!F694&lt;&gt;"",DATEDIF(DATEVALUE('Customers Raw data'!B694),DATEVALUE('Customers Raw data'!F694),"M"),DATEDIF(DATEVALUE('Customers Raw data'!B694),TODAY(),"M"))</f>
        <v>10</v>
      </c>
      <c r="M694">
        <f t="shared" ca="1" si="50"/>
        <v>500</v>
      </c>
      <c r="N694">
        <f t="shared" si="51"/>
        <v>1</v>
      </c>
      <c r="O694">
        <f t="shared" ca="1" si="52"/>
        <v>0</v>
      </c>
      <c r="P694">
        <f t="shared" si="53"/>
        <v>0</v>
      </c>
      <c r="Q694" t="e">
        <f t="shared" si="54"/>
        <v>#VALUE!</v>
      </c>
    </row>
    <row r="695" spans="1:17" ht="15" customHeight="1" x14ac:dyDescent="0.25">
      <c r="A695">
        <f>'Customers Raw data'!A695</f>
        <v>1694</v>
      </c>
      <c r="B695" t="str">
        <f>'Customers Raw data'!B695</f>
        <v>2025-03-19</v>
      </c>
      <c r="C695" t="str">
        <f>'Customers Raw data'!C695</f>
        <v>Pro</v>
      </c>
      <c r="D695">
        <f>'Customers Raw data'!D695</f>
        <v>200</v>
      </c>
      <c r="E695">
        <f>'Customers Raw data'!E695</f>
        <v>100</v>
      </c>
      <c r="F695">
        <f>'Customers Raw data'!F695</f>
        <v>0</v>
      </c>
      <c r="G695">
        <f>IF('Customers Raw data'!F695&lt;&gt;"",1,0)</f>
        <v>0</v>
      </c>
      <c r="H695" t="str">
        <f>IF('Customers Raw data'!F695&lt;&gt;"",YEAR(DATEVALUE('Customers Raw data'!F695)),"")</f>
        <v/>
      </c>
      <c r="I695" t="str">
        <f>IF('Customers Raw data'!F695&lt;&gt;"",MONTH(DATEVALUE('Customers Raw data'!F695)),"")</f>
        <v/>
      </c>
      <c r="J695">
        <f>YEAR(DATEVALUE('Customers Raw data'!B695))</f>
        <v>2025</v>
      </c>
      <c r="K695">
        <f>MONTH(DATEVALUE('Customers Raw data'!B695))</f>
        <v>3</v>
      </c>
      <c r="L695">
        <f ca="1">IF('Customers Raw data'!F695&lt;&gt;"",DATEDIF(DATEVALUE('Customers Raw data'!B695),DATEVALUE('Customers Raw data'!F695),"M"),DATEDIF(DATEVALUE('Customers Raw data'!B695),TODAY(),"M"))</f>
        <v>12</v>
      </c>
      <c r="M695">
        <f t="shared" ca="1" si="50"/>
        <v>2400</v>
      </c>
      <c r="N695">
        <f t="shared" si="51"/>
        <v>2</v>
      </c>
      <c r="O695">
        <f t="shared" ca="1" si="52"/>
        <v>0</v>
      </c>
      <c r="P695">
        <f t="shared" si="53"/>
        <v>0</v>
      </c>
      <c r="Q695" t="e">
        <f t="shared" si="54"/>
        <v>#VALUE!</v>
      </c>
    </row>
    <row r="696" spans="1:17" ht="15" customHeight="1" x14ac:dyDescent="0.25">
      <c r="A696">
        <f>'Customers Raw data'!A696</f>
        <v>1695</v>
      </c>
      <c r="B696" t="str">
        <f>'Customers Raw data'!B696</f>
        <v>2024-10-08</v>
      </c>
      <c r="C696" t="str">
        <f>'Customers Raw data'!C696</f>
        <v>Pro</v>
      </c>
      <c r="D696">
        <f>'Customers Raw data'!D696</f>
        <v>200</v>
      </c>
      <c r="E696">
        <f>'Customers Raw data'!E696</f>
        <v>100</v>
      </c>
      <c r="F696">
        <f>'Customers Raw data'!F696</f>
        <v>0</v>
      </c>
      <c r="G696">
        <f>IF('Customers Raw data'!F696&lt;&gt;"",1,0)</f>
        <v>0</v>
      </c>
      <c r="H696" t="str">
        <f>IF('Customers Raw data'!F696&lt;&gt;"",YEAR(DATEVALUE('Customers Raw data'!F696)),"")</f>
        <v/>
      </c>
      <c r="I696" t="str">
        <f>IF('Customers Raw data'!F696&lt;&gt;"",MONTH(DATEVALUE('Customers Raw data'!F696)),"")</f>
        <v/>
      </c>
      <c r="J696">
        <f>YEAR(DATEVALUE('Customers Raw data'!B696))</f>
        <v>2024</v>
      </c>
      <c r="K696">
        <f>MONTH(DATEVALUE('Customers Raw data'!B696))</f>
        <v>10</v>
      </c>
      <c r="L696">
        <f ca="1">IF('Customers Raw data'!F696&lt;&gt;"",DATEDIF(DATEVALUE('Customers Raw data'!B696),DATEVALUE('Customers Raw data'!F696),"M"),DATEDIF(DATEVALUE('Customers Raw data'!B696),TODAY(),"M"))</f>
        <v>17</v>
      </c>
      <c r="M696">
        <f t="shared" ca="1" si="50"/>
        <v>3400</v>
      </c>
      <c r="N696">
        <f t="shared" si="51"/>
        <v>2</v>
      </c>
      <c r="O696">
        <f t="shared" ca="1" si="52"/>
        <v>0</v>
      </c>
      <c r="P696">
        <f t="shared" si="53"/>
        <v>0</v>
      </c>
      <c r="Q696" t="e">
        <f t="shared" si="54"/>
        <v>#VALUE!</v>
      </c>
    </row>
    <row r="697" spans="1:17" ht="15" customHeight="1" x14ac:dyDescent="0.25">
      <c r="A697">
        <f>'Customers Raw data'!A697</f>
        <v>1696</v>
      </c>
      <c r="B697" t="str">
        <f>'Customers Raw data'!B697</f>
        <v>2025-02-12</v>
      </c>
      <c r="C697" t="str">
        <f>'Customers Raw data'!C697</f>
        <v>Enterprise</v>
      </c>
      <c r="D697">
        <f>'Customers Raw data'!D697</f>
        <v>500</v>
      </c>
      <c r="E697">
        <f>'Customers Raw data'!E697</f>
        <v>200</v>
      </c>
      <c r="F697">
        <f>'Customers Raw data'!F697</f>
        <v>0</v>
      </c>
      <c r="G697">
        <f>IF('Customers Raw data'!F697&lt;&gt;"",1,0)</f>
        <v>0</v>
      </c>
      <c r="H697" t="str">
        <f>IF('Customers Raw data'!F697&lt;&gt;"",YEAR(DATEVALUE('Customers Raw data'!F697)),"")</f>
        <v/>
      </c>
      <c r="I697" t="str">
        <f>IF('Customers Raw data'!F697&lt;&gt;"",MONTH(DATEVALUE('Customers Raw data'!F697)),"")</f>
        <v/>
      </c>
      <c r="J697">
        <f>YEAR(DATEVALUE('Customers Raw data'!B697))</f>
        <v>2025</v>
      </c>
      <c r="K697">
        <f>MONTH(DATEVALUE('Customers Raw data'!B697))</f>
        <v>2</v>
      </c>
      <c r="L697">
        <f ca="1">IF('Customers Raw data'!F697&lt;&gt;"",DATEDIF(DATEVALUE('Customers Raw data'!B697),DATEVALUE('Customers Raw data'!F697),"M"),DATEDIF(DATEVALUE('Customers Raw data'!B697),TODAY(),"M"))</f>
        <v>13</v>
      </c>
      <c r="M697">
        <f t="shared" ca="1" si="50"/>
        <v>6500</v>
      </c>
      <c r="N697">
        <f t="shared" si="51"/>
        <v>3</v>
      </c>
      <c r="O697">
        <f t="shared" ca="1" si="52"/>
        <v>0</v>
      </c>
      <c r="P697">
        <f t="shared" si="53"/>
        <v>0</v>
      </c>
      <c r="Q697" t="e">
        <f t="shared" si="54"/>
        <v>#VALUE!</v>
      </c>
    </row>
    <row r="698" spans="1:17" ht="15" customHeight="1" x14ac:dyDescent="0.25">
      <c r="A698">
        <f>'Customers Raw data'!A698</f>
        <v>1697</v>
      </c>
      <c r="B698" t="str">
        <f>'Customers Raw data'!B698</f>
        <v>2025-04-24</v>
      </c>
      <c r="C698" t="str">
        <f>'Customers Raw data'!C698</f>
        <v>Basic</v>
      </c>
      <c r="D698">
        <f>'Customers Raw data'!D698</f>
        <v>50</v>
      </c>
      <c r="E698">
        <f>'Customers Raw data'!E698</f>
        <v>30</v>
      </c>
      <c r="F698" t="str">
        <f>'Customers Raw data'!F698</f>
        <v>2025-06-13</v>
      </c>
      <c r="G698">
        <f>IF('Customers Raw data'!F698&lt;&gt;"",1,0)</f>
        <v>1</v>
      </c>
      <c r="H698">
        <f>IF('Customers Raw data'!F698&lt;&gt;"",YEAR(DATEVALUE('Customers Raw data'!F698)),"")</f>
        <v>2025</v>
      </c>
      <c r="I698">
        <f>IF('Customers Raw data'!F698&lt;&gt;"",MONTH(DATEVALUE('Customers Raw data'!F698)),"")</f>
        <v>6</v>
      </c>
      <c r="J698">
        <f>YEAR(DATEVALUE('Customers Raw data'!B698))</f>
        <v>2025</v>
      </c>
      <c r="K698">
        <f>MONTH(DATEVALUE('Customers Raw data'!B698))</f>
        <v>4</v>
      </c>
      <c r="L698">
        <f ca="1">IF('Customers Raw data'!F698&lt;&gt;"",DATEDIF(DATEVALUE('Customers Raw data'!B698),DATEVALUE('Customers Raw data'!F698),"M"),DATEDIF(DATEVALUE('Customers Raw data'!B698),TODAY(),"M"))</f>
        <v>1</v>
      </c>
      <c r="M698">
        <f t="shared" ca="1" si="50"/>
        <v>50</v>
      </c>
      <c r="N698">
        <f t="shared" si="51"/>
        <v>1</v>
      </c>
      <c r="O698">
        <f t="shared" ca="1" si="52"/>
        <v>1</v>
      </c>
      <c r="P698">
        <f t="shared" si="53"/>
        <v>50</v>
      </c>
      <c r="Q698" t="str">
        <f t="shared" si="54"/>
        <v>2025-06</v>
      </c>
    </row>
    <row r="699" spans="1:17" ht="15" customHeight="1" x14ac:dyDescent="0.25">
      <c r="A699">
        <f>'Customers Raw data'!A699</f>
        <v>1698</v>
      </c>
      <c r="B699" t="str">
        <f>'Customers Raw data'!B699</f>
        <v>2025-06-11</v>
      </c>
      <c r="C699" t="str">
        <f>'Customers Raw data'!C699</f>
        <v>Pro</v>
      </c>
      <c r="D699">
        <f>'Customers Raw data'!D699</f>
        <v>200</v>
      </c>
      <c r="E699">
        <f>'Customers Raw data'!E699</f>
        <v>100</v>
      </c>
      <c r="F699">
        <f>'Customers Raw data'!F699</f>
        <v>0</v>
      </c>
      <c r="G699">
        <f>IF('Customers Raw data'!F699&lt;&gt;"",1,0)</f>
        <v>0</v>
      </c>
      <c r="H699" t="str">
        <f>IF('Customers Raw data'!F699&lt;&gt;"",YEAR(DATEVALUE('Customers Raw data'!F699)),"")</f>
        <v/>
      </c>
      <c r="I699" t="str">
        <f>IF('Customers Raw data'!F699&lt;&gt;"",MONTH(DATEVALUE('Customers Raw data'!F699)),"")</f>
        <v/>
      </c>
      <c r="J699">
        <f>YEAR(DATEVALUE('Customers Raw data'!B699))</f>
        <v>2025</v>
      </c>
      <c r="K699">
        <f>MONTH(DATEVALUE('Customers Raw data'!B699))</f>
        <v>6</v>
      </c>
      <c r="L699">
        <f ca="1">IF('Customers Raw data'!F699&lt;&gt;"",DATEDIF(DATEVALUE('Customers Raw data'!B699),DATEVALUE('Customers Raw data'!F699),"M"),DATEDIF(DATEVALUE('Customers Raw data'!B699),TODAY(),"M"))</f>
        <v>9</v>
      </c>
      <c r="M699">
        <f t="shared" ca="1" si="50"/>
        <v>1800</v>
      </c>
      <c r="N699">
        <f t="shared" si="51"/>
        <v>2</v>
      </c>
      <c r="O699">
        <f t="shared" ca="1" si="52"/>
        <v>0</v>
      </c>
      <c r="P699">
        <f t="shared" si="53"/>
        <v>0</v>
      </c>
      <c r="Q699" t="e">
        <f t="shared" si="54"/>
        <v>#VALUE!</v>
      </c>
    </row>
    <row r="700" spans="1:17" ht="15" customHeight="1" x14ac:dyDescent="0.25">
      <c r="A700">
        <f>'Customers Raw data'!A700</f>
        <v>1699</v>
      </c>
      <c r="B700" t="str">
        <f>'Customers Raw data'!B700</f>
        <v>2024-01-07</v>
      </c>
      <c r="C700" t="str">
        <f>'Customers Raw data'!C700</f>
        <v>Pro</v>
      </c>
      <c r="D700">
        <f>'Customers Raw data'!D700</f>
        <v>200</v>
      </c>
      <c r="E700">
        <f>'Customers Raw data'!E700</f>
        <v>100</v>
      </c>
      <c r="F700">
        <f>'Customers Raw data'!F700</f>
        <v>0</v>
      </c>
      <c r="G700">
        <f>IF('Customers Raw data'!F700&lt;&gt;"",1,0)</f>
        <v>0</v>
      </c>
      <c r="H700" t="str">
        <f>IF('Customers Raw data'!F700&lt;&gt;"",YEAR(DATEVALUE('Customers Raw data'!F700)),"")</f>
        <v/>
      </c>
      <c r="I700" t="str">
        <f>IF('Customers Raw data'!F700&lt;&gt;"",MONTH(DATEVALUE('Customers Raw data'!F700)),"")</f>
        <v/>
      </c>
      <c r="J700">
        <f>YEAR(DATEVALUE('Customers Raw data'!B700))</f>
        <v>2024</v>
      </c>
      <c r="K700">
        <f>MONTH(DATEVALUE('Customers Raw data'!B700))</f>
        <v>1</v>
      </c>
      <c r="L700">
        <f ca="1">IF('Customers Raw data'!F700&lt;&gt;"",DATEDIF(DATEVALUE('Customers Raw data'!B700),DATEVALUE('Customers Raw data'!F700),"M"),DATEDIF(DATEVALUE('Customers Raw data'!B700),TODAY(),"M"))</f>
        <v>27</v>
      </c>
      <c r="M700">
        <f t="shared" ca="1" si="50"/>
        <v>5400</v>
      </c>
      <c r="N700">
        <f t="shared" si="51"/>
        <v>2</v>
      </c>
      <c r="O700">
        <f t="shared" ca="1" si="52"/>
        <v>0</v>
      </c>
      <c r="P700">
        <f t="shared" si="53"/>
        <v>0</v>
      </c>
      <c r="Q700" t="e">
        <f t="shared" si="54"/>
        <v>#VALUE!</v>
      </c>
    </row>
    <row r="701" spans="1:17" ht="15" customHeight="1" x14ac:dyDescent="0.25">
      <c r="A701">
        <f>'Customers Raw data'!A701</f>
        <v>1700</v>
      </c>
      <c r="B701" t="str">
        <f>'Customers Raw data'!B701</f>
        <v>2025-06-30</v>
      </c>
      <c r="C701" t="str">
        <f>'Customers Raw data'!C701</f>
        <v>Basic</v>
      </c>
      <c r="D701">
        <f>'Customers Raw data'!D701</f>
        <v>50</v>
      </c>
      <c r="E701">
        <f>'Customers Raw data'!E701</f>
        <v>30</v>
      </c>
      <c r="F701">
        <f>'Customers Raw data'!F701</f>
        <v>0</v>
      </c>
      <c r="G701">
        <f>IF('Customers Raw data'!F701&lt;&gt;"",1,0)</f>
        <v>0</v>
      </c>
      <c r="H701" t="str">
        <f>IF('Customers Raw data'!F701&lt;&gt;"",YEAR(DATEVALUE('Customers Raw data'!F701)),"")</f>
        <v/>
      </c>
      <c r="I701" t="str">
        <f>IF('Customers Raw data'!F701&lt;&gt;"",MONTH(DATEVALUE('Customers Raw data'!F701)),"")</f>
        <v/>
      </c>
      <c r="J701">
        <f>YEAR(DATEVALUE('Customers Raw data'!B701))</f>
        <v>2025</v>
      </c>
      <c r="K701">
        <f>MONTH(DATEVALUE('Customers Raw data'!B701))</f>
        <v>6</v>
      </c>
      <c r="L701">
        <f ca="1">IF('Customers Raw data'!F701&lt;&gt;"",DATEDIF(DATEVALUE('Customers Raw data'!B701),DATEVALUE('Customers Raw data'!F701),"M"),DATEDIF(DATEVALUE('Customers Raw data'!B701),TODAY(),"M"))</f>
        <v>9</v>
      </c>
      <c r="M701">
        <f t="shared" ca="1" si="50"/>
        <v>450</v>
      </c>
      <c r="N701">
        <f t="shared" si="51"/>
        <v>1</v>
      </c>
      <c r="O701">
        <f t="shared" ca="1" si="52"/>
        <v>0</v>
      </c>
      <c r="P701">
        <f t="shared" si="53"/>
        <v>0</v>
      </c>
      <c r="Q701" t="e">
        <f t="shared" si="54"/>
        <v>#VALUE!</v>
      </c>
    </row>
    <row r="702" spans="1:17" ht="15" customHeight="1" x14ac:dyDescent="0.25">
      <c r="A702">
        <f>'Customers Raw data'!A702</f>
        <v>1701</v>
      </c>
      <c r="B702" t="str">
        <f>'Customers Raw data'!B702</f>
        <v>2024-09-12</v>
      </c>
      <c r="C702" t="str">
        <f>'Customers Raw data'!C702</f>
        <v>Basic</v>
      </c>
      <c r="D702">
        <f>'Customers Raw data'!D702</f>
        <v>50</v>
      </c>
      <c r="E702">
        <f>'Customers Raw data'!E702</f>
        <v>30</v>
      </c>
      <c r="F702">
        <f>'Customers Raw data'!F702</f>
        <v>0</v>
      </c>
      <c r="G702">
        <f>IF('Customers Raw data'!F702&lt;&gt;"",1,0)</f>
        <v>0</v>
      </c>
      <c r="H702" t="str">
        <f>IF('Customers Raw data'!F702&lt;&gt;"",YEAR(DATEVALUE('Customers Raw data'!F702)),"")</f>
        <v/>
      </c>
      <c r="I702" t="str">
        <f>IF('Customers Raw data'!F702&lt;&gt;"",MONTH(DATEVALUE('Customers Raw data'!F702)),"")</f>
        <v/>
      </c>
      <c r="J702">
        <f>YEAR(DATEVALUE('Customers Raw data'!B702))</f>
        <v>2024</v>
      </c>
      <c r="K702">
        <f>MONTH(DATEVALUE('Customers Raw data'!B702))</f>
        <v>9</v>
      </c>
      <c r="L702">
        <f ca="1">IF('Customers Raw data'!F702&lt;&gt;"",DATEDIF(DATEVALUE('Customers Raw data'!B702),DATEVALUE('Customers Raw data'!F702),"M"),DATEDIF(DATEVALUE('Customers Raw data'!B702),TODAY(),"M"))</f>
        <v>18</v>
      </c>
      <c r="M702">
        <f t="shared" ca="1" si="50"/>
        <v>900</v>
      </c>
      <c r="N702">
        <f t="shared" si="51"/>
        <v>1</v>
      </c>
      <c r="O702">
        <f t="shared" ca="1" si="52"/>
        <v>0</v>
      </c>
      <c r="P702">
        <f t="shared" si="53"/>
        <v>0</v>
      </c>
      <c r="Q702" t="e">
        <f t="shared" si="54"/>
        <v>#VALUE!</v>
      </c>
    </row>
    <row r="703" spans="1:17" ht="15" customHeight="1" x14ac:dyDescent="0.25">
      <c r="A703">
        <f>'Customers Raw data'!A703</f>
        <v>1702</v>
      </c>
      <c r="B703" t="str">
        <f>'Customers Raw data'!B703</f>
        <v>2024-12-07</v>
      </c>
      <c r="C703" t="str">
        <f>'Customers Raw data'!C703</f>
        <v>Enterprise</v>
      </c>
      <c r="D703">
        <f>'Customers Raw data'!D703</f>
        <v>500</v>
      </c>
      <c r="E703">
        <f>'Customers Raw data'!E703</f>
        <v>200</v>
      </c>
      <c r="F703">
        <f>'Customers Raw data'!F703</f>
        <v>0</v>
      </c>
      <c r="G703">
        <f>IF('Customers Raw data'!F703&lt;&gt;"",1,0)</f>
        <v>0</v>
      </c>
      <c r="H703" t="str">
        <f>IF('Customers Raw data'!F703&lt;&gt;"",YEAR(DATEVALUE('Customers Raw data'!F703)),"")</f>
        <v/>
      </c>
      <c r="I703" t="str">
        <f>IF('Customers Raw data'!F703&lt;&gt;"",MONTH(DATEVALUE('Customers Raw data'!F703)),"")</f>
        <v/>
      </c>
      <c r="J703">
        <f>YEAR(DATEVALUE('Customers Raw data'!B703))</f>
        <v>2024</v>
      </c>
      <c r="K703">
        <f>MONTH(DATEVALUE('Customers Raw data'!B703))</f>
        <v>12</v>
      </c>
      <c r="L703">
        <f ca="1">IF('Customers Raw data'!F703&lt;&gt;"",DATEDIF(DATEVALUE('Customers Raw data'!B703),DATEVALUE('Customers Raw data'!F703),"M"),DATEDIF(DATEVALUE('Customers Raw data'!B703),TODAY(),"M"))</f>
        <v>16</v>
      </c>
      <c r="M703">
        <f t="shared" ca="1" si="50"/>
        <v>8000</v>
      </c>
      <c r="N703">
        <f t="shared" si="51"/>
        <v>3</v>
      </c>
      <c r="O703">
        <f t="shared" ca="1" si="52"/>
        <v>0</v>
      </c>
      <c r="P703">
        <f t="shared" si="53"/>
        <v>0</v>
      </c>
      <c r="Q703" t="e">
        <f t="shared" si="54"/>
        <v>#VALUE!</v>
      </c>
    </row>
    <row r="704" spans="1:17" ht="15" customHeight="1" x14ac:dyDescent="0.25">
      <c r="A704">
        <f>'Customers Raw data'!A704</f>
        <v>1703</v>
      </c>
      <c r="B704" t="str">
        <f>'Customers Raw data'!B704</f>
        <v>2024-10-24</v>
      </c>
      <c r="C704" t="str">
        <f>'Customers Raw data'!C704</f>
        <v>Basic</v>
      </c>
      <c r="D704">
        <f>'Customers Raw data'!D704</f>
        <v>50</v>
      </c>
      <c r="E704">
        <f>'Customers Raw data'!E704</f>
        <v>30</v>
      </c>
      <c r="F704">
        <f>'Customers Raw data'!F704</f>
        <v>0</v>
      </c>
      <c r="G704">
        <f>IF('Customers Raw data'!F704&lt;&gt;"",1,0)</f>
        <v>0</v>
      </c>
      <c r="H704" t="str">
        <f>IF('Customers Raw data'!F704&lt;&gt;"",YEAR(DATEVALUE('Customers Raw data'!F704)),"")</f>
        <v/>
      </c>
      <c r="I704" t="str">
        <f>IF('Customers Raw data'!F704&lt;&gt;"",MONTH(DATEVALUE('Customers Raw data'!F704)),"")</f>
        <v/>
      </c>
      <c r="J704">
        <f>YEAR(DATEVALUE('Customers Raw data'!B704))</f>
        <v>2024</v>
      </c>
      <c r="K704">
        <f>MONTH(DATEVALUE('Customers Raw data'!B704))</f>
        <v>10</v>
      </c>
      <c r="L704">
        <f ca="1">IF('Customers Raw data'!F704&lt;&gt;"",DATEDIF(DATEVALUE('Customers Raw data'!B704),DATEVALUE('Customers Raw data'!F704),"M"),DATEDIF(DATEVALUE('Customers Raw data'!B704),TODAY(),"M"))</f>
        <v>17</v>
      </c>
      <c r="M704">
        <f t="shared" ca="1" si="50"/>
        <v>850</v>
      </c>
      <c r="N704">
        <f t="shared" si="51"/>
        <v>1</v>
      </c>
      <c r="O704">
        <f t="shared" ca="1" si="52"/>
        <v>0</v>
      </c>
      <c r="P704">
        <f t="shared" si="53"/>
        <v>0</v>
      </c>
      <c r="Q704" t="e">
        <f t="shared" si="54"/>
        <v>#VALUE!</v>
      </c>
    </row>
    <row r="705" spans="1:17" ht="15" customHeight="1" x14ac:dyDescent="0.25">
      <c r="A705">
        <f>'Customers Raw data'!A705</f>
        <v>1704</v>
      </c>
      <c r="B705" t="str">
        <f>'Customers Raw data'!B705</f>
        <v>2025-01-30</v>
      </c>
      <c r="C705" t="str">
        <f>'Customers Raw data'!C705</f>
        <v>Basic</v>
      </c>
      <c r="D705">
        <f>'Customers Raw data'!D705</f>
        <v>50</v>
      </c>
      <c r="E705">
        <f>'Customers Raw data'!E705</f>
        <v>30</v>
      </c>
      <c r="F705">
        <f>'Customers Raw data'!F705</f>
        <v>0</v>
      </c>
      <c r="G705">
        <f>IF('Customers Raw data'!F705&lt;&gt;"",1,0)</f>
        <v>0</v>
      </c>
      <c r="H705" t="str">
        <f>IF('Customers Raw data'!F705&lt;&gt;"",YEAR(DATEVALUE('Customers Raw data'!F705)),"")</f>
        <v/>
      </c>
      <c r="I705" t="str">
        <f>IF('Customers Raw data'!F705&lt;&gt;"",MONTH(DATEVALUE('Customers Raw data'!F705)),"")</f>
        <v/>
      </c>
      <c r="J705">
        <f>YEAR(DATEVALUE('Customers Raw data'!B705))</f>
        <v>2025</v>
      </c>
      <c r="K705">
        <f>MONTH(DATEVALUE('Customers Raw data'!B705))</f>
        <v>1</v>
      </c>
      <c r="L705">
        <f ca="1">IF('Customers Raw data'!F705&lt;&gt;"",DATEDIF(DATEVALUE('Customers Raw data'!B705),DATEVALUE('Customers Raw data'!F705),"M"),DATEDIF(DATEVALUE('Customers Raw data'!B705),TODAY(),"M"))</f>
        <v>14</v>
      </c>
      <c r="M705">
        <f t="shared" ca="1" si="50"/>
        <v>700</v>
      </c>
      <c r="N705">
        <f t="shared" si="51"/>
        <v>1</v>
      </c>
      <c r="O705">
        <f t="shared" ca="1" si="52"/>
        <v>0</v>
      </c>
      <c r="P705">
        <f t="shared" si="53"/>
        <v>0</v>
      </c>
      <c r="Q705" t="e">
        <f t="shared" si="54"/>
        <v>#VALUE!</v>
      </c>
    </row>
    <row r="706" spans="1:17" ht="15" customHeight="1" x14ac:dyDescent="0.25">
      <c r="A706">
        <f>'Customers Raw data'!A706</f>
        <v>1705</v>
      </c>
      <c r="B706" t="str">
        <f>'Customers Raw data'!B706</f>
        <v>2025-04-16</v>
      </c>
      <c r="C706" t="str">
        <f>'Customers Raw data'!C706</f>
        <v>Pro</v>
      </c>
      <c r="D706">
        <f>'Customers Raw data'!D706</f>
        <v>200</v>
      </c>
      <c r="E706">
        <f>'Customers Raw data'!E706</f>
        <v>100</v>
      </c>
      <c r="F706">
        <f>'Customers Raw data'!F706</f>
        <v>0</v>
      </c>
      <c r="G706">
        <f>IF('Customers Raw data'!F706&lt;&gt;"",1,0)</f>
        <v>0</v>
      </c>
      <c r="H706" t="str">
        <f>IF('Customers Raw data'!F706&lt;&gt;"",YEAR(DATEVALUE('Customers Raw data'!F706)),"")</f>
        <v/>
      </c>
      <c r="I706" t="str">
        <f>IF('Customers Raw data'!F706&lt;&gt;"",MONTH(DATEVALUE('Customers Raw data'!F706)),"")</f>
        <v/>
      </c>
      <c r="J706">
        <f>YEAR(DATEVALUE('Customers Raw data'!B706))</f>
        <v>2025</v>
      </c>
      <c r="K706">
        <f>MONTH(DATEVALUE('Customers Raw data'!B706))</f>
        <v>4</v>
      </c>
      <c r="L706">
        <f ca="1">IF('Customers Raw data'!F706&lt;&gt;"",DATEDIF(DATEVALUE('Customers Raw data'!B706),DATEVALUE('Customers Raw data'!F706),"M"),DATEDIF(DATEVALUE('Customers Raw data'!B706),TODAY(),"M"))</f>
        <v>11</v>
      </c>
      <c r="M706">
        <f t="shared" ref="M706:M769" ca="1" si="55">D706*L706</f>
        <v>2200</v>
      </c>
      <c r="N706">
        <f t="shared" ref="N706:N769" si="56">IF(C706="Basic",1,IF(C706="Pro",2,IF(C706="Enterprise",3,0)))</f>
        <v>2</v>
      </c>
      <c r="O706">
        <f t="shared" ref="O706:O769" ca="1" si="57">IF(AND(G706=1,L706&lt;6),1,0)</f>
        <v>0</v>
      </c>
      <c r="P706">
        <f t="shared" ref="P706:P769" si="58">IF(G706=1,D706,0)</f>
        <v>0</v>
      </c>
      <c r="Q706" t="e">
        <f t="shared" ref="Q706:Q769" si="59">IF(F706&lt;&gt;"",TEXT(DATEVALUE(F706),"YYYY-MM"),"")</f>
        <v>#VALUE!</v>
      </c>
    </row>
    <row r="707" spans="1:17" ht="15" customHeight="1" x14ac:dyDescent="0.25">
      <c r="A707">
        <f>'Customers Raw data'!A707</f>
        <v>1706</v>
      </c>
      <c r="B707" t="str">
        <f>'Customers Raw data'!B707</f>
        <v>2024-07-17</v>
      </c>
      <c r="C707" t="str">
        <f>'Customers Raw data'!C707</f>
        <v>Enterprise</v>
      </c>
      <c r="D707">
        <f>'Customers Raw data'!D707</f>
        <v>500</v>
      </c>
      <c r="E707">
        <f>'Customers Raw data'!E707</f>
        <v>200</v>
      </c>
      <c r="F707">
        <f>'Customers Raw data'!F707</f>
        <v>0</v>
      </c>
      <c r="G707">
        <f>IF('Customers Raw data'!F707&lt;&gt;"",1,0)</f>
        <v>0</v>
      </c>
      <c r="H707" t="str">
        <f>IF('Customers Raw data'!F707&lt;&gt;"",YEAR(DATEVALUE('Customers Raw data'!F707)),"")</f>
        <v/>
      </c>
      <c r="I707" t="str">
        <f>IF('Customers Raw data'!F707&lt;&gt;"",MONTH(DATEVALUE('Customers Raw data'!F707)),"")</f>
        <v/>
      </c>
      <c r="J707">
        <f>YEAR(DATEVALUE('Customers Raw data'!B707))</f>
        <v>2024</v>
      </c>
      <c r="K707">
        <f>MONTH(DATEVALUE('Customers Raw data'!B707))</f>
        <v>7</v>
      </c>
      <c r="L707">
        <f ca="1">IF('Customers Raw data'!F707&lt;&gt;"",DATEDIF(DATEVALUE('Customers Raw data'!B707),DATEVALUE('Customers Raw data'!F707),"M"),DATEDIF(DATEVALUE('Customers Raw data'!B707),TODAY(),"M"))</f>
        <v>20</v>
      </c>
      <c r="M707">
        <f t="shared" ca="1" si="55"/>
        <v>10000</v>
      </c>
      <c r="N707">
        <f t="shared" si="56"/>
        <v>3</v>
      </c>
      <c r="O707">
        <f t="shared" ca="1" si="57"/>
        <v>0</v>
      </c>
      <c r="P707">
        <f t="shared" si="58"/>
        <v>0</v>
      </c>
      <c r="Q707" t="e">
        <f t="shared" si="59"/>
        <v>#VALUE!</v>
      </c>
    </row>
    <row r="708" spans="1:17" ht="15" customHeight="1" x14ac:dyDescent="0.25">
      <c r="A708">
        <f>'Customers Raw data'!A708</f>
        <v>1707</v>
      </c>
      <c r="B708" t="str">
        <f>'Customers Raw data'!B708</f>
        <v>2025-03-04</v>
      </c>
      <c r="C708" t="str">
        <f>'Customers Raw data'!C708</f>
        <v>Enterprise</v>
      </c>
      <c r="D708">
        <f>'Customers Raw data'!D708</f>
        <v>500</v>
      </c>
      <c r="E708">
        <f>'Customers Raw data'!E708</f>
        <v>200</v>
      </c>
      <c r="F708">
        <f>'Customers Raw data'!F708</f>
        <v>0</v>
      </c>
      <c r="G708">
        <f>IF('Customers Raw data'!F708&lt;&gt;"",1,0)</f>
        <v>0</v>
      </c>
      <c r="H708" t="str">
        <f>IF('Customers Raw data'!F708&lt;&gt;"",YEAR(DATEVALUE('Customers Raw data'!F708)),"")</f>
        <v/>
      </c>
      <c r="I708" t="str">
        <f>IF('Customers Raw data'!F708&lt;&gt;"",MONTH(DATEVALUE('Customers Raw data'!F708)),"")</f>
        <v/>
      </c>
      <c r="J708">
        <f>YEAR(DATEVALUE('Customers Raw data'!B708))</f>
        <v>2025</v>
      </c>
      <c r="K708">
        <f>MONTH(DATEVALUE('Customers Raw data'!B708))</f>
        <v>3</v>
      </c>
      <c r="L708">
        <f ca="1">IF('Customers Raw data'!F708&lt;&gt;"",DATEDIF(DATEVALUE('Customers Raw data'!B708),DATEVALUE('Customers Raw data'!F708),"M"),DATEDIF(DATEVALUE('Customers Raw data'!B708),TODAY(),"M"))</f>
        <v>13</v>
      </c>
      <c r="M708">
        <f t="shared" ca="1" si="55"/>
        <v>6500</v>
      </c>
      <c r="N708">
        <f t="shared" si="56"/>
        <v>3</v>
      </c>
      <c r="O708">
        <f t="shared" ca="1" si="57"/>
        <v>0</v>
      </c>
      <c r="P708">
        <f t="shared" si="58"/>
        <v>0</v>
      </c>
      <c r="Q708" t="e">
        <f t="shared" si="59"/>
        <v>#VALUE!</v>
      </c>
    </row>
    <row r="709" spans="1:17" ht="15" customHeight="1" x14ac:dyDescent="0.25">
      <c r="A709">
        <f>'Customers Raw data'!A709</f>
        <v>1708</v>
      </c>
      <c r="B709" t="str">
        <f>'Customers Raw data'!B709</f>
        <v>2024-03-05</v>
      </c>
      <c r="C709" t="str">
        <f>'Customers Raw data'!C709</f>
        <v>Basic</v>
      </c>
      <c r="D709">
        <f>'Customers Raw data'!D709</f>
        <v>50</v>
      </c>
      <c r="E709">
        <f>'Customers Raw data'!E709</f>
        <v>30</v>
      </c>
      <c r="F709">
        <f>'Customers Raw data'!F709</f>
        <v>0</v>
      </c>
      <c r="G709">
        <f>IF('Customers Raw data'!F709&lt;&gt;"",1,0)</f>
        <v>0</v>
      </c>
      <c r="H709" t="str">
        <f>IF('Customers Raw data'!F709&lt;&gt;"",YEAR(DATEVALUE('Customers Raw data'!F709)),"")</f>
        <v/>
      </c>
      <c r="I709" t="str">
        <f>IF('Customers Raw data'!F709&lt;&gt;"",MONTH(DATEVALUE('Customers Raw data'!F709)),"")</f>
        <v/>
      </c>
      <c r="J709">
        <f>YEAR(DATEVALUE('Customers Raw data'!B709))</f>
        <v>2024</v>
      </c>
      <c r="K709">
        <f>MONTH(DATEVALUE('Customers Raw data'!B709))</f>
        <v>3</v>
      </c>
      <c r="L709">
        <f ca="1">IF('Customers Raw data'!F709&lt;&gt;"",DATEDIF(DATEVALUE('Customers Raw data'!B709),DATEVALUE('Customers Raw data'!F709),"M"),DATEDIF(DATEVALUE('Customers Raw data'!B709),TODAY(),"M"))</f>
        <v>25</v>
      </c>
      <c r="M709">
        <f t="shared" ca="1" si="55"/>
        <v>1250</v>
      </c>
      <c r="N709">
        <f t="shared" si="56"/>
        <v>1</v>
      </c>
      <c r="O709">
        <f t="shared" ca="1" si="57"/>
        <v>0</v>
      </c>
      <c r="P709">
        <f t="shared" si="58"/>
        <v>0</v>
      </c>
      <c r="Q709" t="e">
        <f t="shared" si="59"/>
        <v>#VALUE!</v>
      </c>
    </row>
    <row r="710" spans="1:17" ht="15" customHeight="1" x14ac:dyDescent="0.25">
      <c r="A710">
        <f>'Customers Raw data'!A710</f>
        <v>1709</v>
      </c>
      <c r="B710" t="str">
        <f>'Customers Raw data'!B710</f>
        <v>2024-07-11</v>
      </c>
      <c r="C710" t="str">
        <f>'Customers Raw data'!C710</f>
        <v>Pro</v>
      </c>
      <c r="D710">
        <f>'Customers Raw data'!D710</f>
        <v>200</v>
      </c>
      <c r="E710">
        <f>'Customers Raw data'!E710</f>
        <v>100</v>
      </c>
      <c r="F710" t="str">
        <f>'Customers Raw data'!F710</f>
        <v>2025-03-10</v>
      </c>
      <c r="G710">
        <f>IF('Customers Raw data'!F710&lt;&gt;"",1,0)</f>
        <v>1</v>
      </c>
      <c r="H710">
        <f>IF('Customers Raw data'!F710&lt;&gt;"",YEAR(DATEVALUE('Customers Raw data'!F710)),"")</f>
        <v>2025</v>
      </c>
      <c r="I710">
        <f>IF('Customers Raw data'!F710&lt;&gt;"",MONTH(DATEVALUE('Customers Raw data'!F710)),"")</f>
        <v>3</v>
      </c>
      <c r="J710">
        <f>YEAR(DATEVALUE('Customers Raw data'!B710))</f>
        <v>2024</v>
      </c>
      <c r="K710">
        <f>MONTH(DATEVALUE('Customers Raw data'!B710))</f>
        <v>7</v>
      </c>
      <c r="L710">
        <f ca="1">IF('Customers Raw data'!F710&lt;&gt;"",DATEDIF(DATEVALUE('Customers Raw data'!B710),DATEVALUE('Customers Raw data'!F710),"M"),DATEDIF(DATEVALUE('Customers Raw data'!B710),TODAY(),"M"))</f>
        <v>7</v>
      </c>
      <c r="M710">
        <f t="shared" ca="1" si="55"/>
        <v>1400</v>
      </c>
      <c r="N710">
        <f t="shared" si="56"/>
        <v>2</v>
      </c>
      <c r="O710">
        <f t="shared" ca="1" si="57"/>
        <v>0</v>
      </c>
      <c r="P710">
        <f t="shared" si="58"/>
        <v>200</v>
      </c>
      <c r="Q710" t="str">
        <f t="shared" si="59"/>
        <v>2025-03</v>
      </c>
    </row>
    <row r="711" spans="1:17" ht="15" customHeight="1" x14ac:dyDescent="0.25">
      <c r="A711">
        <f>'Customers Raw data'!A711</f>
        <v>1710</v>
      </c>
      <c r="B711" t="str">
        <f>'Customers Raw data'!B711</f>
        <v>2024-04-16</v>
      </c>
      <c r="C711" t="str">
        <f>'Customers Raw data'!C711</f>
        <v>Basic</v>
      </c>
      <c r="D711">
        <f>'Customers Raw data'!D711</f>
        <v>50</v>
      </c>
      <c r="E711">
        <f>'Customers Raw data'!E711</f>
        <v>30</v>
      </c>
      <c r="F711">
        <f>'Customers Raw data'!F711</f>
        <v>0</v>
      </c>
      <c r="G711">
        <f>IF('Customers Raw data'!F711&lt;&gt;"",1,0)</f>
        <v>0</v>
      </c>
      <c r="H711" t="str">
        <f>IF('Customers Raw data'!F711&lt;&gt;"",YEAR(DATEVALUE('Customers Raw data'!F711)),"")</f>
        <v/>
      </c>
      <c r="I711" t="str">
        <f>IF('Customers Raw data'!F711&lt;&gt;"",MONTH(DATEVALUE('Customers Raw data'!F711)),"")</f>
        <v/>
      </c>
      <c r="J711">
        <f>YEAR(DATEVALUE('Customers Raw data'!B711))</f>
        <v>2024</v>
      </c>
      <c r="K711">
        <f>MONTH(DATEVALUE('Customers Raw data'!B711))</f>
        <v>4</v>
      </c>
      <c r="L711">
        <f ca="1">IF('Customers Raw data'!F711&lt;&gt;"",DATEDIF(DATEVALUE('Customers Raw data'!B711),DATEVALUE('Customers Raw data'!F711),"M"),DATEDIF(DATEVALUE('Customers Raw data'!B711),TODAY(),"M"))</f>
        <v>23</v>
      </c>
      <c r="M711">
        <f t="shared" ca="1" si="55"/>
        <v>1150</v>
      </c>
      <c r="N711">
        <f t="shared" si="56"/>
        <v>1</v>
      </c>
      <c r="O711">
        <f t="shared" ca="1" si="57"/>
        <v>0</v>
      </c>
      <c r="P711">
        <f t="shared" si="58"/>
        <v>0</v>
      </c>
      <c r="Q711" t="e">
        <f t="shared" si="59"/>
        <v>#VALUE!</v>
      </c>
    </row>
    <row r="712" spans="1:17" ht="15" customHeight="1" x14ac:dyDescent="0.25">
      <c r="A712">
        <f>'Customers Raw data'!A712</f>
        <v>1711</v>
      </c>
      <c r="B712" t="str">
        <f>'Customers Raw data'!B712</f>
        <v>2025-03-07</v>
      </c>
      <c r="C712" t="str">
        <f>'Customers Raw data'!C712</f>
        <v>Basic</v>
      </c>
      <c r="D712">
        <f>'Customers Raw data'!D712</f>
        <v>50</v>
      </c>
      <c r="E712">
        <f>'Customers Raw data'!E712</f>
        <v>30</v>
      </c>
      <c r="F712">
        <f>'Customers Raw data'!F712</f>
        <v>0</v>
      </c>
      <c r="G712">
        <f>IF('Customers Raw data'!F712&lt;&gt;"",1,0)</f>
        <v>0</v>
      </c>
      <c r="H712" t="str">
        <f>IF('Customers Raw data'!F712&lt;&gt;"",YEAR(DATEVALUE('Customers Raw data'!F712)),"")</f>
        <v/>
      </c>
      <c r="I712" t="str">
        <f>IF('Customers Raw data'!F712&lt;&gt;"",MONTH(DATEVALUE('Customers Raw data'!F712)),"")</f>
        <v/>
      </c>
      <c r="J712">
        <f>YEAR(DATEVALUE('Customers Raw data'!B712))</f>
        <v>2025</v>
      </c>
      <c r="K712">
        <f>MONTH(DATEVALUE('Customers Raw data'!B712))</f>
        <v>3</v>
      </c>
      <c r="L712">
        <f ca="1">IF('Customers Raw data'!F712&lt;&gt;"",DATEDIF(DATEVALUE('Customers Raw data'!B712),DATEVALUE('Customers Raw data'!F712),"M"),DATEDIF(DATEVALUE('Customers Raw data'!B712),TODAY(),"M"))</f>
        <v>13</v>
      </c>
      <c r="M712">
        <f t="shared" ca="1" si="55"/>
        <v>650</v>
      </c>
      <c r="N712">
        <f t="shared" si="56"/>
        <v>1</v>
      </c>
      <c r="O712">
        <f t="shared" ca="1" si="57"/>
        <v>0</v>
      </c>
      <c r="P712">
        <f t="shared" si="58"/>
        <v>0</v>
      </c>
      <c r="Q712" t="e">
        <f t="shared" si="59"/>
        <v>#VALUE!</v>
      </c>
    </row>
    <row r="713" spans="1:17" ht="15" customHeight="1" x14ac:dyDescent="0.25">
      <c r="A713">
        <f>'Customers Raw data'!A713</f>
        <v>1712</v>
      </c>
      <c r="B713" t="str">
        <f>'Customers Raw data'!B713</f>
        <v>2025-06-10</v>
      </c>
      <c r="C713" t="str">
        <f>'Customers Raw data'!C713</f>
        <v>Basic</v>
      </c>
      <c r="D713">
        <f>'Customers Raw data'!D713</f>
        <v>50</v>
      </c>
      <c r="E713">
        <f>'Customers Raw data'!E713</f>
        <v>30</v>
      </c>
      <c r="F713">
        <f>'Customers Raw data'!F713</f>
        <v>0</v>
      </c>
      <c r="G713">
        <f>IF('Customers Raw data'!F713&lt;&gt;"",1,0)</f>
        <v>0</v>
      </c>
      <c r="H713" t="str">
        <f>IF('Customers Raw data'!F713&lt;&gt;"",YEAR(DATEVALUE('Customers Raw data'!F713)),"")</f>
        <v/>
      </c>
      <c r="I713" t="str">
        <f>IF('Customers Raw data'!F713&lt;&gt;"",MONTH(DATEVALUE('Customers Raw data'!F713)),"")</f>
        <v/>
      </c>
      <c r="J713">
        <f>YEAR(DATEVALUE('Customers Raw data'!B713))</f>
        <v>2025</v>
      </c>
      <c r="K713">
        <f>MONTH(DATEVALUE('Customers Raw data'!B713))</f>
        <v>6</v>
      </c>
      <c r="L713">
        <f ca="1">IF('Customers Raw data'!F713&lt;&gt;"",DATEDIF(DATEVALUE('Customers Raw data'!B713),DATEVALUE('Customers Raw data'!F713),"M"),DATEDIF(DATEVALUE('Customers Raw data'!B713),TODAY(),"M"))</f>
        <v>9</v>
      </c>
      <c r="M713">
        <f t="shared" ca="1" si="55"/>
        <v>450</v>
      </c>
      <c r="N713">
        <f t="shared" si="56"/>
        <v>1</v>
      </c>
      <c r="O713">
        <f t="shared" ca="1" si="57"/>
        <v>0</v>
      </c>
      <c r="P713">
        <f t="shared" si="58"/>
        <v>0</v>
      </c>
      <c r="Q713" t="e">
        <f t="shared" si="59"/>
        <v>#VALUE!</v>
      </c>
    </row>
    <row r="714" spans="1:17" ht="15" customHeight="1" x14ac:dyDescent="0.25">
      <c r="A714">
        <f>'Customers Raw data'!A714</f>
        <v>1713</v>
      </c>
      <c r="B714" t="str">
        <f>'Customers Raw data'!B714</f>
        <v>2024-09-01</v>
      </c>
      <c r="C714" t="str">
        <f>'Customers Raw data'!C714</f>
        <v>Enterprise</v>
      </c>
      <c r="D714">
        <f>'Customers Raw data'!D714</f>
        <v>500</v>
      </c>
      <c r="E714">
        <f>'Customers Raw data'!E714</f>
        <v>200</v>
      </c>
      <c r="F714" t="str">
        <f>'Customers Raw data'!F714</f>
        <v>2024-10-05</v>
      </c>
      <c r="G714">
        <f>IF('Customers Raw data'!F714&lt;&gt;"",1,0)</f>
        <v>1</v>
      </c>
      <c r="H714">
        <f>IF('Customers Raw data'!F714&lt;&gt;"",YEAR(DATEVALUE('Customers Raw data'!F714)),"")</f>
        <v>2024</v>
      </c>
      <c r="I714">
        <f>IF('Customers Raw data'!F714&lt;&gt;"",MONTH(DATEVALUE('Customers Raw data'!F714)),"")</f>
        <v>10</v>
      </c>
      <c r="J714">
        <f>YEAR(DATEVALUE('Customers Raw data'!B714))</f>
        <v>2024</v>
      </c>
      <c r="K714">
        <f>MONTH(DATEVALUE('Customers Raw data'!B714))</f>
        <v>9</v>
      </c>
      <c r="L714">
        <f ca="1">IF('Customers Raw data'!F714&lt;&gt;"",DATEDIF(DATEVALUE('Customers Raw data'!B714),DATEVALUE('Customers Raw data'!F714),"M"),DATEDIF(DATEVALUE('Customers Raw data'!B714),TODAY(),"M"))</f>
        <v>1</v>
      </c>
      <c r="M714">
        <f t="shared" ca="1" si="55"/>
        <v>500</v>
      </c>
      <c r="N714">
        <f t="shared" si="56"/>
        <v>3</v>
      </c>
      <c r="O714">
        <f t="shared" ca="1" si="57"/>
        <v>1</v>
      </c>
      <c r="P714">
        <f t="shared" si="58"/>
        <v>500</v>
      </c>
      <c r="Q714" t="str">
        <f t="shared" si="59"/>
        <v>2024-10</v>
      </c>
    </row>
    <row r="715" spans="1:17" ht="15" customHeight="1" x14ac:dyDescent="0.25">
      <c r="A715">
        <f>'Customers Raw data'!A715</f>
        <v>1714</v>
      </c>
      <c r="B715" t="str">
        <f>'Customers Raw data'!B715</f>
        <v>2024-07-24</v>
      </c>
      <c r="C715" t="str">
        <f>'Customers Raw data'!C715</f>
        <v>Enterprise</v>
      </c>
      <c r="D715">
        <f>'Customers Raw data'!D715</f>
        <v>500</v>
      </c>
      <c r="E715">
        <f>'Customers Raw data'!E715</f>
        <v>200</v>
      </c>
      <c r="F715" t="str">
        <f>'Customers Raw data'!F715</f>
        <v>2024-09-03</v>
      </c>
      <c r="G715">
        <f>IF('Customers Raw data'!F715&lt;&gt;"",1,0)</f>
        <v>1</v>
      </c>
      <c r="H715">
        <f>IF('Customers Raw data'!F715&lt;&gt;"",YEAR(DATEVALUE('Customers Raw data'!F715)),"")</f>
        <v>2024</v>
      </c>
      <c r="I715">
        <f>IF('Customers Raw data'!F715&lt;&gt;"",MONTH(DATEVALUE('Customers Raw data'!F715)),"")</f>
        <v>9</v>
      </c>
      <c r="J715">
        <f>YEAR(DATEVALUE('Customers Raw data'!B715))</f>
        <v>2024</v>
      </c>
      <c r="K715">
        <f>MONTH(DATEVALUE('Customers Raw data'!B715))</f>
        <v>7</v>
      </c>
      <c r="L715">
        <f ca="1">IF('Customers Raw data'!F715&lt;&gt;"",DATEDIF(DATEVALUE('Customers Raw data'!B715),DATEVALUE('Customers Raw data'!F715),"M"),DATEDIF(DATEVALUE('Customers Raw data'!B715),TODAY(),"M"))</f>
        <v>1</v>
      </c>
      <c r="M715">
        <f t="shared" ca="1" si="55"/>
        <v>500</v>
      </c>
      <c r="N715">
        <f t="shared" si="56"/>
        <v>3</v>
      </c>
      <c r="O715">
        <f t="shared" ca="1" si="57"/>
        <v>1</v>
      </c>
      <c r="P715">
        <f t="shared" si="58"/>
        <v>500</v>
      </c>
      <c r="Q715" t="str">
        <f t="shared" si="59"/>
        <v>2024-09</v>
      </c>
    </row>
    <row r="716" spans="1:17" ht="15" customHeight="1" x14ac:dyDescent="0.25">
      <c r="A716">
        <f>'Customers Raw data'!A716</f>
        <v>1715</v>
      </c>
      <c r="B716" t="str">
        <f>'Customers Raw data'!B716</f>
        <v>2024-06-07</v>
      </c>
      <c r="C716" t="str">
        <f>'Customers Raw data'!C716</f>
        <v>Enterprise</v>
      </c>
      <c r="D716">
        <f>'Customers Raw data'!D716</f>
        <v>500</v>
      </c>
      <c r="E716">
        <f>'Customers Raw data'!E716</f>
        <v>200</v>
      </c>
      <c r="F716">
        <f>'Customers Raw data'!F716</f>
        <v>0</v>
      </c>
      <c r="G716">
        <f>IF('Customers Raw data'!F716&lt;&gt;"",1,0)</f>
        <v>0</v>
      </c>
      <c r="H716" t="str">
        <f>IF('Customers Raw data'!F716&lt;&gt;"",YEAR(DATEVALUE('Customers Raw data'!F716)),"")</f>
        <v/>
      </c>
      <c r="I716" t="str">
        <f>IF('Customers Raw data'!F716&lt;&gt;"",MONTH(DATEVALUE('Customers Raw data'!F716)),"")</f>
        <v/>
      </c>
      <c r="J716">
        <f>YEAR(DATEVALUE('Customers Raw data'!B716))</f>
        <v>2024</v>
      </c>
      <c r="K716">
        <f>MONTH(DATEVALUE('Customers Raw data'!B716))</f>
        <v>6</v>
      </c>
      <c r="L716">
        <f ca="1">IF('Customers Raw data'!F716&lt;&gt;"",DATEDIF(DATEVALUE('Customers Raw data'!B716),DATEVALUE('Customers Raw data'!F716),"M"),DATEDIF(DATEVALUE('Customers Raw data'!B716),TODAY(),"M"))</f>
        <v>22</v>
      </c>
      <c r="M716">
        <f t="shared" ca="1" si="55"/>
        <v>11000</v>
      </c>
      <c r="N716">
        <f t="shared" si="56"/>
        <v>3</v>
      </c>
      <c r="O716">
        <f t="shared" ca="1" si="57"/>
        <v>0</v>
      </c>
      <c r="P716">
        <f t="shared" si="58"/>
        <v>0</v>
      </c>
      <c r="Q716" t="e">
        <f t="shared" si="59"/>
        <v>#VALUE!</v>
      </c>
    </row>
    <row r="717" spans="1:17" ht="15" customHeight="1" x14ac:dyDescent="0.25">
      <c r="A717">
        <f>'Customers Raw data'!A717</f>
        <v>1716</v>
      </c>
      <c r="B717" t="str">
        <f>'Customers Raw data'!B717</f>
        <v>2024-07-31</v>
      </c>
      <c r="C717" t="str">
        <f>'Customers Raw data'!C717</f>
        <v>Basic</v>
      </c>
      <c r="D717">
        <f>'Customers Raw data'!D717</f>
        <v>50</v>
      </c>
      <c r="E717">
        <f>'Customers Raw data'!E717</f>
        <v>30</v>
      </c>
      <c r="F717">
        <f>'Customers Raw data'!F717</f>
        <v>0</v>
      </c>
      <c r="G717">
        <f>IF('Customers Raw data'!F717&lt;&gt;"",1,0)</f>
        <v>0</v>
      </c>
      <c r="H717" t="str">
        <f>IF('Customers Raw data'!F717&lt;&gt;"",YEAR(DATEVALUE('Customers Raw data'!F717)),"")</f>
        <v/>
      </c>
      <c r="I717" t="str">
        <f>IF('Customers Raw data'!F717&lt;&gt;"",MONTH(DATEVALUE('Customers Raw data'!F717)),"")</f>
        <v/>
      </c>
      <c r="J717">
        <f>YEAR(DATEVALUE('Customers Raw data'!B717))</f>
        <v>2024</v>
      </c>
      <c r="K717">
        <f>MONTH(DATEVALUE('Customers Raw data'!B717))</f>
        <v>7</v>
      </c>
      <c r="L717">
        <f ca="1">IF('Customers Raw data'!F717&lt;&gt;"",DATEDIF(DATEVALUE('Customers Raw data'!B717),DATEVALUE('Customers Raw data'!F717),"M"),DATEDIF(DATEVALUE('Customers Raw data'!B717),TODAY(),"M"))</f>
        <v>20</v>
      </c>
      <c r="M717">
        <f t="shared" ca="1" si="55"/>
        <v>1000</v>
      </c>
      <c r="N717">
        <f t="shared" si="56"/>
        <v>1</v>
      </c>
      <c r="O717">
        <f t="shared" ca="1" si="57"/>
        <v>0</v>
      </c>
      <c r="P717">
        <f t="shared" si="58"/>
        <v>0</v>
      </c>
      <c r="Q717" t="e">
        <f t="shared" si="59"/>
        <v>#VALUE!</v>
      </c>
    </row>
    <row r="718" spans="1:17" ht="15" customHeight="1" x14ac:dyDescent="0.25">
      <c r="A718">
        <f>'Customers Raw data'!A718</f>
        <v>1717</v>
      </c>
      <c r="B718" t="str">
        <f>'Customers Raw data'!B718</f>
        <v>2025-06-16</v>
      </c>
      <c r="C718" t="str">
        <f>'Customers Raw data'!C718</f>
        <v>Basic</v>
      </c>
      <c r="D718">
        <f>'Customers Raw data'!D718</f>
        <v>50</v>
      </c>
      <c r="E718">
        <f>'Customers Raw data'!E718</f>
        <v>30</v>
      </c>
      <c r="F718" t="str">
        <f>'Customers Raw data'!F718</f>
        <v>2025-06-30</v>
      </c>
      <c r="G718">
        <f>IF('Customers Raw data'!F718&lt;&gt;"",1,0)</f>
        <v>1</v>
      </c>
      <c r="H718">
        <f>IF('Customers Raw data'!F718&lt;&gt;"",YEAR(DATEVALUE('Customers Raw data'!F718)),"")</f>
        <v>2025</v>
      </c>
      <c r="I718">
        <f>IF('Customers Raw data'!F718&lt;&gt;"",MONTH(DATEVALUE('Customers Raw data'!F718)),"")</f>
        <v>6</v>
      </c>
      <c r="J718">
        <f>YEAR(DATEVALUE('Customers Raw data'!B718))</f>
        <v>2025</v>
      </c>
      <c r="K718">
        <f>MONTH(DATEVALUE('Customers Raw data'!B718))</f>
        <v>6</v>
      </c>
      <c r="L718">
        <f ca="1">IF('Customers Raw data'!F718&lt;&gt;"",DATEDIF(DATEVALUE('Customers Raw data'!B718),DATEVALUE('Customers Raw data'!F718),"M"),DATEDIF(DATEVALUE('Customers Raw data'!B718),TODAY(),"M"))</f>
        <v>0</v>
      </c>
      <c r="M718">
        <f t="shared" ca="1" si="55"/>
        <v>0</v>
      </c>
      <c r="N718">
        <f t="shared" si="56"/>
        <v>1</v>
      </c>
      <c r="O718">
        <f t="shared" ca="1" si="57"/>
        <v>1</v>
      </c>
      <c r="P718">
        <f t="shared" si="58"/>
        <v>50</v>
      </c>
      <c r="Q718" t="str">
        <f t="shared" si="59"/>
        <v>2025-06</v>
      </c>
    </row>
    <row r="719" spans="1:17" ht="15" customHeight="1" x14ac:dyDescent="0.25">
      <c r="A719">
        <f>'Customers Raw data'!A719</f>
        <v>1718</v>
      </c>
      <c r="B719" t="str">
        <f>'Customers Raw data'!B719</f>
        <v>2025-02-16</v>
      </c>
      <c r="C719" t="str">
        <f>'Customers Raw data'!C719</f>
        <v>Basic</v>
      </c>
      <c r="D719">
        <f>'Customers Raw data'!D719</f>
        <v>50</v>
      </c>
      <c r="E719">
        <f>'Customers Raw data'!E719</f>
        <v>30</v>
      </c>
      <c r="F719">
        <f>'Customers Raw data'!F719</f>
        <v>0</v>
      </c>
      <c r="G719">
        <f>IF('Customers Raw data'!F719&lt;&gt;"",1,0)</f>
        <v>0</v>
      </c>
      <c r="H719" t="str">
        <f>IF('Customers Raw data'!F719&lt;&gt;"",YEAR(DATEVALUE('Customers Raw data'!F719)),"")</f>
        <v/>
      </c>
      <c r="I719" t="str">
        <f>IF('Customers Raw data'!F719&lt;&gt;"",MONTH(DATEVALUE('Customers Raw data'!F719)),"")</f>
        <v/>
      </c>
      <c r="J719">
        <f>YEAR(DATEVALUE('Customers Raw data'!B719))</f>
        <v>2025</v>
      </c>
      <c r="K719">
        <f>MONTH(DATEVALUE('Customers Raw data'!B719))</f>
        <v>2</v>
      </c>
      <c r="L719">
        <f ca="1">IF('Customers Raw data'!F719&lt;&gt;"",DATEDIF(DATEVALUE('Customers Raw data'!B719),DATEVALUE('Customers Raw data'!F719),"M"),DATEDIF(DATEVALUE('Customers Raw data'!B719),TODAY(),"M"))</f>
        <v>13</v>
      </c>
      <c r="M719">
        <f t="shared" ca="1" si="55"/>
        <v>650</v>
      </c>
      <c r="N719">
        <f t="shared" si="56"/>
        <v>1</v>
      </c>
      <c r="O719">
        <f t="shared" ca="1" si="57"/>
        <v>0</v>
      </c>
      <c r="P719">
        <f t="shared" si="58"/>
        <v>0</v>
      </c>
      <c r="Q719" t="e">
        <f t="shared" si="59"/>
        <v>#VALUE!</v>
      </c>
    </row>
    <row r="720" spans="1:17" ht="15" customHeight="1" x14ac:dyDescent="0.25">
      <c r="A720">
        <f>'Customers Raw data'!A720</f>
        <v>1719</v>
      </c>
      <c r="B720" t="str">
        <f>'Customers Raw data'!B720</f>
        <v>2025-01-31</v>
      </c>
      <c r="C720" t="str">
        <f>'Customers Raw data'!C720</f>
        <v>Pro</v>
      </c>
      <c r="D720">
        <f>'Customers Raw data'!D720</f>
        <v>200</v>
      </c>
      <c r="E720">
        <f>'Customers Raw data'!E720</f>
        <v>100</v>
      </c>
      <c r="F720">
        <f>'Customers Raw data'!F720</f>
        <v>0</v>
      </c>
      <c r="G720">
        <f>IF('Customers Raw data'!F720&lt;&gt;"",1,0)</f>
        <v>0</v>
      </c>
      <c r="H720" t="str">
        <f>IF('Customers Raw data'!F720&lt;&gt;"",YEAR(DATEVALUE('Customers Raw data'!F720)),"")</f>
        <v/>
      </c>
      <c r="I720" t="str">
        <f>IF('Customers Raw data'!F720&lt;&gt;"",MONTH(DATEVALUE('Customers Raw data'!F720)),"")</f>
        <v/>
      </c>
      <c r="J720">
        <f>YEAR(DATEVALUE('Customers Raw data'!B720))</f>
        <v>2025</v>
      </c>
      <c r="K720">
        <f>MONTH(DATEVALUE('Customers Raw data'!B720))</f>
        <v>1</v>
      </c>
      <c r="L720">
        <f ca="1">IF('Customers Raw data'!F720&lt;&gt;"",DATEDIF(DATEVALUE('Customers Raw data'!B720),DATEVALUE('Customers Raw data'!F720),"M"),DATEDIF(DATEVALUE('Customers Raw data'!B720),TODAY(),"M"))</f>
        <v>14</v>
      </c>
      <c r="M720">
        <f t="shared" ca="1" si="55"/>
        <v>2800</v>
      </c>
      <c r="N720">
        <f t="shared" si="56"/>
        <v>2</v>
      </c>
      <c r="O720">
        <f t="shared" ca="1" si="57"/>
        <v>0</v>
      </c>
      <c r="P720">
        <f t="shared" si="58"/>
        <v>0</v>
      </c>
      <c r="Q720" t="e">
        <f t="shared" si="59"/>
        <v>#VALUE!</v>
      </c>
    </row>
    <row r="721" spans="1:17" ht="15" customHeight="1" x14ac:dyDescent="0.25">
      <c r="A721">
        <f>'Customers Raw data'!A721</f>
        <v>1720</v>
      </c>
      <c r="B721" t="str">
        <f>'Customers Raw data'!B721</f>
        <v>2024-11-30</v>
      </c>
      <c r="C721" t="str">
        <f>'Customers Raw data'!C721</f>
        <v>Basic</v>
      </c>
      <c r="D721">
        <f>'Customers Raw data'!D721</f>
        <v>50</v>
      </c>
      <c r="E721">
        <f>'Customers Raw data'!E721</f>
        <v>30</v>
      </c>
      <c r="F721">
        <f>'Customers Raw data'!F721</f>
        <v>0</v>
      </c>
      <c r="G721">
        <f>IF('Customers Raw data'!F721&lt;&gt;"",1,0)</f>
        <v>0</v>
      </c>
      <c r="H721" t="str">
        <f>IF('Customers Raw data'!F721&lt;&gt;"",YEAR(DATEVALUE('Customers Raw data'!F721)),"")</f>
        <v/>
      </c>
      <c r="I721" t="str">
        <f>IF('Customers Raw data'!F721&lt;&gt;"",MONTH(DATEVALUE('Customers Raw data'!F721)),"")</f>
        <v/>
      </c>
      <c r="J721">
        <f>YEAR(DATEVALUE('Customers Raw data'!B721))</f>
        <v>2024</v>
      </c>
      <c r="K721">
        <f>MONTH(DATEVALUE('Customers Raw data'!B721))</f>
        <v>11</v>
      </c>
      <c r="L721">
        <f ca="1">IF('Customers Raw data'!F721&lt;&gt;"",DATEDIF(DATEVALUE('Customers Raw data'!B721),DATEVALUE('Customers Raw data'!F721),"M"),DATEDIF(DATEVALUE('Customers Raw data'!B721),TODAY(),"M"))</f>
        <v>16</v>
      </c>
      <c r="M721">
        <f t="shared" ca="1" si="55"/>
        <v>800</v>
      </c>
      <c r="N721">
        <f t="shared" si="56"/>
        <v>1</v>
      </c>
      <c r="O721">
        <f t="shared" ca="1" si="57"/>
        <v>0</v>
      </c>
      <c r="P721">
        <f t="shared" si="58"/>
        <v>0</v>
      </c>
      <c r="Q721" t="e">
        <f t="shared" si="59"/>
        <v>#VALUE!</v>
      </c>
    </row>
    <row r="722" spans="1:17" ht="15" customHeight="1" x14ac:dyDescent="0.25">
      <c r="A722">
        <f>'Customers Raw data'!A722</f>
        <v>1721</v>
      </c>
      <c r="B722" t="str">
        <f>'Customers Raw data'!B722</f>
        <v>2024-10-28</v>
      </c>
      <c r="C722" t="str">
        <f>'Customers Raw data'!C722</f>
        <v>Basic</v>
      </c>
      <c r="D722">
        <f>'Customers Raw data'!D722</f>
        <v>50</v>
      </c>
      <c r="E722">
        <f>'Customers Raw data'!E722</f>
        <v>30</v>
      </c>
      <c r="F722" t="str">
        <f>'Customers Raw data'!F722</f>
        <v>2025-04-03</v>
      </c>
      <c r="G722">
        <f>IF('Customers Raw data'!F722&lt;&gt;"",1,0)</f>
        <v>1</v>
      </c>
      <c r="H722">
        <f>IF('Customers Raw data'!F722&lt;&gt;"",YEAR(DATEVALUE('Customers Raw data'!F722)),"")</f>
        <v>2025</v>
      </c>
      <c r="I722">
        <f>IF('Customers Raw data'!F722&lt;&gt;"",MONTH(DATEVALUE('Customers Raw data'!F722)),"")</f>
        <v>4</v>
      </c>
      <c r="J722">
        <f>YEAR(DATEVALUE('Customers Raw data'!B722))</f>
        <v>2024</v>
      </c>
      <c r="K722">
        <f>MONTH(DATEVALUE('Customers Raw data'!B722))</f>
        <v>10</v>
      </c>
      <c r="L722">
        <f ca="1">IF('Customers Raw data'!F722&lt;&gt;"",DATEDIF(DATEVALUE('Customers Raw data'!B722),DATEVALUE('Customers Raw data'!F722),"M"),DATEDIF(DATEVALUE('Customers Raw data'!B722),TODAY(),"M"))</f>
        <v>5</v>
      </c>
      <c r="M722">
        <f t="shared" ca="1" si="55"/>
        <v>250</v>
      </c>
      <c r="N722">
        <f t="shared" si="56"/>
        <v>1</v>
      </c>
      <c r="O722">
        <f t="shared" ca="1" si="57"/>
        <v>1</v>
      </c>
      <c r="P722">
        <f t="shared" si="58"/>
        <v>50</v>
      </c>
      <c r="Q722" t="str">
        <f t="shared" si="59"/>
        <v>2025-04</v>
      </c>
    </row>
    <row r="723" spans="1:17" ht="15" customHeight="1" x14ac:dyDescent="0.25">
      <c r="A723">
        <f>'Customers Raw data'!A723</f>
        <v>1722</v>
      </c>
      <c r="B723" t="str">
        <f>'Customers Raw data'!B723</f>
        <v>2024-08-15</v>
      </c>
      <c r="C723" t="str">
        <f>'Customers Raw data'!C723</f>
        <v>Enterprise</v>
      </c>
      <c r="D723">
        <f>'Customers Raw data'!D723</f>
        <v>500</v>
      </c>
      <c r="E723">
        <f>'Customers Raw data'!E723</f>
        <v>200</v>
      </c>
      <c r="F723">
        <f>'Customers Raw data'!F723</f>
        <v>0</v>
      </c>
      <c r="G723">
        <f>IF('Customers Raw data'!F723&lt;&gt;"",1,0)</f>
        <v>0</v>
      </c>
      <c r="H723" t="str">
        <f>IF('Customers Raw data'!F723&lt;&gt;"",YEAR(DATEVALUE('Customers Raw data'!F723)),"")</f>
        <v/>
      </c>
      <c r="I723" t="str">
        <f>IF('Customers Raw data'!F723&lt;&gt;"",MONTH(DATEVALUE('Customers Raw data'!F723)),"")</f>
        <v/>
      </c>
      <c r="J723">
        <f>YEAR(DATEVALUE('Customers Raw data'!B723))</f>
        <v>2024</v>
      </c>
      <c r="K723">
        <f>MONTH(DATEVALUE('Customers Raw data'!B723))</f>
        <v>8</v>
      </c>
      <c r="L723">
        <f ca="1">IF('Customers Raw data'!F723&lt;&gt;"",DATEDIF(DATEVALUE('Customers Raw data'!B723),DATEVALUE('Customers Raw data'!F723),"M"),DATEDIF(DATEVALUE('Customers Raw data'!B723),TODAY(),"M"))</f>
        <v>19</v>
      </c>
      <c r="M723">
        <f t="shared" ca="1" si="55"/>
        <v>9500</v>
      </c>
      <c r="N723">
        <f t="shared" si="56"/>
        <v>3</v>
      </c>
      <c r="O723">
        <f t="shared" ca="1" si="57"/>
        <v>0</v>
      </c>
      <c r="P723">
        <f t="shared" si="58"/>
        <v>0</v>
      </c>
      <c r="Q723" t="e">
        <f t="shared" si="59"/>
        <v>#VALUE!</v>
      </c>
    </row>
    <row r="724" spans="1:17" ht="15" customHeight="1" x14ac:dyDescent="0.25">
      <c r="A724">
        <f>'Customers Raw data'!A724</f>
        <v>1723</v>
      </c>
      <c r="B724" t="str">
        <f>'Customers Raw data'!B724</f>
        <v>2024-01-03</v>
      </c>
      <c r="C724" t="str">
        <f>'Customers Raw data'!C724</f>
        <v>Enterprise</v>
      </c>
      <c r="D724">
        <f>'Customers Raw data'!D724</f>
        <v>500</v>
      </c>
      <c r="E724">
        <f>'Customers Raw data'!E724</f>
        <v>200</v>
      </c>
      <c r="F724">
        <f>'Customers Raw data'!F724</f>
        <v>0</v>
      </c>
      <c r="G724">
        <f>IF('Customers Raw data'!F724&lt;&gt;"",1,0)</f>
        <v>0</v>
      </c>
      <c r="H724" t="str">
        <f>IF('Customers Raw data'!F724&lt;&gt;"",YEAR(DATEVALUE('Customers Raw data'!F724)),"")</f>
        <v/>
      </c>
      <c r="I724" t="str">
        <f>IF('Customers Raw data'!F724&lt;&gt;"",MONTH(DATEVALUE('Customers Raw data'!F724)),"")</f>
        <v/>
      </c>
      <c r="J724">
        <f>YEAR(DATEVALUE('Customers Raw data'!B724))</f>
        <v>2024</v>
      </c>
      <c r="K724">
        <f>MONTH(DATEVALUE('Customers Raw data'!B724))</f>
        <v>1</v>
      </c>
      <c r="L724">
        <f ca="1">IF('Customers Raw data'!F724&lt;&gt;"",DATEDIF(DATEVALUE('Customers Raw data'!B724),DATEVALUE('Customers Raw data'!F724),"M"),DATEDIF(DATEVALUE('Customers Raw data'!B724),TODAY(),"M"))</f>
        <v>27</v>
      </c>
      <c r="M724">
        <f t="shared" ca="1" si="55"/>
        <v>13500</v>
      </c>
      <c r="N724">
        <f t="shared" si="56"/>
        <v>3</v>
      </c>
      <c r="O724">
        <f t="shared" ca="1" si="57"/>
        <v>0</v>
      </c>
      <c r="P724">
        <f t="shared" si="58"/>
        <v>0</v>
      </c>
      <c r="Q724" t="e">
        <f t="shared" si="59"/>
        <v>#VALUE!</v>
      </c>
    </row>
    <row r="725" spans="1:17" ht="15" customHeight="1" x14ac:dyDescent="0.25">
      <c r="A725">
        <f>'Customers Raw data'!A725</f>
        <v>1724</v>
      </c>
      <c r="B725" t="str">
        <f>'Customers Raw data'!B725</f>
        <v>2024-11-20</v>
      </c>
      <c r="C725" t="str">
        <f>'Customers Raw data'!C725</f>
        <v>Enterprise</v>
      </c>
      <c r="D725">
        <f>'Customers Raw data'!D725</f>
        <v>500</v>
      </c>
      <c r="E725">
        <f>'Customers Raw data'!E725</f>
        <v>200</v>
      </c>
      <c r="F725" t="str">
        <f>'Customers Raw data'!F725</f>
        <v>2025-04-02</v>
      </c>
      <c r="G725">
        <f>IF('Customers Raw data'!F725&lt;&gt;"",1,0)</f>
        <v>1</v>
      </c>
      <c r="H725">
        <f>IF('Customers Raw data'!F725&lt;&gt;"",YEAR(DATEVALUE('Customers Raw data'!F725)),"")</f>
        <v>2025</v>
      </c>
      <c r="I725">
        <f>IF('Customers Raw data'!F725&lt;&gt;"",MONTH(DATEVALUE('Customers Raw data'!F725)),"")</f>
        <v>4</v>
      </c>
      <c r="J725">
        <f>YEAR(DATEVALUE('Customers Raw data'!B725))</f>
        <v>2024</v>
      </c>
      <c r="K725">
        <f>MONTH(DATEVALUE('Customers Raw data'!B725))</f>
        <v>11</v>
      </c>
      <c r="L725">
        <f ca="1">IF('Customers Raw data'!F725&lt;&gt;"",DATEDIF(DATEVALUE('Customers Raw data'!B725),DATEVALUE('Customers Raw data'!F725),"M"),DATEDIF(DATEVALUE('Customers Raw data'!B725),TODAY(),"M"))</f>
        <v>4</v>
      </c>
      <c r="M725">
        <f t="shared" ca="1" si="55"/>
        <v>2000</v>
      </c>
      <c r="N725">
        <f t="shared" si="56"/>
        <v>3</v>
      </c>
      <c r="O725">
        <f t="shared" ca="1" si="57"/>
        <v>1</v>
      </c>
      <c r="P725">
        <f t="shared" si="58"/>
        <v>500</v>
      </c>
      <c r="Q725" t="str">
        <f t="shared" si="59"/>
        <v>2025-04</v>
      </c>
    </row>
    <row r="726" spans="1:17" ht="15" customHeight="1" x14ac:dyDescent="0.25">
      <c r="A726">
        <f>'Customers Raw data'!A726</f>
        <v>1725</v>
      </c>
      <c r="B726" t="str">
        <f>'Customers Raw data'!B726</f>
        <v>2025-06-29</v>
      </c>
      <c r="C726" t="str">
        <f>'Customers Raw data'!C726</f>
        <v>Enterprise</v>
      </c>
      <c r="D726">
        <f>'Customers Raw data'!D726</f>
        <v>500</v>
      </c>
      <c r="E726">
        <f>'Customers Raw data'!E726</f>
        <v>200</v>
      </c>
      <c r="F726">
        <f>'Customers Raw data'!F726</f>
        <v>0</v>
      </c>
      <c r="G726">
        <f>IF('Customers Raw data'!F726&lt;&gt;"",1,0)</f>
        <v>0</v>
      </c>
      <c r="H726" t="str">
        <f>IF('Customers Raw data'!F726&lt;&gt;"",YEAR(DATEVALUE('Customers Raw data'!F726)),"")</f>
        <v/>
      </c>
      <c r="I726" t="str">
        <f>IF('Customers Raw data'!F726&lt;&gt;"",MONTH(DATEVALUE('Customers Raw data'!F726)),"")</f>
        <v/>
      </c>
      <c r="J726">
        <f>YEAR(DATEVALUE('Customers Raw data'!B726))</f>
        <v>2025</v>
      </c>
      <c r="K726">
        <f>MONTH(DATEVALUE('Customers Raw data'!B726))</f>
        <v>6</v>
      </c>
      <c r="L726">
        <f ca="1">IF('Customers Raw data'!F726&lt;&gt;"",DATEDIF(DATEVALUE('Customers Raw data'!B726),DATEVALUE('Customers Raw data'!F726),"M"),DATEDIF(DATEVALUE('Customers Raw data'!B726),TODAY(),"M"))</f>
        <v>9</v>
      </c>
      <c r="M726">
        <f t="shared" ca="1" si="55"/>
        <v>4500</v>
      </c>
      <c r="N726">
        <f t="shared" si="56"/>
        <v>3</v>
      </c>
      <c r="O726">
        <f t="shared" ca="1" si="57"/>
        <v>0</v>
      </c>
      <c r="P726">
        <f t="shared" si="58"/>
        <v>0</v>
      </c>
      <c r="Q726" t="e">
        <f t="shared" si="59"/>
        <v>#VALUE!</v>
      </c>
    </row>
    <row r="727" spans="1:17" ht="15" customHeight="1" x14ac:dyDescent="0.25">
      <c r="A727">
        <f>'Customers Raw data'!A727</f>
        <v>1726</v>
      </c>
      <c r="B727" t="str">
        <f>'Customers Raw data'!B727</f>
        <v>2025-03-01</v>
      </c>
      <c r="C727" t="str">
        <f>'Customers Raw data'!C727</f>
        <v>Basic</v>
      </c>
      <c r="D727">
        <f>'Customers Raw data'!D727</f>
        <v>50</v>
      </c>
      <c r="E727">
        <f>'Customers Raw data'!E727</f>
        <v>30</v>
      </c>
      <c r="F727" t="str">
        <f>'Customers Raw data'!F727</f>
        <v>2025-04-30</v>
      </c>
      <c r="G727">
        <f>IF('Customers Raw data'!F727&lt;&gt;"",1,0)</f>
        <v>1</v>
      </c>
      <c r="H727">
        <f>IF('Customers Raw data'!F727&lt;&gt;"",YEAR(DATEVALUE('Customers Raw data'!F727)),"")</f>
        <v>2025</v>
      </c>
      <c r="I727">
        <f>IF('Customers Raw data'!F727&lt;&gt;"",MONTH(DATEVALUE('Customers Raw data'!F727)),"")</f>
        <v>4</v>
      </c>
      <c r="J727">
        <f>YEAR(DATEVALUE('Customers Raw data'!B727))</f>
        <v>2025</v>
      </c>
      <c r="K727">
        <f>MONTH(DATEVALUE('Customers Raw data'!B727))</f>
        <v>3</v>
      </c>
      <c r="L727">
        <f ca="1">IF('Customers Raw data'!F727&lt;&gt;"",DATEDIF(DATEVALUE('Customers Raw data'!B727),DATEVALUE('Customers Raw data'!F727),"M"),DATEDIF(DATEVALUE('Customers Raw data'!B727),TODAY(),"M"))</f>
        <v>1</v>
      </c>
      <c r="M727">
        <f t="shared" ca="1" si="55"/>
        <v>50</v>
      </c>
      <c r="N727">
        <f t="shared" si="56"/>
        <v>1</v>
      </c>
      <c r="O727">
        <f t="shared" ca="1" si="57"/>
        <v>1</v>
      </c>
      <c r="P727">
        <f t="shared" si="58"/>
        <v>50</v>
      </c>
      <c r="Q727" t="str">
        <f t="shared" si="59"/>
        <v>2025-04</v>
      </c>
    </row>
    <row r="728" spans="1:17" ht="15" customHeight="1" x14ac:dyDescent="0.25">
      <c r="A728">
        <f>'Customers Raw data'!A728</f>
        <v>1727</v>
      </c>
      <c r="B728" t="str">
        <f>'Customers Raw data'!B728</f>
        <v>2025-01-18</v>
      </c>
      <c r="C728" t="str">
        <f>'Customers Raw data'!C728</f>
        <v>Pro</v>
      </c>
      <c r="D728">
        <f>'Customers Raw data'!D728</f>
        <v>200</v>
      </c>
      <c r="E728">
        <f>'Customers Raw data'!E728</f>
        <v>100</v>
      </c>
      <c r="F728" t="str">
        <f>'Customers Raw data'!F728</f>
        <v>2025-06-22</v>
      </c>
      <c r="G728">
        <f>IF('Customers Raw data'!F728&lt;&gt;"",1,0)</f>
        <v>1</v>
      </c>
      <c r="H728">
        <f>IF('Customers Raw data'!F728&lt;&gt;"",YEAR(DATEVALUE('Customers Raw data'!F728)),"")</f>
        <v>2025</v>
      </c>
      <c r="I728">
        <f>IF('Customers Raw data'!F728&lt;&gt;"",MONTH(DATEVALUE('Customers Raw data'!F728)),"")</f>
        <v>6</v>
      </c>
      <c r="J728">
        <f>YEAR(DATEVALUE('Customers Raw data'!B728))</f>
        <v>2025</v>
      </c>
      <c r="K728">
        <f>MONTH(DATEVALUE('Customers Raw data'!B728))</f>
        <v>1</v>
      </c>
      <c r="L728">
        <f ca="1">IF('Customers Raw data'!F728&lt;&gt;"",DATEDIF(DATEVALUE('Customers Raw data'!B728),DATEVALUE('Customers Raw data'!F728),"M"),DATEDIF(DATEVALUE('Customers Raw data'!B728),TODAY(),"M"))</f>
        <v>5</v>
      </c>
      <c r="M728">
        <f t="shared" ca="1" si="55"/>
        <v>1000</v>
      </c>
      <c r="N728">
        <f t="shared" si="56"/>
        <v>2</v>
      </c>
      <c r="O728">
        <f t="shared" ca="1" si="57"/>
        <v>1</v>
      </c>
      <c r="P728">
        <f t="shared" si="58"/>
        <v>200</v>
      </c>
      <c r="Q728" t="str">
        <f t="shared" si="59"/>
        <v>2025-06</v>
      </c>
    </row>
    <row r="729" spans="1:17" ht="15" customHeight="1" x14ac:dyDescent="0.25">
      <c r="A729">
        <f>'Customers Raw data'!A729</f>
        <v>1728</v>
      </c>
      <c r="B729" t="str">
        <f>'Customers Raw data'!B729</f>
        <v>2025-06-25</v>
      </c>
      <c r="C729" t="str">
        <f>'Customers Raw data'!C729</f>
        <v>Enterprise</v>
      </c>
      <c r="D729">
        <f>'Customers Raw data'!D729</f>
        <v>500</v>
      </c>
      <c r="E729">
        <f>'Customers Raw data'!E729</f>
        <v>200</v>
      </c>
      <c r="F729">
        <f>'Customers Raw data'!F729</f>
        <v>0</v>
      </c>
      <c r="G729">
        <f>IF('Customers Raw data'!F729&lt;&gt;"",1,0)</f>
        <v>0</v>
      </c>
      <c r="H729" t="str">
        <f>IF('Customers Raw data'!F729&lt;&gt;"",YEAR(DATEVALUE('Customers Raw data'!F729)),"")</f>
        <v/>
      </c>
      <c r="I729" t="str">
        <f>IF('Customers Raw data'!F729&lt;&gt;"",MONTH(DATEVALUE('Customers Raw data'!F729)),"")</f>
        <v/>
      </c>
      <c r="J729">
        <f>YEAR(DATEVALUE('Customers Raw data'!B729))</f>
        <v>2025</v>
      </c>
      <c r="K729">
        <f>MONTH(DATEVALUE('Customers Raw data'!B729))</f>
        <v>6</v>
      </c>
      <c r="L729">
        <f ca="1">IF('Customers Raw data'!F729&lt;&gt;"",DATEDIF(DATEVALUE('Customers Raw data'!B729),DATEVALUE('Customers Raw data'!F729),"M"),DATEDIF(DATEVALUE('Customers Raw data'!B729),TODAY(),"M"))</f>
        <v>9</v>
      </c>
      <c r="M729">
        <f t="shared" ca="1" si="55"/>
        <v>4500</v>
      </c>
      <c r="N729">
        <f t="shared" si="56"/>
        <v>3</v>
      </c>
      <c r="O729">
        <f t="shared" ca="1" si="57"/>
        <v>0</v>
      </c>
      <c r="P729">
        <f t="shared" si="58"/>
        <v>0</v>
      </c>
      <c r="Q729" t="e">
        <f t="shared" si="59"/>
        <v>#VALUE!</v>
      </c>
    </row>
    <row r="730" spans="1:17" ht="15" customHeight="1" x14ac:dyDescent="0.25">
      <c r="A730">
        <f>'Customers Raw data'!A730</f>
        <v>1729</v>
      </c>
      <c r="B730" t="str">
        <f>'Customers Raw data'!B730</f>
        <v>2025-05-08</v>
      </c>
      <c r="C730" t="str">
        <f>'Customers Raw data'!C730</f>
        <v>Enterprise</v>
      </c>
      <c r="D730">
        <f>'Customers Raw data'!D730</f>
        <v>500</v>
      </c>
      <c r="E730">
        <f>'Customers Raw data'!E730</f>
        <v>200</v>
      </c>
      <c r="F730">
        <f>'Customers Raw data'!F730</f>
        <v>0</v>
      </c>
      <c r="G730">
        <f>IF('Customers Raw data'!F730&lt;&gt;"",1,0)</f>
        <v>0</v>
      </c>
      <c r="H730" t="str">
        <f>IF('Customers Raw data'!F730&lt;&gt;"",YEAR(DATEVALUE('Customers Raw data'!F730)),"")</f>
        <v/>
      </c>
      <c r="I730" t="str">
        <f>IF('Customers Raw data'!F730&lt;&gt;"",MONTH(DATEVALUE('Customers Raw data'!F730)),"")</f>
        <v/>
      </c>
      <c r="J730">
        <f>YEAR(DATEVALUE('Customers Raw data'!B730))</f>
        <v>2025</v>
      </c>
      <c r="K730">
        <f>MONTH(DATEVALUE('Customers Raw data'!B730))</f>
        <v>5</v>
      </c>
      <c r="L730">
        <f ca="1">IF('Customers Raw data'!F730&lt;&gt;"",DATEDIF(DATEVALUE('Customers Raw data'!B730),DATEVALUE('Customers Raw data'!F730),"M"),DATEDIF(DATEVALUE('Customers Raw data'!B730),TODAY(),"M"))</f>
        <v>10</v>
      </c>
      <c r="M730">
        <f t="shared" ca="1" si="55"/>
        <v>5000</v>
      </c>
      <c r="N730">
        <f t="shared" si="56"/>
        <v>3</v>
      </c>
      <c r="O730">
        <f t="shared" ca="1" si="57"/>
        <v>0</v>
      </c>
      <c r="P730">
        <f t="shared" si="58"/>
        <v>0</v>
      </c>
      <c r="Q730" t="e">
        <f t="shared" si="59"/>
        <v>#VALUE!</v>
      </c>
    </row>
    <row r="731" spans="1:17" ht="15" customHeight="1" x14ac:dyDescent="0.25">
      <c r="A731">
        <f>'Customers Raw data'!A731</f>
        <v>1730</v>
      </c>
      <c r="B731" t="str">
        <f>'Customers Raw data'!B731</f>
        <v>2024-07-15</v>
      </c>
      <c r="C731" t="str">
        <f>'Customers Raw data'!C731</f>
        <v>Enterprise</v>
      </c>
      <c r="D731">
        <f>'Customers Raw data'!D731</f>
        <v>500</v>
      </c>
      <c r="E731">
        <f>'Customers Raw data'!E731</f>
        <v>200</v>
      </c>
      <c r="F731">
        <f>'Customers Raw data'!F731</f>
        <v>0</v>
      </c>
      <c r="G731">
        <f>IF('Customers Raw data'!F731&lt;&gt;"",1,0)</f>
        <v>0</v>
      </c>
      <c r="H731" t="str">
        <f>IF('Customers Raw data'!F731&lt;&gt;"",YEAR(DATEVALUE('Customers Raw data'!F731)),"")</f>
        <v/>
      </c>
      <c r="I731" t="str">
        <f>IF('Customers Raw data'!F731&lt;&gt;"",MONTH(DATEVALUE('Customers Raw data'!F731)),"")</f>
        <v/>
      </c>
      <c r="J731">
        <f>YEAR(DATEVALUE('Customers Raw data'!B731))</f>
        <v>2024</v>
      </c>
      <c r="K731">
        <f>MONTH(DATEVALUE('Customers Raw data'!B731))</f>
        <v>7</v>
      </c>
      <c r="L731">
        <f ca="1">IF('Customers Raw data'!F731&lt;&gt;"",DATEDIF(DATEVALUE('Customers Raw data'!B731),DATEVALUE('Customers Raw data'!F731),"M"),DATEDIF(DATEVALUE('Customers Raw data'!B731),TODAY(),"M"))</f>
        <v>20</v>
      </c>
      <c r="M731">
        <f t="shared" ca="1" si="55"/>
        <v>10000</v>
      </c>
      <c r="N731">
        <f t="shared" si="56"/>
        <v>3</v>
      </c>
      <c r="O731">
        <f t="shared" ca="1" si="57"/>
        <v>0</v>
      </c>
      <c r="P731">
        <f t="shared" si="58"/>
        <v>0</v>
      </c>
      <c r="Q731" t="e">
        <f t="shared" si="59"/>
        <v>#VALUE!</v>
      </c>
    </row>
    <row r="732" spans="1:17" ht="15" customHeight="1" x14ac:dyDescent="0.25">
      <c r="A732">
        <f>'Customers Raw data'!A732</f>
        <v>1731</v>
      </c>
      <c r="B732" t="str">
        <f>'Customers Raw data'!B732</f>
        <v>2024-03-05</v>
      </c>
      <c r="C732" t="str">
        <f>'Customers Raw data'!C732</f>
        <v>Enterprise</v>
      </c>
      <c r="D732">
        <f>'Customers Raw data'!D732</f>
        <v>500</v>
      </c>
      <c r="E732">
        <f>'Customers Raw data'!E732</f>
        <v>200</v>
      </c>
      <c r="F732">
        <f>'Customers Raw data'!F732</f>
        <v>0</v>
      </c>
      <c r="G732">
        <f>IF('Customers Raw data'!F732&lt;&gt;"",1,0)</f>
        <v>0</v>
      </c>
      <c r="H732" t="str">
        <f>IF('Customers Raw data'!F732&lt;&gt;"",YEAR(DATEVALUE('Customers Raw data'!F732)),"")</f>
        <v/>
      </c>
      <c r="I732" t="str">
        <f>IF('Customers Raw data'!F732&lt;&gt;"",MONTH(DATEVALUE('Customers Raw data'!F732)),"")</f>
        <v/>
      </c>
      <c r="J732">
        <f>YEAR(DATEVALUE('Customers Raw data'!B732))</f>
        <v>2024</v>
      </c>
      <c r="K732">
        <f>MONTH(DATEVALUE('Customers Raw data'!B732))</f>
        <v>3</v>
      </c>
      <c r="L732">
        <f ca="1">IF('Customers Raw data'!F732&lt;&gt;"",DATEDIF(DATEVALUE('Customers Raw data'!B732),DATEVALUE('Customers Raw data'!F732),"M"),DATEDIF(DATEVALUE('Customers Raw data'!B732),TODAY(),"M"))</f>
        <v>25</v>
      </c>
      <c r="M732">
        <f t="shared" ca="1" si="55"/>
        <v>12500</v>
      </c>
      <c r="N732">
        <f t="shared" si="56"/>
        <v>3</v>
      </c>
      <c r="O732">
        <f t="shared" ca="1" si="57"/>
        <v>0</v>
      </c>
      <c r="P732">
        <f t="shared" si="58"/>
        <v>0</v>
      </c>
      <c r="Q732" t="e">
        <f t="shared" si="59"/>
        <v>#VALUE!</v>
      </c>
    </row>
    <row r="733" spans="1:17" ht="15" customHeight="1" x14ac:dyDescent="0.25">
      <c r="A733">
        <f>'Customers Raw data'!A733</f>
        <v>1732</v>
      </c>
      <c r="B733" t="str">
        <f>'Customers Raw data'!B733</f>
        <v>2025-01-02</v>
      </c>
      <c r="C733" t="str">
        <f>'Customers Raw data'!C733</f>
        <v>Enterprise</v>
      </c>
      <c r="D733">
        <f>'Customers Raw data'!D733</f>
        <v>500</v>
      </c>
      <c r="E733">
        <f>'Customers Raw data'!E733</f>
        <v>200</v>
      </c>
      <c r="F733">
        <f>'Customers Raw data'!F733</f>
        <v>0</v>
      </c>
      <c r="G733">
        <f>IF('Customers Raw data'!F733&lt;&gt;"",1,0)</f>
        <v>0</v>
      </c>
      <c r="H733" t="str">
        <f>IF('Customers Raw data'!F733&lt;&gt;"",YEAR(DATEVALUE('Customers Raw data'!F733)),"")</f>
        <v/>
      </c>
      <c r="I733" t="str">
        <f>IF('Customers Raw data'!F733&lt;&gt;"",MONTH(DATEVALUE('Customers Raw data'!F733)),"")</f>
        <v/>
      </c>
      <c r="J733">
        <f>YEAR(DATEVALUE('Customers Raw data'!B733))</f>
        <v>2025</v>
      </c>
      <c r="K733">
        <f>MONTH(DATEVALUE('Customers Raw data'!B733))</f>
        <v>1</v>
      </c>
      <c r="L733">
        <f ca="1">IF('Customers Raw data'!F733&lt;&gt;"",DATEDIF(DATEVALUE('Customers Raw data'!B733),DATEVALUE('Customers Raw data'!F733),"M"),DATEDIF(DATEVALUE('Customers Raw data'!B733),TODAY(),"M"))</f>
        <v>15</v>
      </c>
      <c r="M733">
        <f t="shared" ca="1" si="55"/>
        <v>7500</v>
      </c>
      <c r="N733">
        <f t="shared" si="56"/>
        <v>3</v>
      </c>
      <c r="O733">
        <f t="shared" ca="1" si="57"/>
        <v>0</v>
      </c>
      <c r="P733">
        <f t="shared" si="58"/>
        <v>0</v>
      </c>
      <c r="Q733" t="e">
        <f t="shared" si="59"/>
        <v>#VALUE!</v>
      </c>
    </row>
    <row r="734" spans="1:17" ht="15" customHeight="1" x14ac:dyDescent="0.25">
      <c r="A734">
        <f>'Customers Raw data'!A734</f>
        <v>1733</v>
      </c>
      <c r="B734" t="str">
        <f>'Customers Raw data'!B734</f>
        <v>2024-03-29</v>
      </c>
      <c r="C734" t="str">
        <f>'Customers Raw data'!C734</f>
        <v>Pro</v>
      </c>
      <c r="D734">
        <f>'Customers Raw data'!D734</f>
        <v>200</v>
      </c>
      <c r="E734">
        <f>'Customers Raw data'!E734</f>
        <v>100</v>
      </c>
      <c r="F734">
        <f>'Customers Raw data'!F734</f>
        <v>0</v>
      </c>
      <c r="G734">
        <f>IF('Customers Raw data'!F734&lt;&gt;"",1,0)</f>
        <v>0</v>
      </c>
      <c r="H734" t="str">
        <f>IF('Customers Raw data'!F734&lt;&gt;"",YEAR(DATEVALUE('Customers Raw data'!F734)),"")</f>
        <v/>
      </c>
      <c r="I734" t="str">
        <f>IF('Customers Raw data'!F734&lt;&gt;"",MONTH(DATEVALUE('Customers Raw data'!F734)),"")</f>
        <v/>
      </c>
      <c r="J734">
        <f>YEAR(DATEVALUE('Customers Raw data'!B734))</f>
        <v>2024</v>
      </c>
      <c r="K734">
        <f>MONTH(DATEVALUE('Customers Raw data'!B734))</f>
        <v>3</v>
      </c>
      <c r="L734">
        <f ca="1">IF('Customers Raw data'!F734&lt;&gt;"",DATEDIF(DATEVALUE('Customers Raw data'!B734),DATEVALUE('Customers Raw data'!F734),"M"),DATEDIF(DATEVALUE('Customers Raw data'!B734),TODAY(),"M"))</f>
        <v>24</v>
      </c>
      <c r="M734">
        <f t="shared" ca="1" si="55"/>
        <v>4800</v>
      </c>
      <c r="N734">
        <f t="shared" si="56"/>
        <v>2</v>
      </c>
      <c r="O734">
        <f t="shared" ca="1" si="57"/>
        <v>0</v>
      </c>
      <c r="P734">
        <f t="shared" si="58"/>
        <v>0</v>
      </c>
      <c r="Q734" t="e">
        <f t="shared" si="59"/>
        <v>#VALUE!</v>
      </c>
    </row>
    <row r="735" spans="1:17" ht="15" customHeight="1" x14ac:dyDescent="0.25">
      <c r="A735">
        <f>'Customers Raw data'!A735</f>
        <v>1734</v>
      </c>
      <c r="B735" t="str">
        <f>'Customers Raw data'!B735</f>
        <v>2024-01-30</v>
      </c>
      <c r="C735" t="str">
        <f>'Customers Raw data'!C735</f>
        <v>Pro</v>
      </c>
      <c r="D735">
        <f>'Customers Raw data'!D735</f>
        <v>200</v>
      </c>
      <c r="E735">
        <f>'Customers Raw data'!E735</f>
        <v>100</v>
      </c>
      <c r="F735">
        <f>'Customers Raw data'!F735</f>
        <v>0</v>
      </c>
      <c r="G735">
        <f>IF('Customers Raw data'!F735&lt;&gt;"",1,0)</f>
        <v>0</v>
      </c>
      <c r="H735" t="str">
        <f>IF('Customers Raw data'!F735&lt;&gt;"",YEAR(DATEVALUE('Customers Raw data'!F735)),"")</f>
        <v/>
      </c>
      <c r="I735" t="str">
        <f>IF('Customers Raw data'!F735&lt;&gt;"",MONTH(DATEVALUE('Customers Raw data'!F735)),"")</f>
        <v/>
      </c>
      <c r="J735">
        <f>YEAR(DATEVALUE('Customers Raw data'!B735))</f>
        <v>2024</v>
      </c>
      <c r="K735">
        <f>MONTH(DATEVALUE('Customers Raw data'!B735))</f>
        <v>1</v>
      </c>
      <c r="L735">
        <f ca="1">IF('Customers Raw data'!F735&lt;&gt;"",DATEDIF(DATEVALUE('Customers Raw data'!B735),DATEVALUE('Customers Raw data'!F735),"M"),DATEDIF(DATEVALUE('Customers Raw data'!B735),TODAY(),"M"))</f>
        <v>26</v>
      </c>
      <c r="M735">
        <f t="shared" ca="1" si="55"/>
        <v>5200</v>
      </c>
      <c r="N735">
        <f t="shared" si="56"/>
        <v>2</v>
      </c>
      <c r="O735">
        <f t="shared" ca="1" si="57"/>
        <v>0</v>
      </c>
      <c r="P735">
        <f t="shared" si="58"/>
        <v>0</v>
      </c>
      <c r="Q735" t="e">
        <f t="shared" si="59"/>
        <v>#VALUE!</v>
      </c>
    </row>
    <row r="736" spans="1:17" ht="15" customHeight="1" x14ac:dyDescent="0.25">
      <c r="A736">
        <f>'Customers Raw data'!A736</f>
        <v>1735</v>
      </c>
      <c r="B736" t="str">
        <f>'Customers Raw data'!B736</f>
        <v>2025-05-05</v>
      </c>
      <c r="C736" t="str">
        <f>'Customers Raw data'!C736</f>
        <v>Basic</v>
      </c>
      <c r="D736">
        <f>'Customers Raw data'!D736</f>
        <v>50</v>
      </c>
      <c r="E736">
        <f>'Customers Raw data'!E736</f>
        <v>30</v>
      </c>
      <c r="F736">
        <f>'Customers Raw data'!F736</f>
        <v>0</v>
      </c>
      <c r="G736">
        <f>IF('Customers Raw data'!F736&lt;&gt;"",1,0)</f>
        <v>0</v>
      </c>
      <c r="H736" t="str">
        <f>IF('Customers Raw data'!F736&lt;&gt;"",YEAR(DATEVALUE('Customers Raw data'!F736)),"")</f>
        <v/>
      </c>
      <c r="I736" t="str">
        <f>IF('Customers Raw data'!F736&lt;&gt;"",MONTH(DATEVALUE('Customers Raw data'!F736)),"")</f>
        <v/>
      </c>
      <c r="J736">
        <f>YEAR(DATEVALUE('Customers Raw data'!B736))</f>
        <v>2025</v>
      </c>
      <c r="K736">
        <f>MONTH(DATEVALUE('Customers Raw data'!B736))</f>
        <v>5</v>
      </c>
      <c r="L736">
        <f ca="1">IF('Customers Raw data'!F736&lt;&gt;"",DATEDIF(DATEVALUE('Customers Raw data'!B736),DATEVALUE('Customers Raw data'!F736),"M"),DATEDIF(DATEVALUE('Customers Raw data'!B736),TODAY(),"M"))</f>
        <v>11</v>
      </c>
      <c r="M736">
        <f t="shared" ca="1" si="55"/>
        <v>550</v>
      </c>
      <c r="N736">
        <f t="shared" si="56"/>
        <v>1</v>
      </c>
      <c r="O736">
        <f t="shared" ca="1" si="57"/>
        <v>0</v>
      </c>
      <c r="P736">
        <f t="shared" si="58"/>
        <v>0</v>
      </c>
      <c r="Q736" t="e">
        <f t="shared" si="59"/>
        <v>#VALUE!</v>
      </c>
    </row>
    <row r="737" spans="1:17" ht="15" customHeight="1" x14ac:dyDescent="0.25">
      <c r="A737">
        <f>'Customers Raw data'!A737</f>
        <v>1736</v>
      </c>
      <c r="B737" t="str">
        <f>'Customers Raw data'!B737</f>
        <v>2024-12-18</v>
      </c>
      <c r="C737" t="str">
        <f>'Customers Raw data'!C737</f>
        <v>Enterprise</v>
      </c>
      <c r="D737">
        <f>'Customers Raw data'!D737</f>
        <v>500</v>
      </c>
      <c r="E737">
        <f>'Customers Raw data'!E737</f>
        <v>200</v>
      </c>
      <c r="F737" t="str">
        <f>'Customers Raw data'!F737</f>
        <v>2025-02-25</v>
      </c>
      <c r="G737">
        <f>IF('Customers Raw data'!F737&lt;&gt;"",1,0)</f>
        <v>1</v>
      </c>
      <c r="H737">
        <f>IF('Customers Raw data'!F737&lt;&gt;"",YEAR(DATEVALUE('Customers Raw data'!F737)),"")</f>
        <v>2025</v>
      </c>
      <c r="I737">
        <f>IF('Customers Raw data'!F737&lt;&gt;"",MONTH(DATEVALUE('Customers Raw data'!F737)),"")</f>
        <v>2</v>
      </c>
      <c r="J737">
        <f>YEAR(DATEVALUE('Customers Raw data'!B737))</f>
        <v>2024</v>
      </c>
      <c r="K737">
        <f>MONTH(DATEVALUE('Customers Raw data'!B737))</f>
        <v>12</v>
      </c>
      <c r="L737">
        <f ca="1">IF('Customers Raw data'!F737&lt;&gt;"",DATEDIF(DATEVALUE('Customers Raw data'!B737),DATEVALUE('Customers Raw data'!F737),"M"),DATEDIF(DATEVALUE('Customers Raw data'!B737),TODAY(),"M"))</f>
        <v>2</v>
      </c>
      <c r="M737">
        <f t="shared" ca="1" si="55"/>
        <v>1000</v>
      </c>
      <c r="N737">
        <f t="shared" si="56"/>
        <v>3</v>
      </c>
      <c r="O737">
        <f t="shared" ca="1" si="57"/>
        <v>1</v>
      </c>
      <c r="P737">
        <f t="shared" si="58"/>
        <v>500</v>
      </c>
      <c r="Q737" t="str">
        <f t="shared" si="59"/>
        <v>2025-02</v>
      </c>
    </row>
    <row r="738" spans="1:17" ht="15" customHeight="1" x14ac:dyDescent="0.25">
      <c r="A738">
        <f>'Customers Raw data'!A738</f>
        <v>1737</v>
      </c>
      <c r="B738" t="str">
        <f>'Customers Raw data'!B738</f>
        <v>2024-06-05</v>
      </c>
      <c r="C738" t="str">
        <f>'Customers Raw data'!C738</f>
        <v>Pro</v>
      </c>
      <c r="D738">
        <f>'Customers Raw data'!D738</f>
        <v>200</v>
      </c>
      <c r="E738">
        <f>'Customers Raw data'!E738</f>
        <v>100</v>
      </c>
      <c r="F738" t="str">
        <f>'Customers Raw data'!F738</f>
        <v>2024-10-09</v>
      </c>
      <c r="G738">
        <f>IF('Customers Raw data'!F738&lt;&gt;"",1,0)</f>
        <v>1</v>
      </c>
      <c r="H738">
        <f>IF('Customers Raw data'!F738&lt;&gt;"",YEAR(DATEVALUE('Customers Raw data'!F738)),"")</f>
        <v>2024</v>
      </c>
      <c r="I738">
        <f>IF('Customers Raw data'!F738&lt;&gt;"",MONTH(DATEVALUE('Customers Raw data'!F738)),"")</f>
        <v>10</v>
      </c>
      <c r="J738">
        <f>YEAR(DATEVALUE('Customers Raw data'!B738))</f>
        <v>2024</v>
      </c>
      <c r="K738">
        <f>MONTH(DATEVALUE('Customers Raw data'!B738))</f>
        <v>6</v>
      </c>
      <c r="L738">
        <f ca="1">IF('Customers Raw data'!F738&lt;&gt;"",DATEDIF(DATEVALUE('Customers Raw data'!B738),DATEVALUE('Customers Raw data'!F738),"M"),DATEDIF(DATEVALUE('Customers Raw data'!B738),TODAY(),"M"))</f>
        <v>4</v>
      </c>
      <c r="M738">
        <f t="shared" ca="1" si="55"/>
        <v>800</v>
      </c>
      <c r="N738">
        <f t="shared" si="56"/>
        <v>2</v>
      </c>
      <c r="O738">
        <f t="shared" ca="1" si="57"/>
        <v>1</v>
      </c>
      <c r="P738">
        <f t="shared" si="58"/>
        <v>200</v>
      </c>
      <c r="Q738" t="str">
        <f t="shared" si="59"/>
        <v>2024-10</v>
      </c>
    </row>
    <row r="739" spans="1:17" ht="15" customHeight="1" x14ac:dyDescent="0.25">
      <c r="A739">
        <f>'Customers Raw data'!A739</f>
        <v>1738</v>
      </c>
      <c r="B739" t="str">
        <f>'Customers Raw data'!B739</f>
        <v>2024-02-22</v>
      </c>
      <c r="C739" t="str">
        <f>'Customers Raw data'!C739</f>
        <v>Pro</v>
      </c>
      <c r="D739">
        <f>'Customers Raw data'!D739</f>
        <v>200</v>
      </c>
      <c r="E739">
        <f>'Customers Raw data'!E739</f>
        <v>100</v>
      </c>
      <c r="F739">
        <f>'Customers Raw data'!F739</f>
        <v>0</v>
      </c>
      <c r="G739">
        <f>IF('Customers Raw data'!F739&lt;&gt;"",1,0)</f>
        <v>0</v>
      </c>
      <c r="H739" t="str">
        <f>IF('Customers Raw data'!F739&lt;&gt;"",YEAR(DATEVALUE('Customers Raw data'!F739)),"")</f>
        <v/>
      </c>
      <c r="I739" t="str">
        <f>IF('Customers Raw data'!F739&lt;&gt;"",MONTH(DATEVALUE('Customers Raw data'!F739)),"")</f>
        <v/>
      </c>
      <c r="J739">
        <f>YEAR(DATEVALUE('Customers Raw data'!B739))</f>
        <v>2024</v>
      </c>
      <c r="K739">
        <f>MONTH(DATEVALUE('Customers Raw data'!B739))</f>
        <v>2</v>
      </c>
      <c r="L739">
        <f ca="1">IF('Customers Raw data'!F739&lt;&gt;"",DATEDIF(DATEVALUE('Customers Raw data'!B739),DATEVALUE('Customers Raw data'!F739),"M"),DATEDIF(DATEVALUE('Customers Raw data'!B739),TODAY(),"M"))</f>
        <v>25</v>
      </c>
      <c r="M739">
        <f t="shared" ca="1" si="55"/>
        <v>5000</v>
      </c>
      <c r="N739">
        <f t="shared" si="56"/>
        <v>2</v>
      </c>
      <c r="O739">
        <f t="shared" ca="1" si="57"/>
        <v>0</v>
      </c>
      <c r="P739">
        <f t="shared" si="58"/>
        <v>0</v>
      </c>
      <c r="Q739" t="e">
        <f t="shared" si="59"/>
        <v>#VALUE!</v>
      </c>
    </row>
    <row r="740" spans="1:17" ht="15" customHeight="1" x14ac:dyDescent="0.25">
      <c r="A740">
        <f>'Customers Raw data'!A740</f>
        <v>1739</v>
      </c>
      <c r="B740" t="str">
        <f>'Customers Raw data'!B740</f>
        <v>2024-08-12</v>
      </c>
      <c r="C740" t="str">
        <f>'Customers Raw data'!C740</f>
        <v>Pro</v>
      </c>
      <c r="D740">
        <f>'Customers Raw data'!D740</f>
        <v>200</v>
      </c>
      <c r="E740">
        <f>'Customers Raw data'!E740</f>
        <v>100</v>
      </c>
      <c r="F740">
        <f>'Customers Raw data'!F740</f>
        <v>0</v>
      </c>
      <c r="G740">
        <f>IF('Customers Raw data'!F740&lt;&gt;"",1,0)</f>
        <v>0</v>
      </c>
      <c r="H740" t="str">
        <f>IF('Customers Raw data'!F740&lt;&gt;"",YEAR(DATEVALUE('Customers Raw data'!F740)),"")</f>
        <v/>
      </c>
      <c r="I740" t="str">
        <f>IF('Customers Raw data'!F740&lt;&gt;"",MONTH(DATEVALUE('Customers Raw data'!F740)),"")</f>
        <v/>
      </c>
      <c r="J740">
        <f>YEAR(DATEVALUE('Customers Raw data'!B740))</f>
        <v>2024</v>
      </c>
      <c r="K740">
        <f>MONTH(DATEVALUE('Customers Raw data'!B740))</f>
        <v>8</v>
      </c>
      <c r="L740">
        <f ca="1">IF('Customers Raw data'!F740&lt;&gt;"",DATEDIF(DATEVALUE('Customers Raw data'!B740),DATEVALUE('Customers Raw data'!F740),"M"),DATEDIF(DATEVALUE('Customers Raw data'!B740),TODAY(),"M"))</f>
        <v>19</v>
      </c>
      <c r="M740">
        <f t="shared" ca="1" si="55"/>
        <v>3800</v>
      </c>
      <c r="N740">
        <f t="shared" si="56"/>
        <v>2</v>
      </c>
      <c r="O740">
        <f t="shared" ca="1" si="57"/>
        <v>0</v>
      </c>
      <c r="P740">
        <f t="shared" si="58"/>
        <v>0</v>
      </c>
      <c r="Q740" t="e">
        <f t="shared" si="59"/>
        <v>#VALUE!</v>
      </c>
    </row>
    <row r="741" spans="1:17" ht="15" customHeight="1" x14ac:dyDescent="0.25">
      <c r="A741">
        <f>'Customers Raw data'!A741</f>
        <v>1740</v>
      </c>
      <c r="B741" t="str">
        <f>'Customers Raw data'!B741</f>
        <v>2025-02-10</v>
      </c>
      <c r="C741" t="str">
        <f>'Customers Raw data'!C741</f>
        <v>Enterprise</v>
      </c>
      <c r="D741">
        <f>'Customers Raw data'!D741</f>
        <v>500</v>
      </c>
      <c r="E741">
        <f>'Customers Raw data'!E741</f>
        <v>200</v>
      </c>
      <c r="F741">
        <f>'Customers Raw data'!F741</f>
        <v>0</v>
      </c>
      <c r="G741">
        <f>IF('Customers Raw data'!F741&lt;&gt;"",1,0)</f>
        <v>0</v>
      </c>
      <c r="H741" t="str">
        <f>IF('Customers Raw data'!F741&lt;&gt;"",YEAR(DATEVALUE('Customers Raw data'!F741)),"")</f>
        <v/>
      </c>
      <c r="I741" t="str">
        <f>IF('Customers Raw data'!F741&lt;&gt;"",MONTH(DATEVALUE('Customers Raw data'!F741)),"")</f>
        <v/>
      </c>
      <c r="J741">
        <f>YEAR(DATEVALUE('Customers Raw data'!B741))</f>
        <v>2025</v>
      </c>
      <c r="K741">
        <f>MONTH(DATEVALUE('Customers Raw data'!B741))</f>
        <v>2</v>
      </c>
      <c r="L741">
        <f ca="1">IF('Customers Raw data'!F741&lt;&gt;"",DATEDIF(DATEVALUE('Customers Raw data'!B741),DATEVALUE('Customers Raw data'!F741),"M"),DATEDIF(DATEVALUE('Customers Raw data'!B741),TODAY(),"M"))</f>
        <v>13</v>
      </c>
      <c r="M741">
        <f t="shared" ca="1" si="55"/>
        <v>6500</v>
      </c>
      <c r="N741">
        <f t="shared" si="56"/>
        <v>3</v>
      </c>
      <c r="O741">
        <f t="shared" ca="1" si="57"/>
        <v>0</v>
      </c>
      <c r="P741">
        <f t="shared" si="58"/>
        <v>0</v>
      </c>
      <c r="Q741" t="e">
        <f t="shared" si="59"/>
        <v>#VALUE!</v>
      </c>
    </row>
    <row r="742" spans="1:17" ht="15" customHeight="1" x14ac:dyDescent="0.25">
      <c r="A742">
        <f>'Customers Raw data'!A742</f>
        <v>1741</v>
      </c>
      <c r="B742" t="str">
        <f>'Customers Raw data'!B742</f>
        <v>2024-03-10</v>
      </c>
      <c r="C742" t="str">
        <f>'Customers Raw data'!C742</f>
        <v>Enterprise</v>
      </c>
      <c r="D742">
        <f>'Customers Raw data'!D742</f>
        <v>500</v>
      </c>
      <c r="E742">
        <f>'Customers Raw data'!E742</f>
        <v>200</v>
      </c>
      <c r="F742">
        <f>'Customers Raw data'!F742</f>
        <v>0</v>
      </c>
      <c r="G742">
        <f>IF('Customers Raw data'!F742&lt;&gt;"",1,0)</f>
        <v>0</v>
      </c>
      <c r="H742" t="str">
        <f>IF('Customers Raw data'!F742&lt;&gt;"",YEAR(DATEVALUE('Customers Raw data'!F742)),"")</f>
        <v/>
      </c>
      <c r="I742" t="str">
        <f>IF('Customers Raw data'!F742&lt;&gt;"",MONTH(DATEVALUE('Customers Raw data'!F742)),"")</f>
        <v/>
      </c>
      <c r="J742">
        <f>YEAR(DATEVALUE('Customers Raw data'!B742))</f>
        <v>2024</v>
      </c>
      <c r="K742">
        <f>MONTH(DATEVALUE('Customers Raw data'!B742))</f>
        <v>3</v>
      </c>
      <c r="L742">
        <f ca="1">IF('Customers Raw data'!F742&lt;&gt;"",DATEDIF(DATEVALUE('Customers Raw data'!B742),DATEVALUE('Customers Raw data'!F742),"M"),DATEDIF(DATEVALUE('Customers Raw data'!B742),TODAY(),"M"))</f>
        <v>24</v>
      </c>
      <c r="M742">
        <f t="shared" ca="1" si="55"/>
        <v>12000</v>
      </c>
      <c r="N742">
        <f t="shared" si="56"/>
        <v>3</v>
      </c>
      <c r="O742">
        <f t="shared" ca="1" si="57"/>
        <v>0</v>
      </c>
      <c r="P742">
        <f t="shared" si="58"/>
        <v>0</v>
      </c>
      <c r="Q742" t="e">
        <f t="shared" si="59"/>
        <v>#VALUE!</v>
      </c>
    </row>
    <row r="743" spans="1:17" ht="15" customHeight="1" x14ac:dyDescent="0.25">
      <c r="A743">
        <f>'Customers Raw data'!A743</f>
        <v>1742</v>
      </c>
      <c r="B743" t="str">
        <f>'Customers Raw data'!B743</f>
        <v>2024-01-11</v>
      </c>
      <c r="C743" t="str">
        <f>'Customers Raw data'!C743</f>
        <v>Pro</v>
      </c>
      <c r="D743">
        <f>'Customers Raw data'!D743</f>
        <v>200</v>
      </c>
      <c r="E743">
        <f>'Customers Raw data'!E743</f>
        <v>100</v>
      </c>
      <c r="F743">
        <f>'Customers Raw data'!F743</f>
        <v>0</v>
      </c>
      <c r="G743">
        <f>IF('Customers Raw data'!F743&lt;&gt;"",1,0)</f>
        <v>0</v>
      </c>
      <c r="H743" t="str">
        <f>IF('Customers Raw data'!F743&lt;&gt;"",YEAR(DATEVALUE('Customers Raw data'!F743)),"")</f>
        <v/>
      </c>
      <c r="I743" t="str">
        <f>IF('Customers Raw data'!F743&lt;&gt;"",MONTH(DATEVALUE('Customers Raw data'!F743)),"")</f>
        <v/>
      </c>
      <c r="J743">
        <f>YEAR(DATEVALUE('Customers Raw data'!B743))</f>
        <v>2024</v>
      </c>
      <c r="K743">
        <f>MONTH(DATEVALUE('Customers Raw data'!B743))</f>
        <v>1</v>
      </c>
      <c r="L743">
        <f ca="1">IF('Customers Raw data'!F743&lt;&gt;"",DATEDIF(DATEVALUE('Customers Raw data'!B743),DATEVALUE('Customers Raw data'!F743),"M"),DATEDIF(DATEVALUE('Customers Raw data'!B743),TODAY(),"M"))</f>
        <v>26</v>
      </c>
      <c r="M743">
        <f t="shared" ca="1" si="55"/>
        <v>5200</v>
      </c>
      <c r="N743">
        <f t="shared" si="56"/>
        <v>2</v>
      </c>
      <c r="O743">
        <f t="shared" ca="1" si="57"/>
        <v>0</v>
      </c>
      <c r="P743">
        <f t="shared" si="58"/>
        <v>0</v>
      </c>
      <c r="Q743" t="e">
        <f t="shared" si="59"/>
        <v>#VALUE!</v>
      </c>
    </row>
    <row r="744" spans="1:17" ht="15" customHeight="1" x14ac:dyDescent="0.25">
      <c r="A744">
        <f>'Customers Raw data'!A744</f>
        <v>1743</v>
      </c>
      <c r="B744" t="str">
        <f>'Customers Raw data'!B744</f>
        <v>2025-02-21</v>
      </c>
      <c r="C744" t="str">
        <f>'Customers Raw data'!C744</f>
        <v>Enterprise</v>
      </c>
      <c r="D744">
        <f>'Customers Raw data'!D744</f>
        <v>500</v>
      </c>
      <c r="E744">
        <f>'Customers Raw data'!E744</f>
        <v>200</v>
      </c>
      <c r="F744">
        <f>'Customers Raw data'!F744</f>
        <v>0</v>
      </c>
      <c r="G744">
        <f>IF('Customers Raw data'!F744&lt;&gt;"",1,0)</f>
        <v>0</v>
      </c>
      <c r="H744" t="str">
        <f>IF('Customers Raw data'!F744&lt;&gt;"",YEAR(DATEVALUE('Customers Raw data'!F744)),"")</f>
        <v/>
      </c>
      <c r="I744" t="str">
        <f>IF('Customers Raw data'!F744&lt;&gt;"",MONTH(DATEVALUE('Customers Raw data'!F744)),"")</f>
        <v/>
      </c>
      <c r="J744">
        <f>YEAR(DATEVALUE('Customers Raw data'!B744))</f>
        <v>2025</v>
      </c>
      <c r="K744">
        <f>MONTH(DATEVALUE('Customers Raw data'!B744))</f>
        <v>2</v>
      </c>
      <c r="L744">
        <f ca="1">IF('Customers Raw data'!F744&lt;&gt;"",DATEDIF(DATEVALUE('Customers Raw data'!B744),DATEVALUE('Customers Raw data'!F744),"M"),DATEDIF(DATEVALUE('Customers Raw data'!B744),TODAY(),"M"))</f>
        <v>13</v>
      </c>
      <c r="M744">
        <f t="shared" ca="1" si="55"/>
        <v>6500</v>
      </c>
      <c r="N744">
        <f t="shared" si="56"/>
        <v>3</v>
      </c>
      <c r="O744">
        <f t="shared" ca="1" si="57"/>
        <v>0</v>
      </c>
      <c r="P744">
        <f t="shared" si="58"/>
        <v>0</v>
      </c>
      <c r="Q744" t="e">
        <f t="shared" si="59"/>
        <v>#VALUE!</v>
      </c>
    </row>
    <row r="745" spans="1:17" ht="15" customHeight="1" x14ac:dyDescent="0.25">
      <c r="A745">
        <f>'Customers Raw data'!A745</f>
        <v>1744</v>
      </c>
      <c r="B745" t="str">
        <f>'Customers Raw data'!B745</f>
        <v>2025-05-24</v>
      </c>
      <c r="C745" t="str">
        <f>'Customers Raw data'!C745</f>
        <v>Basic</v>
      </c>
      <c r="D745">
        <f>'Customers Raw data'!D745</f>
        <v>50</v>
      </c>
      <c r="E745">
        <f>'Customers Raw data'!E745</f>
        <v>30</v>
      </c>
      <c r="F745">
        <f>'Customers Raw data'!F745</f>
        <v>0</v>
      </c>
      <c r="G745">
        <f>IF('Customers Raw data'!F745&lt;&gt;"",1,0)</f>
        <v>0</v>
      </c>
      <c r="H745" t="str">
        <f>IF('Customers Raw data'!F745&lt;&gt;"",YEAR(DATEVALUE('Customers Raw data'!F745)),"")</f>
        <v/>
      </c>
      <c r="I745" t="str">
        <f>IF('Customers Raw data'!F745&lt;&gt;"",MONTH(DATEVALUE('Customers Raw data'!F745)),"")</f>
        <v/>
      </c>
      <c r="J745">
        <f>YEAR(DATEVALUE('Customers Raw data'!B745))</f>
        <v>2025</v>
      </c>
      <c r="K745">
        <f>MONTH(DATEVALUE('Customers Raw data'!B745))</f>
        <v>5</v>
      </c>
      <c r="L745">
        <f ca="1">IF('Customers Raw data'!F745&lt;&gt;"",DATEDIF(DATEVALUE('Customers Raw data'!B745),DATEVALUE('Customers Raw data'!F745),"M"),DATEDIF(DATEVALUE('Customers Raw data'!B745),TODAY(),"M"))</f>
        <v>10</v>
      </c>
      <c r="M745">
        <f t="shared" ca="1" si="55"/>
        <v>500</v>
      </c>
      <c r="N745">
        <f t="shared" si="56"/>
        <v>1</v>
      </c>
      <c r="O745">
        <f t="shared" ca="1" si="57"/>
        <v>0</v>
      </c>
      <c r="P745">
        <f t="shared" si="58"/>
        <v>0</v>
      </c>
      <c r="Q745" t="e">
        <f t="shared" si="59"/>
        <v>#VALUE!</v>
      </c>
    </row>
    <row r="746" spans="1:17" ht="15" customHeight="1" x14ac:dyDescent="0.25">
      <c r="A746">
        <f>'Customers Raw data'!A746</f>
        <v>1745</v>
      </c>
      <c r="B746" t="str">
        <f>'Customers Raw data'!B746</f>
        <v>2024-02-27</v>
      </c>
      <c r="C746" t="str">
        <f>'Customers Raw data'!C746</f>
        <v>Basic</v>
      </c>
      <c r="D746">
        <f>'Customers Raw data'!D746</f>
        <v>50</v>
      </c>
      <c r="E746">
        <f>'Customers Raw data'!E746</f>
        <v>30</v>
      </c>
      <c r="F746">
        <f>'Customers Raw data'!F746</f>
        <v>0</v>
      </c>
      <c r="G746">
        <f>IF('Customers Raw data'!F746&lt;&gt;"",1,0)</f>
        <v>0</v>
      </c>
      <c r="H746" t="str">
        <f>IF('Customers Raw data'!F746&lt;&gt;"",YEAR(DATEVALUE('Customers Raw data'!F746)),"")</f>
        <v/>
      </c>
      <c r="I746" t="str">
        <f>IF('Customers Raw data'!F746&lt;&gt;"",MONTH(DATEVALUE('Customers Raw data'!F746)),"")</f>
        <v/>
      </c>
      <c r="J746">
        <f>YEAR(DATEVALUE('Customers Raw data'!B746))</f>
        <v>2024</v>
      </c>
      <c r="K746">
        <f>MONTH(DATEVALUE('Customers Raw data'!B746))</f>
        <v>2</v>
      </c>
      <c r="L746">
        <f ca="1">IF('Customers Raw data'!F746&lt;&gt;"",DATEDIF(DATEVALUE('Customers Raw data'!B746),DATEVALUE('Customers Raw data'!F746),"M"),DATEDIF(DATEVALUE('Customers Raw data'!B746),TODAY(),"M"))</f>
        <v>25</v>
      </c>
      <c r="M746">
        <f t="shared" ca="1" si="55"/>
        <v>1250</v>
      </c>
      <c r="N746">
        <f t="shared" si="56"/>
        <v>1</v>
      </c>
      <c r="O746">
        <f t="shared" ca="1" si="57"/>
        <v>0</v>
      </c>
      <c r="P746">
        <f t="shared" si="58"/>
        <v>0</v>
      </c>
      <c r="Q746" t="e">
        <f t="shared" si="59"/>
        <v>#VALUE!</v>
      </c>
    </row>
    <row r="747" spans="1:17" ht="15" customHeight="1" x14ac:dyDescent="0.25">
      <c r="A747">
        <f>'Customers Raw data'!A747</f>
        <v>1746</v>
      </c>
      <c r="B747" t="str">
        <f>'Customers Raw data'!B747</f>
        <v>2024-05-28</v>
      </c>
      <c r="C747" t="str">
        <f>'Customers Raw data'!C747</f>
        <v>Basic</v>
      </c>
      <c r="D747">
        <f>'Customers Raw data'!D747</f>
        <v>50</v>
      </c>
      <c r="E747">
        <f>'Customers Raw data'!E747</f>
        <v>30</v>
      </c>
      <c r="F747">
        <f>'Customers Raw data'!F747</f>
        <v>0</v>
      </c>
      <c r="G747">
        <f>IF('Customers Raw data'!F747&lt;&gt;"",1,0)</f>
        <v>0</v>
      </c>
      <c r="H747" t="str">
        <f>IF('Customers Raw data'!F747&lt;&gt;"",YEAR(DATEVALUE('Customers Raw data'!F747)),"")</f>
        <v/>
      </c>
      <c r="I747" t="str">
        <f>IF('Customers Raw data'!F747&lt;&gt;"",MONTH(DATEVALUE('Customers Raw data'!F747)),"")</f>
        <v/>
      </c>
      <c r="J747">
        <f>YEAR(DATEVALUE('Customers Raw data'!B747))</f>
        <v>2024</v>
      </c>
      <c r="K747">
        <f>MONTH(DATEVALUE('Customers Raw data'!B747))</f>
        <v>5</v>
      </c>
      <c r="L747">
        <f ca="1">IF('Customers Raw data'!F747&lt;&gt;"",DATEDIF(DATEVALUE('Customers Raw data'!B747),DATEVALUE('Customers Raw data'!F747),"M"),DATEDIF(DATEVALUE('Customers Raw data'!B747),TODAY(),"M"))</f>
        <v>22</v>
      </c>
      <c r="M747">
        <f t="shared" ca="1" si="55"/>
        <v>1100</v>
      </c>
      <c r="N747">
        <f t="shared" si="56"/>
        <v>1</v>
      </c>
      <c r="O747">
        <f t="shared" ca="1" si="57"/>
        <v>0</v>
      </c>
      <c r="P747">
        <f t="shared" si="58"/>
        <v>0</v>
      </c>
      <c r="Q747" t="e">
        <f t="shared" si="59"/>
        <v>#VALUE!</v>
      </c>
    </row>
    <row r="748" spans="1:17" ht="15" customHeight="1" x14ac:dyDescent="0.25">
      <c r="A748">
        <f>'Customers Raw data'!A748</f>
        <v>1747</v>
      </c>
      <c r="B748" t="str">
        <f>'Customers Raw data'!B748</f>
        <v>2024-05-09</v>
      </c>
      <c r="C748" t="str">
        <f>'Customers Raw data'!C748</f>
        <v>Pro</v>
      </c>
      <c r="D748">
        <f>'Customers Raw data'!D748</f>
        <v>200</v>
      </c>
      <c r="E748">
        <f>'Customers Raw data'!E748</f>
        <v>100</v>
      </c>
      <c r="F748" t="str">
        <f>'Customers Raw data'!F748</f>
        <v>2024-07-21</v>
      </c>
      <c r="G748">
        <f>IF('Customers Raw data'!F748&lt;&gt;"",1,0)</f>
        <v>1</v>
      </c>
      <c r="H748">
        <f>IF('Customers Raw data'!F748&lt;&gt;"",YEAR(DATEVALUE('Customers Raw data'!F748)),"")</f>
        <v>2024</v>
      </c>
      <c r="I748">
        <f>IF('Customers Raw data'!F748&lt;&gt;"",MONTH(DATEVALUE('Customers Raw data'!F748)),"")</f>
        <v>7</v>
      </c>
      <c r="J748">
        <f>YEAR(DATEVALUE('Customers Raw data'!B748))</f>
        <v>2024</v>
      </c>
      <c r="K748">
        <f>MONTH(DATEVALUE('Customers Raw data'!B748))</f>
        <v>5</v>
      </c>
      <c r="L748">
        <f ca="1">IF('Customers Raw data'!F748&lt;&gt;"",DATEDIF(DATEVALUE('Customers Raw data'!B748),DATEVALUE('Customers Raw data'!F748),"M"),DATEDIF(DATEVALUE('Customers Raw data'!B748),TODAY(),"M"))</f>
        <v>2</v>
      </c>
      <c r="M748">
        <f t="shared" ca="1" si="55"/>
        <v>400</v>
      </c>
      <c r="N748">
        <f t="shared" si="56"/>
        <v>2</v>
      </c>
      <c r="O748">
        <f t="shared" ca="1" si="57"/>
        <v>1</v>
      </c>
      <c r="P748">
        <f t="shared" si="58"/>
        <v>200</v>
      </c>
      <c r="Q748" t="str">
        <f t="shared" si="59"/>
        <v>2024-07</v>
      </c>
    </row>
    <row r="749" spans="1:17" ht="15" customHeight="1" x14ac:dyDescent="0.25">
      <c r="A749">
        <f>'Customers Raw data'!A749</f>
        <v>1748</v>
      </c>
      <c r="B749" t="str">
        <f>'Customers Raw data'!B749</f>
        <v>2024-02-04</v>
      </c>
      <c r="C749" t="str">
        <f>'Customers Raw data'!C749</f>
        <v>Pro</v>
      </c>
      <c r="D749">
        <f>'Customers Raw data'!D749</f>
        <v>200</v>
      </c>
      <c r="E749">
        <f>'Customers Raw data'!E749</f>
        <v>100</v>
      </c>
      <c r="F749">
        <f>'Customers Raw data'!F749</f>
        <v>0</v>
      </c>
      <c r="G749">
        <f>IF('Customers Raw data'!F749&lt;&gt;"",1,0)</f>
        <v>0</v>
      </c>
      <c r="H749" t="str">
        <f>IF('Customers Raw data'!F749&lt;&gt;"",YEAR(DATEVALUE('Customers Raw data'!F749)),"")</f>
        <v/>
      </c>
      <c r="I749" t="str">
        <f>IF('Customers Raw data'!F749&lt;&gt;"",MONTH(DATEVALUE('Customers Raw data'!F749)),"")</f>
        <v/>
      </c>
      <c r="J749">
        <f>YEAR(DATEVALUE('Customers Raw data'!B749))</f>
        <v>2024</v>
      </c>
      <c r="K749">
        <f>MONTH(DATEVALUE('Customers Raw data'!B749))</f>
        <v>2</v>
      </c>
      <c r="L749">
        <f ca="1">IF('Customers Raw data'!F749&lt;&gt;"",DATEDIF(DATEVALUE('Customers Raw data'!B749),DATEVALUE('Customers Raw data'!F749),"M"),DATEDIF(DATEVALUE('Customers Raw data'!B749),TODAY(),"M"))</f>
        <v>26</v>
      </c>
      <c r="M749">
        <f t="shared" ca="1" si="55"/>
        <v>5200</v>
      </c>
      <c r="N749">
        <f t="shared" si="56"/>
        <v>2</v>
      </c>
      <c r="O749">
        <f t="shared" ca="1" si="57"/>
        <v>0</v>
      </c>
      <c r="P749">
        <f t="shared" si="58"/>
        <v>0</v>
      </c>
      <c r="Q749" t="e">
        <f t="shared" si="59"/>
        <v>#VALUE!</v>
      </c>
    </row>
    <row r="750" spans="1:17" ht="15" customHeight="1" x14ac:dyDescent="0.25">
      <c r="A750">
        <f>'Customers Raw data'!A750</f>
        <v>1749</v>
      </c>
      <c r="B750" t="str">
        <f>'Customers Raw data'!B750</f>
        <v>2025-04-22</v>
      </c>
      <c r="C750" t="str">
        <f>'Customers Raw data'!C750</f>
        <v>Pro</v>
      </c>
      <c r="D750">
        <f>'Customers Raw data'!D750</f>
        <v>200</v>
      </c>
      <c r="E750">
        <f>'Customers Raw data'!E750</f>
        <v>100</v>
      </c>
      <c r="F750">
        <f>'Customers Raw data'!F750</f>
        <v>0</v>
      </c>
      <c r="G750">
        <f>IF('Customers Raw data'!F750&lt;&gt;"",1,0)</f>
        <v>0</v>
      </c>
      <c r="H750" t="str">
        <f>IF('Customers Raw data'!F750&lt;&gt;"",YEAR(DATEVALUE('Customers Raw data'!F750)),"")</f>
        <v/>
      </c>
      <c r="I750" t="str">
        <f>IF('Customers Raw data'!F750&lt;&gt;"",MONTH(DATEVALUE('Customers Raw data'!F750)),"")</f>
        <v/>
      </c>
      <c r="J750">
        <f>YEAR(DATEVALUE('Customers Raw data'!B750))</f>
        <v>2025</v>
      </c>
      <c r="K750">
        <f>MONTH(DATEVALUE('Customers Raw data'!B750))</f>
        <v>4</v>
      </c>
      <c r="L750">
        <f ca="1">IF('Customers Raw data'!F750&lt;&gt;"",DATEDIF(DATEVALUE('Customers Raw data'!B750),DATEVALUE('Customers Raw data'!F750),"M"),DATEDIF(DATEVALUE('Customers Raw data'!B750),TODAY(),"M"))</f>
        <v>11</v>
      </c>
      <c r="M750">
        <f t="shared" ca="1" si="55"/>
        <v>2200</v>
      </c>
      <c r="N750">
        <f t="shared" si="56"/>
        <v>2</v>
      </c>
      <c r="O750">
        <f t="shared" ca="1" si="57"/>
        <v>0</v>
      </c>
      <c r="P750">
        <f t="shared" si="58"/>
        <v>0</v>
      </c>
      <c r="Q750" t="e">
        <f t="shared" si="59"/>
        <v>#VALUE!</v>
      </c>
    </row>
    <row r="751" spans="1:17" ht="15" customHeight="1" x14ac:dyDescent="0.25">
      <c r="A751">
        <f>'Customers Raw data'!A751</f>
        <v>1750</v>
      </c>
      <c r="B751" t="str">
        <f>'Customers Raw data'!B751</f>
        <v>2024-10-24</v>
      </c>
      <c r="C751" t="str">
        <f>'Customers Raw data'!C751</f>
        <v>Enterprise</v>
      </c>
      <c r="D751">
        <f>'Customers Raw data'!D751</f>
        <v>500</v>
      </c>
      <c r="E751">
        <f>'Customers Raw data'!E751</f>
        <v>200</v>
      </c>
      <c r="F751" t="str">
        <f>'Customers Raw data'!F751</f>
        <v>2025-05-10</v>
      </c>
      <c r="G751">
        <f>IF('Customers Raw data'!F751&lt;&gt;"",1,0)</f>
        <v>1</v>
      </c>
      <c r="H751">
        <f>IF('Customers Raw data'!F751&lt;&gt;"",YEAR(DATEVALUE('Customers Raw data'!F751)),"")</f>
        <v>2025</v>
      </c>
      <c r="I751">
        <f>IF('Customers Raw data'!F751&lt;&gt;"",MONTH(DATEVALUE('Customers Raw data'!F751)),"")</f>
        <v>5</v>
      </c>
      <c r="J751">
        <f>YEAR(DATEVALUE('Customers Raw data'!B751))</f>
        <v>2024</v>
      </c>
      <c r="K751">
        <f>MONTH(DATEVALUE('Customers Raw data'!B751))</f>
        <v>10</v>
      </c>
      <c r="L751">
        <f ca="1">IF('Customers Raw data'!F751&lt;&gt;"",DATEDIF(DATEVALUE('Customers Raw data'!B751),DATEVALUE('Customers Raw data'!F751),"M"),DATEDIF(DATEVALUE('Customers Raw data'!B751),TODAY(),"M"))</f>
        <v>6</v>
      </c>
      <c r="M751">
        <f t="shared" ca="1" si="55"/>
        <v>3000</v>
      </c>
      <c r="N751">
        <f t="shared" si="56"/>
        <v>3</v>
      </c>
      <c r="O751">
        <f t="shared" ca="1" si="57"/>
        <v>0</v>
      </c>
      <c r="P751">
        <f t="shared" si="58"/>
        <v>500</v>
      </c>
      <c r="Q751" t="str">
        <f t="shared" si="59"/>
        <v>2025-05</v>
      </c>
    </row>
    <row r="752" spans="1:17" ht="15" customHeight="1" x14ac:dyDescent="0.25">
      <c r="A752">
        <f>'Customers Raw data'!A752</f>
        <v>1751</v>
      </c>
      <c r="B752" t="str">
        <f>'Customers Raw data'!B752</f>
        <v>2024-06-23</v>
      </c>
      <c r="C752" t="str">
        <f>'Customers Raw data'!C752</f>
        <v>Basic</v>
      </c>
      <c r="D752">
        <f>'Customers Raw data'!D752</f>
        <v>50</v>
      </c>
      <c r="E752">
        <f>'Customers Raw data'!E752</f>
        <v>30</v>
      </c>
      <c r="F752">
        <f>'Customers Raw data'!F752</f>
        <v>0</v>
      </c>
      <c r="G752">
        <f>IF('Customers Raw data'!F752&lt;&gt;"",1,0)</f>
        <v>0</v>
      </c>
      <c r="H752" t="str">
        <f>IF('Customers Raw data'!F752&lt;&gt;"",YEAR(DATEVALUE('Customers Raw data'!F752)),"")</f>
        <v/>
      </c>
      <c r="I752" t="str">
        <f>IF('Customers Raw data'!F752&lt;&gt;"",MONTH(DATEVALUE('Customers Raw data'!F752)),"")</f>
        <v/>
      </c>
      <c r="J752">
        <f>YEAR(DATEVALUE('Customers Raw data'!B752))</f>
        <v>2024</v>
      </c>
      <c r="K752">
        <f>MONTH(DATEVALUE('Customers Raw data'!B752))</f>
        <v>6</v>
      </c>
      <c r="L752">
        <f ca="1">IF('Customers Raw data'!F752&lt;&gt;"",DATEDIF(DATEVALUE('Customers Raw data'!B752),DATEVALUE('Customers Raw data'!F752),"M"),DATEDIF(DATEVALUE('Customers Raw data'!B752),TODAY(),"M"))</f>
        <v>21</v>
      </c>
      <c r="M752">
        <f t="shared" ca="1" si="55"/>
        <v>1050</v>
      </c>
      <c r="N752">
        <f t="shared" si="56"/>
        <v>1</v>
      </c>
      <c r="O752">
        <f t="shared" ca="1" si="57"/>
        <v>0</v>
      </c>
      <c r="P752">
        <f t="shared" si="58"/>
        <v>0</v>
      </c>
      <c r="Q752" t="e">
        <f t="shared" si="59"/>
        <v>#VALUE!</v>
      </c>
    </row>
    <row r="753" spans="1:17" ht="15" customHeight="1" x14ac:dyDescent="0.25">
      <c r="A753">
        <f>'Customers Raw data'!A753</f>
        <v>1752</v>
      </c>
      <c r="B753" t="str">
        <f>'Customers Raw data'!B753</f>
        <v>2024-08-20</v>
      </c>
      <c r="C753" t="str">
        <f>'Customers Raw data'!C753</f>
        <v>Basic</v>
      </c>
      <c r="D753">
        <f>'Customers Raw data'!D753</f>
        <v>50</v>
      </c>
      <c r="E753">
        <f>'Customers Raw data'!E753</f>
        <v>30</v>
      </c>
      <c r="F753">
        <f>'Customers Raw data'!F753</f>
        <v>0</v>
      </c>
      <c r="G753">
        <f>IF('Customers Raw data'!F753&lt;&gt;"",1,0)</f>
        <v>0</v>
      </c>
      <c r="H753" t="str">
        <f>IF('Customers Raw data'!F753&lt;&gt;"",YEAR(DATEVALUE('Customers Raw data'!F753)),"")</f>
        <v/>
      </c>
      <c r="I753" t="str">
        <f>IF('Customers Raw data'!F753&lt;&gt;"",MONTH(DATEVALUE('Customers Raw data'!F753)),"")</f>
        <v/>
      </c>
      <c r="J753">
        <f>YEAR(DATEVALUE('Customers Raw data'!B753))</f>
        <v>2024</v>
      </c>
      <c r="K753">
        <f>MONTH(DATEVALUE('Customers Raw data'!B753))</f>
        <v>8</v>
      </c>
      <c r="L753">
        <f ca="1">IF('Customers Raw data'!F753&lt;&gt;"",DATEDIF(DATEVALUE('Customers Raw data'!B753),DATEVALUE('Customers Raw data'!F753),"M"),DATEDIF(DATEVALUE('Customers Raw data'!B753),TODAY(),"M"))</f>
        <v>19</v>
      </c>
      <c r="M753">
        <f t="shared" ca="1" si="55"/>
        <v>950</v>
      </c>
      <c r="N753">
        <f t="shared" si="56"/>
        <v>1</v>
      </c>
      <c r="O753">
        <f t="shared" ca="1" si="57"/>
        <v>0</v>
      </c>
      <c r="P753">
        <f t="shared" si="58"/>
        <v>0</v>
      </c>
      <c r="Q753" t="e">
        <f t="shared" si="59"/>
        <v>#VALUE!</v>
      </c>
    </row>
    <row r="754" spans="1:17" ht="15" customHeight="1" x14ac:dyDescent="0.25">
      <c r="A754">
        <f>'Customers Raw data'!A754</f>
        <v>1753</v>
      </c>
      <c r="B754" t="str">
        <f>'Customers Raw data'!B754</f>
        <v>2024-09-26</v>
      </c>
      <c r="C754" t="str">
        <f>'Customers Raw data'!C754</f>
        <v>Pro</v>
      </c>
      <c r="D754">
        <f>'Customers Raw data'!D754</f>
        <v>200</v>
      </c>
      <c r="E754">
        <f>'Customers Raw data'!E754</f>
        <v>100</v>
      </c>
      <c r="F754">
        <f>'Customers Raw data'!F754</f>
        <v>0</v>
      </c>
      <c r="G754">
        <f>IF('Customers Raw data'!F754&lt;&gt;"",1,0)</f>
        <v>0</v>
      </c>
      <c r="H754" t="str">
        <f>IF('Customers Raw data'!F754&lt;&gt;"",YEAR(DATEVALUE('Customers Raw data'!F754)),"")</f>
        <v/>
      </c>
      <c r="I754" t="str">
        <f>IF('Customers Raw data'!F754&lt;&gt;"",MONTH(DATEVALUE('Customers Raw data'!F754)),"")</f>
        <v/>
      </c>
      <c r="J754">
        <f>YEAR(DATEVALUE('Customers Raw data'!B754))</f>
        <v>2024</v>
      </c>
      <c r="K754">
        <f>MONTH(DATEVALUE('Customers Raw data'!B754))</f>
        <v>9</v>
      </c>
      <c r="L754">
        <f ca="1">IF('Customers Raw data'!F754&lt;&gt;"",DATEDIF(DATEVALUE('Customers Raw data'!B754),DATEVALUE('Customers Raw data'!F754),"M"),DATEDIF(DATEVALUE('Customers Raw data'!B754),TODAY(),"M"))</f>
        <v>18</v>
      </c>
      <c r="M754">
        <f t="shared" ca="1" si="55"/>
        <v>3600</v>
      </c>
      <c r="N754">
        <f t="shared" si="56"/>
        <v>2</v>
      </c>
      <c r="O754">
        <f t="shared" ca="1" si="57"/>
        <v>0</v>
      </c>
      <c r="P754">
        <f t="shared" si="58"/>
        <v>0</v>
      </c>
      <c r="Q754" t="e">
        <f t="shared" si="59"/>
        <v>#VALUE!</v>
      </c>
    </row>
    <row r="755" spans="1:17" ht="15" customHeight="1" x14ac:dyDescent="0.25">
      <c r="A755">
        <f>'Customers Raw data'!A755</f>
        <v>1754</v>
      </c>
      <c r="B755" t="str">
        <f>'Customers Raw data'!B755</f>
        <v>2025-03-05</v>
      </c>
      <c r="C755" t="str">
        <f>'Customers Raw data'!C755</f>
        <v>Basic</v>
      </c>
      <c r="D755">
        <f>'Customers Raw data'!D755</f>
        <v>50</v>
      </c>
      <c r="E755">
        <f>'Customers Raw data'!E755</f>
        <v>30</v>
      </c>
      <c r="F755">
        <f>'Customers Raw data'!F755</f>
        <v>0</v>
      </c>
      <c r="G755">
        <f>IF('Customers Raw data'!F755&lt;&gt;"",1,0)</f>
        <v>0</v>
      </c>
      <c r="H755" t="str">
        <f>IF('Customers Raw data'!F755&lt;&gt;"",YEAR(DATEVALUE('Customers Raw data'!F755)),"")</f>
        <v/>
      </c>
      <c r="I755" t="str">
        <f>IF('Customers Raw data'!F755&lt;&gt;"",MONTH(DATEVALUE('Customers Raw data'!F755)),"")</f>
        <v/>
      </c>
      <c r="J755">
        <f>YEAR(DATEVALUE('Customers Raw data'!B755))</f>
        <v>2025</v>
      </c>
      <c r="K755">
        <f>MONTH(DATEVALUE('Customers Raw data'!B755))</f>
        <v>3</v>
      </c>
      <c r="L755">
        <f ca="1">IF('Customers Raw data'!F755&lt;&gt;"",DATEDIF(DATEVALUE('Customers Raw data'!B755),DATEVALUE('Customers Raw data'!F755),"M"),DATEDIF(DATEVALUE('Customers Raw data'!B755),TODAY(),"M"))</f>
        <v>13</v>
      </c>
      <c r="M755">
        <f t="shared" ca="1" si="55"/>
        <v>650</v>
      </c>
      <c r="N755">
        <f t="shared" si="56"/>
        <v>1</v>
      </c>
      <c r="O755">
        <f t="shared" ca="1" si="57"/>
        <v>0</v>
      </c>
      <c r="P755">
        <f t="shared" si="58"/>
        <v>0</v>
      </c>
      <c r="Q755" t="e">
        <f t="shared" si="59"/>
        <v>#VALUE!</v>
      </c>
    </row>
    <row r="756" spans="1:17" ht="15" customHeight="1" x14ac:dyDescent="0.25">
      <c r="A756">
        <f>'Customers Raw data'!A756</f>
        <v>1755</v>
      </c>
      <c r="B756" t="str">
        <f>'Customers Raw data'!B756</f>
        <v>2024-03-28</v>
      </c>
      <c r="C756" t="str">
        <f>'Customers Raw data'!C756</f>
        <v>Enterprise</v>
      </c>
      <c r="D756">
        <f>'Customers Raw data'!D756</f>
        <v>500</v>
      </c>
      <c r="E756">
        <f>'Customers Raw data'!E756</f>
        <v>200</v>
      </c>
      <c r="F756">
        <f>'Customers Raw data'!F756</f>
        <v>0</v>
      </c>
      <c r="G756">
        <f>IF('Customers Raw data'!F756&lt;&gt;"",1,0)</f>
        <v>0</v>
      </c>
      <c r="H756" t="str">
        <f>IF('Customers Raw data'!F756&lt;&gt;"",YEAR(DATEVALUE('Customers Raw data'!F756)),"")</f>
        <v/>
      </c>
      <c r="I756" t="str">
        <f>IF('Customers Raw data'!F756&lt;&gt;"",MONTH(DATEVALUE('Customers Raw data'!F756)),"")</f>
        <v/>
      </c>
      <c r="J756">
        <f>YEAR(DATEVALUE('Customers Raw data'!B756))</f>
        <v>2024</v>
      </c>
      <c r="K756">
        <f>MONTH(DATEVALUE('Customers Raw data'!B756))</f>
        <v>3</v>
      </c>
      <c r="L756">
        <f ca="1">IF('Customers Raw data'!F756&lt;&gt;"",DATEDIF(DATEVALUE('Customers Raw data'!B756),DATEVALUE('Customers Raw data'!F756),"M"),DATEDIF(DATEVALUE('Customers Raw data'!B756),TODAY(),"M"))</f>
        <v>24</v>
      </c>
      <c r="M756">
        <f t="shared" ca="1" si="55"/>
        <v>12000</v>
      </c>
      <c r="N756">
        <f t="shared" si="56"/>
        <v>3</v>
      </c>
      <c r="O756">
        <f t="shared" ca="1" si="57"/>
        <v>0</v>
      </c>
      <c r="P756">
        <f t="shared" si="58"/>
        <v>0</v>
      </c>
      <c r="Q756" t="e">
        <f t="shared" si="59"/>
        <v>#VALUE!</v>
      </c>
    </row>
    <row r="757" spans="1:17" ht="15" customHeight="1" x14ac:dyDescent="0.25">
      <c r="A757">
        <f>'Customers Raw data'!A757</f>
        <v>1756</v>
      </c>
      <c r="B757" t="str">
        <f>'Customers Raw data'!B757</f>
        <v>2024-03-07</v>
      </c>
      <c r="C757" t="str">
        <f>'Customers Raw data'!C757</f>
        <v>Pro</v>
      </c>
      <c r="D757">
        <f>'Customers Raw data'!D757</f>
        <v>200</v>
      </c>
      <c r="E757">
        <f>'Customers Raw data'!E757</f>
        <v>100</v>
      </c>
      <c r="F757">
        <f>'Customers Raw data'!F757</f>
        <v>0</v>
      </c>
      <c r="G757">
        <f>IF('Customers Raw data'!F757&lt;&gt;"",1,0)</f>
        <v>0</v>
      </c>
      <c r="H757" t="str">
        <f>IF('Customers Raw data'!F757&lt;&gt;"",YEAR(DATEVALUE('Customers Raw data'!F757)),"")</f>
        <v/>
      </c>
      <c r="I757" t="str">
        <f>IF('Customers Raw data'!F757&lt;&gt;"",MONTH(DATEVALUE('Customers Raw data'!F757)),"")</f>
        <v/>
      </c>
      <c r="J757">
        <f>YEAR(DATEVALUE('Customers Raw data'!B757))</f>
        <v>2024</v>
      </c>
      <c r="K757">
        <f>MONTH(DATEVALUE('Customers Raw data'!B757))</f>
        <v>3</v>
      </c>
      <c r="L757">
        <f ca="1">IF('Customers Raw data'!F757&lt;&gt;"",DATEDIF(DATEVALUE('Customers Raw data'!B757),DATEVALUE('Customers Raw data'!F757),"M"),DATEDIF(DATEVALUE('Customers Raw data'!B757),TODAY(),"M"))</f>
        <v>25</v>
      </c>
      <c r="M757">
        <f t="shared" ca="1" si="55"/>
        <v>5000</v>
      </c>
      <c r="N757">
        <f t="shared" si="56"/>
        <v>2</v>
      </c>
      <c r="O757">
        <f t="shared" ca="1" si="57"/>
        <v>0</v>
      </c>
      <c r="P757">
        <f t="shared" si="58"/>
        <v>0</v>
      </c>
      <c r="Q757" t="e">
        <f t="shared" si="59"/>
        <v>#VALUE!</v>
      </c>
    </row>
    <row r="758" spans="1:17" ht="15" customHeight="1" x14ac:dyDescent="0.25">
      <c r="A758">
        <f>'Customers Raw data'!A758</f>
        <v>1757</v>
      </c>
      <c r="B758" t="str">
        <f>'Customers Raw data'!B758</f>
        <v>2024-05-03</v>
      </c>
      <c r="C758" t="str">
        <f>'Customers Raw data'!C758</f>
        <v>Basic</v>
      </c>
      <c r="D758">
        <f>'Customers Raw data'!D758</f>
        <v>50</v>
      </c>
      <c r="E758">
        <f>'Customers Raw data'!E758</f>
        <v>30</v>
      </c>
      <c r="F758">
        <f>'Customers Raw data'!F758</f>
        <v>0</v>
      </c>
      <c r="G758">
        <f>IF('Customers Raw data'!F758&lt;&gt;"",1,0)</f>
        <v>0</v>
      </c>
      <c r="H758" t="str">
        <f>IF('Customers Raw data'!F758&lt;&gt;"",YEAR(DATEVALUE('Customers Raw data'!F758)),"")</f>
        <v/>
      </c>
      <c r="I758" t="str">
        <f>IF('Customers Raw data'!F758&lt;&gt;"",MONTH(DATEVALUE('Customers Raw data'!F758)),"")</f>
        <v/>
      </c>
      <c r="J758">
        <f>YEAR(DATEVALUE('Customers Raw data'!B758))</f>
        <v>2024</v>
      </c>
      <c r="K758">
        <f>MONTH(DATEVALUE('Customers Raw data'!B758))</f>
        <v>5</v>
      </c>
      <c r="L758">
        <f ca="1">IF('Customers Raw data'!F758&lt;&gt;"",DATEDIF(DATEVALUE('Customers Raw data'!B758),DATEVALUE('Customers Raw data'!F758),"M"),DATEDIF(DATEVALUE('Customers Raw data'!B758),TODAY(),"M"))</f>
        <v>23</v>
      </c>
      <c r="M758">
        <f t="shared" ca="1" si="55"/>
        <v>1150</v>
      </c>
      <c r="N758">
        <f t="shared" si="56"/>
        <v>1</v>
      </c>
      <c r="O758">
        <f t="shared" ca="1" si="57"/>
        <v>0</v>
      </c>
      <c r="P758">
        <f t="shared" si="58"/>
        <v>0</v>
      </c>
      <c r="Q758" t="e">
        <f t="shared" si="59"/>
        <v>#VALUE!</v>
      </c>
    </row>
    <row r="759" spans="1:17" ht="15" customHeight="1" x14ac:dyDescent="0.25">
      <c r="A759">
        <f>'Customers Raw data'!A759</f>
        <v>1758</v>
      </c>
      <c r="B759" t="str">
        <f>'Customers Raw data'!B759</f>
        <v>2024-04-25</v>
      </c>
      <c r="C759" t="str">
        <f>'Customers Raw data'!C759</f>
        <v>Basic</v>
      </c>
      <c r="D759">
        <f>'Customers Raw data'!D759</f>
        <v>50</v>
      </c>
      <c r="E759">
        <f>'Customers Raw data'!E759</f>
        <v>30</v>
      </c>
      <c r="F759">
        <f>'Customers Raw data'!F759</f>
        <v>0</v>
      </c>
      <c r="G759">
        <f>IF('Customers Raw data'!F759&lt;&gt;"",1,0)</f>
        <v>0</v>
      </c>
      <c r="H759" t="str">
        <f>IF('Customers Raw data'!F759&lt;&gt;"",YEAR(DATEVALUE('Customers Raw data'!F759)),"")</f>
        <v/>
      </c>
      <c r="I759" t="str">
        <f>IF('Customers Raw data'!F759&lt;&gt;"",MONTH(DATEVALUE('Customers Raw data'!F759)),"")</f>
        <v/>
      </c>
      <c r="J759">
        <f>YEAR(DATEVALUE('Customers Raw data'!B759))</f>
        <v>2024</v>
      </c>
      <c r="K759">
        <f>MONTH(DATEVALUE('Customers Raw data'!B759))</f>
        <v>4</v>
      </c>
      <c r="L759">
        <f ca="1">IF('Customers Raw data'!F759&lt;&gt;"",DATEDIF(DATEVALUE('Customers Raw data'!B759),DATEVALUE('Customers Raw data'!F759),"M"),DATEDIF(DATEVALUE('Customers Raw data'!B759),TODAY(),"M"))</f>
        <v>23</v>
      </c>
      <c r="M759">
        <f t="shared" ca="1" si="55"/>
        <v>1150</v>
      </c>
      <c r="N759">
        <f t="shared" si="56"/>
        <v>1</v>
      </c>
      <c r="O759">
        <f t="shared" ca="1" si="57"/>
        <v>0</v>
      </c>
      <c r="P759">
        <f t="shared" si="58"/>
        <v>0</v>
      </c>
      <c r="Q759" t="e">
        <f t="shared" si="59"/>
        <v>#VALUE!</v>
      </c>
    </row>
    <row r="760" spans="1:17" ht="15" customHeight="1" x14ac:dyDescent="0.25">
      <c r="A760">
        <f>'Customers Raw data'!A760</f>
        <v>1759</v>
      </c>
      <c r="B760" t="str">
        <f>'Customers Raw data'!B760</f>
        <v>2024-05-05</v>
      </c>
      <c r="C760" t="str">
        <f>'Customers Raw data'!C760</f>
        <v>Pro</v>
      </c>
      <c r="D760">
        <f>'Customers Raw data'!D760</f>
        <v>200</v>
      </c>
      <c r="E760">
        <f>'Customers Raw data'!E760</f>
        <v>100</v>
      </c>
      <c r="F760" t="str">
        <f>'Customers Raw data'!F760</f>
        <v>2024-12-13</v>
      </c>
      <c r="G760">
        <f>IF('Customers Raw data'!F760&lt;&gt;"",1,0)</f>
        <v>1</v>
      </c>
      <c r="H760">
        <f>IF('Customers Raw data'!F760&lt;&gt;"",YEAR(DATEVALUE('Customers Raw data'!F760)),"")</f>
        <v>2024</v>
      </c>
      <c r="I760">
        <f>IF('Customers Raw data'!F760&lt;&gt;"",MONTH(DATEVALUE('Customers Raw data'!F760)),"")</f>
        <v>12</v>
      </c>
      <c r="J760">
        <f>YEAR(DATEVALUE('Customers Raw data'!B760))</f>
        <v>2024</v>
      </c>
      <c r="K760">
        <f>MONTH(DATEVALUE('Customers Raw data'!B760))</f>
        <v>5</v>
      </c>
      <c r="L760">
        <f ca="1">IF('Customers Raw data'!F760&lt;&gt;"",DATEDIF(DATEVALUE('Customers Raw data'!B760),DATEVALUE('Customers Raw data'!F760),"M"),DATEDIF(DATEVALUE('Customers Raw data'!B760),TODAY(),"M"))</f>
        <v>7</v>
      </c>
      <c r="M760">
        <f t="shared" ca="1" si="55"/>
        <v>1400</v>
      </c>
      <c r="N760">
        <f t="shared" si="56"/>
        <v>2</v>
      </c>
      <c r="O760">
        <f t="shared" ca="1" si="57"/>
        <v>0</v>
      </c>
      <c r="P760">
        <f t="shared" si="58"/>
        <v>200</v>
      </c>
      <c r="Q760" t="str">
        <f t="shared" si="59"/>
        <v>2024-12</v>
      </c>
    </row>
    <row r="761" spans="1:17" ht="15" customHeight="1" x14ac:dyDescent="0.25">
      <c r="A761">
        <f>'Customers Raw data'!A761</f>
        <v>1760</v>
      </c>
      <c r="B761" t="str">
        <f>'Customers Raw data'!B761</f>
        <v>2024-12-23</v>
      </c>
      <c r="C761" t="str">
        <f>'Customers Raw data'!C761</f>
        <v>Basic</v>
      </c>
      <c r="D761">
        <f>'Customers Raw data'!D761</f>
        <v>50</v>
      </c>
      <c r="E761">
        <f>'Customers Raw data'!E761</f>
        <v>30</v>
      </c>
      <c r="F761">
        <f>'Customers Raw data'!F761</f>
        <v>0</v>
      </c>
      <c r="G761">
        <f>IF('Customers Raw data'!F761&lt;&gt;"",1,0)</f>
        <v>0</v>
      </c>
      <c r="H761" t="str">
        <f>IF('Customers Raw data'!F761&lt;&gt;"",YEAR(DATEVALUE('Customers Raw data'!F761)),"")</f>
        <v/>
      </c>
      <c r="I761" t="str">
        <f>IF('Customers Raw data'!F761&lt;&gt;"",MONTH(DATEVALUE('Customers Raw data'!F761)),"")</f>
        <v/>
      </c>
      <c r="J761">
        <f>YEAR(DATEVALUE('Customers Raw data'!B761))</f>
        <v>2024</v>
      </c>
      <c r="K761">
        <f>MONTH(DATEVALUE('Customers Raw data'!B761))</f>
        <v>12</v>
      </c>
      <c r="L761">
        <f ca="1">IF('Customers Raw data'!F761&lt;&gt;"",DATEDIF(DATEVALUE('Customers Raw data'!B761),DATEVALUE('Customers Raw data'!F761),"M"),DATEDIF(DATEVALUE('Customers Raw data'!B761),TODAY(),"M"))</f>
        <v>15</v>
      </c>
      <c r="M761">
        <f t="shared" ca="1" si="55"/>
        <v>750</v>
      </c>
      <c r="N761">
        <f t="shared" si="56"/>
        <v>1</v>
      </c>
      <c r="O761">
        <f t="shared" ca="1" si="57"/>
        <v>0</v>
      </c>
      <c r="P761">
        <f t="shared" si="58"/>
        <v>0</v>
      </c>
      <c r="Q761" t="e">
        <f t="shared" si="59"/>
        <v>#VALUE!</v>
      </c>
    </row>
    <row r="762" spans="1:17" ht="15" customHeight="1" x14ac:dyDescent="0.25">
      <c r="A762">
        <f>'Customers Raw data'!A762</f>
        <v>1761</v>
      </c>
      <c r="B762" t="str">
        <f>'Customers Raw data'!B762</f>
        <v>2024-11-27</v>
      </c>
      <c r="C762" t="str">
        <f>'Customers Raw data'!C762</f>
        <v>Basic</v>
      </c>
      <c r="D762">
        <f>'Customers Raw data'!D762</f>
        <v>50</v>
      </c>
      <c r="E762">
        <f>'Customers Raw data'!E762</f>
        <v>30</v>
      </c>
      <c r="F762">
        <f>'Customers Raw data'!F762</f>
        <v>0</v>
      </c>
      <c r="G762">
        <f>IF('Customers Raw data'!F762&lt;&gt;"",1,0)</f>
        <v>0</v>
      </c>
      <c r="H762" t="str">
        <f>IF('Customers Raw data'!F762&lt;&gt;"",YEAR(DATEVALUE('Customers Raw data'!F762)),"")</f>
        <v/>
      </c>
      <c r="I762" t="str">
        <f>IF('Customers Raw data'!F762&lt;&gt;"",MONTH(DATEVALUE('Customers Raw data'!F762)),"")</f>
        <v/>
      </c>
      <c r="J762">
        <f>YEAR(DATEVALUE('Customers Raw data'!B762))</f>
        <v>2024</v>
      </c>
      <c r="K762">
        <f>MONTH(DATEVALUE('Customers Raw data'!B762))</f>
        <v>11</v>
      </c>
      <c r="L762">
        <f ca="1">IF('Customers Raw data'!F762&lt;&gt;"",DATEDIF(DATEVALUE('Customers Raw data'!B762),DATEVALUE('Customers Raw data'!F762),"M"),DATEDIF(DATEVALUE('Customers Raw data'!B762),TODAY(),"M"))</f>
        <v>16</v>
      </c>
      <c r="M762">
        <f t="shared" ca="1" si="55"/>
        <v>800</v>
      </c>
      <c r="N762">
        <f t="shared" si="56"/>
        <v>1</v>
      </c>
      <c r="O762">
        <f t="shared" ca="1" si="57"/>
        <v>0</v>
      </c>
      <c r="P762">
        <f t="shared" si="58"/>
        <v>0</v>
      </c>
      <c r="Q762" t="e">
        <f t="shared" si="59"/>
        <v>#VALUE!</v>
      </c>
    </row>
    <row r="763" spans="1:17" ht="15" customHeight="1" x14ac:dyDescent="0.25">
      <c r="A763">
        <f>'Customers Raw data'!A763</f>
        <v>1762</v>
      </c>
      <c r="B763" t="str">
        <f>'Customers Raw data'!B763</f>
        <v>2024-05-25</v>
      </c>
      <c r="C763" t="str">
        <f>'Customers Raw data'!C763</f>
        <v>Basic</v>
      </c>
      <c r="D763">
        <f>'Customers Raw data'!D763</f>
        <v>50</v>
      </c>
      <c r="E763">
        <f>'Customers Raw data'!E763</f>
        <v>30</v>
      </c>
      <c r="F763">
        <f>'Customers Raw data'!F763</f>
        <v>0</v>
      </c>
      <c r="G763">
        <f>IF('Customers Raw data'!F763&lt;&gt;"",1,0)</f>
        <v>0</v>
      </c>
      <c r="H763" t="str">
        <f>IF('Customers Raw data'!F763&lt;&gt;"",YEAR(DATEVALUE('Customers Raw data'!F763)),"")</f>
        <v/>
      </c>
      <c r="I763" t="str">
        <f>IF('Customers Raw data'!F763&lt;&gt;"",MONTH(DATEVALUE('Customers Raw data'!F763)),"")</f>
        <v/>
      </c>
      <c r="J763">
        <f>YEAR(DATEVALUE('Customers Raw data'!B763))</f>
        <v>2024</v>
      </c>
      <c r="K763">
        <f>MONTH(DATEVALUE('Customers Raw data'!B763))</f>
        <v>5</v>
      </c>
      <c r="L763">
        <f ca="1">IF('Customers Raw data'!F763&lt;&gt;"",DATEDIF(DATEVALUE('Customers Raw data'!B763),DATEVALUE('Customers Raw data'!F763),"M"),DATEDIF(DATEVALUE('Customers Raw data'!B763),TODAY(),"M"))</f>
        <v>22</v>
      </c>
      <c r="M763">
        <f t="shared" ca="1" si="55"/>
        <v>1100</v>
      </c>
      <c r="N763">
        <f t="shared" si="56"/>
        <v>1</v>
      </c>
      <c r="O763">
        <f t="shared" ca="1" si="57"/>
        <v>0</v>
      </c>
      <c r="P763">
        <f t="shared" si="58"/>
        <v>0</v>
      </c>
      <c r="Q763" t="e">
        <f t="shared" si="59"/>
        <v>#VALUE!</v>
      </c>
    </row>
    <row r="764" spans="1:17" ht="15" customHeight="1" x14ac:dyDescent="0.25">
      <c r="A764">
        <f>'Customers Raw data'!A764</f>
        <v>1763</v>
      </c>
      <c r="B764" t="str">
        <f>'Customers Raw data'!B764</f>
        <v>2024-07-12</v>
      </c>
      <c r="C764" t="str">
        <f>'Customers Raw data'!C764</f>
        <v>Pro</v>
      </c>
      <c r="D764">
        <f>'Customers Raw data'!D764</f>
        <v>200</v>
      </c>
      <c r="E764">
        <f>'Customers Raw data'!E764</f>
        <v>100</v>
      </c>
      <c r="F764">
        <f>'Customers Raw data'!F764</f>
        <v>0</v>
      </c>
      <c r="G764">
        <f>IF('Customers Raw data'!F764&lt;&gt;"",1,0)</f>
        <v>0</v>
      </c>
      <c r="H764" t="str">
        <f>IF('Customers Raw data'!F764&lt;&gt;"",YEAR(DATEVALUE('Customers Raw data'!F764)),"")</f>
        <v/>
      </c>
      <c r="I764" t="str">
        <f>IF('Customers Raw data'!F764&lt;&gt;"",MONTH(DATEVALUE('Customers Raw data'!F764)),"")</f>
        <v/>
      </c>
      <c r="J764">
        <f>YEAR(DATEVALUE('Customers Raw data'!B764))</f>
        <v>2024</v>
      </c>
      <c r="K764">
        <f>MONTH(DATEVALUE('Customers Raw data'!B764))</f>
        <v>7</v>
      </c>
      <c r="L764">
        <f ca="1">IF('Customers Raw data'!F764&lt;&gt;"",DATEDIF(DATEVALUE('Customers Raw data'!B764),DATEVALUE('Customers Raw data'!F764),"M"),DATEDIF(DATEVALUE('Customers Raw data'!B764),TODAY(),"M"))</f>
        <v>20</v>
      </c>
      <c r="M764">
        <f t="shared" ca="1" si="55"/>
        <v>4000</v>
      </c>
      <c r="N764">
        <f t="shared" si="56"/>
        <v>2</v>
      </c>
      <c r="O764">
        <f t="shared" ca="1" si="57"/>
        <v>0</v>
      </c>
      <c r="P764">
        <f t="shared" si="58"/>
        <v>0</v>
      </c>
      <c r="Q764" t="e">
        <f t="shared" si="59"/>
        <v>#VALUE!</v>
      </c>
    </row>
    <row r="765" spans="1:17" ht="15" customHeight="1" x14ac:dyDescent="0.25">
      <c r="A765">
        <f>'Customers Raw data'!A765</f>
        <v>1764</v>
      </c>
      <c r="B765" t="str">
        <f>'Customers Raw data'!B765</f>
        <v>2024-12-04</v>
      </c>
      <c r="C765" t="str">
        <f>'Customers Raw data'!C765</f>
        <v>Enterprise</v>
      </c>
      <c r="D765">
        <f>'Customers Raw data'!D765</f>
        <v>500</v>
      </c>
      <c r="E765">
        <f>'Customers Raw data'!E765</f>
        <v>200</v>
      </c>
      <c r="F765" t="str">
        <f>'Customers Raw data'!F765</f>
        <v>2025-01-10</v>
      </c>
      <c r="G765">
        <f>IF('Customers Raw data'!F765&lt;&gt;"",1,0)</f>
        <v>1</v>
      </c>
      <c r="H765">
        <f>IF('Customers Raw data'!F765&lt;&gt;"",YEAR(DATEVALUE('Customers Raw data'!F765)),"")</f>
        <v>2025</v>
      </c>
      <c r="I765">
        <f>IF('Customers Raw data'!F765&lt;&gt;"",MONTH(DATEVALUE('Customers Raw data'!F765)),"")</f>
        <v>1</v>
      </c>
      <c r="J765">
        <f>YEAR(DATEVALUE('Customers Raw data'!B765))</f>
        <v>2024</v>
      </c>
      <c r="K765">
        <f>MONTH(DATEVALUE('Customers Raw data'!B765))</f>
        <v>12</v>
      </c>
      <c r="L765">
        <f ca="1">IF('Customers Raw data'!F765&lt;&gt;"",DATEDIF(DATEVALUE('Customers Raw data'!B765),DATEVALUE('Customers Raw data'!F765),"M"),DATEDIF(DATEVALUE('Customers Raw data'!B765),TODAY(),"M"))</f>
        <v>1</v>
      </c>
      <c r="M765">
        <f t="shared" ca="1" si="55"/>
        <v>500</v>
      </c>
      <c r="N765">
        <f t="shared" si="56"/>
        <v>3</v>
      </c>
      <c r="O765">
        <f t="shared" ca="1" si="57"/>
        <v>1</v>
      </c>
      <c r="P765">
        <f t="shared" si="58"/>
        <v>500</v>
      </c>
      <c r="Q765" t="str">
        <f t="shared" si="59"/>
        <v>2025-01</v>
      </c>
    </row>
    <row r="766" spans="1:17" ht="15" customHeight="1" x14ac:dyDescent="0.25">
      <c r="A766">
        <f>'Customers Raw data'!A766</f>
        <v>1765</v>
      </c>
      <c r="B766" t="str">
        <f>'Customers Raw data'!B766</f>
        <v>2024-06-16</v>
      </c>
      <c r="C766" t="str">
        <f>'Customers Raw data'!C766</f>
        <v>Basic</v>
      </c>
      <c r="D766">
        <f>'Customers Raw data'!D766</f>
        <v>50</v>
      </c>
      <c r="E766">
        <f>'Customers Raw data'!E766</f>
        <v>30</v>
      </c>
      <c r="F766" t="str">
        <f>'Customers Raw data'!F766</f>
        <v>2024-12-02</v>
      </c>
      <c r="G766">
        <f>IF('Customers Raw data'!F766&lt;&gt;"",1,0)</f>
        <v>1</v>
      </c>
      <c r="H766">
        <f>IF('Customers Raw data'!F766&lt;&gt;"",YEAR(DATEVALUE('Customers Raw data'!F766)),"")</f>
        <v>2024</v>
      </c>
      <c r="I766">
        <f>IF('Customers Raw data'!F766&lt;&gt;"",MONTH(DATEVALUE('Customers Raw data'!F766)),"")</f>
        <v>12</v>
      </c>
      <c r="J766">
        <f>YEAR(DATEVALUE('Customers Raw data'!B766))</f>
        <v>2024</v>
      </c>
      <c r="K766">
        <f>MONTH(DATEVALUE('Customers Raw data'!B766))</f>
        <v>6</v>
      </c>
      <c r="L766">
        <f ca="1">IF('Customers Raw data'!F766&lt;&gt;"",DATEDIF(DATEVALUE('Customers Raw data'!B766),DATEVALUE('Customers Raw data'!F766),"M"),DATEDIF(DATEVALUE('Customers Raw data'!B766),TODAY(),"M"))</f>
        <v>5</v>
      </c>
      <c r="M766">
        <f t="shared" ca="1" si="55"/>
        <v>250</v>
      </c>
      <c r="N766">
        <f t="shared" si="56"/>
        <v>1</v>
      </c>
      <c r="O766">
        <f t="shared" ca="1" si="57"/>
        <v>1</v>
      </c>
      <c r="P766">
        <f t="shared" si="58"/>
        <v>50</v>
      </c>
      <c r="Q766" t="str">
        <f t="shared" si="59"/>
        <v>2024-12</v>
      </c>
    </row>
    <row r="767" spans="1:17" ht="15" customHeight="1" x14ac:dyDescent="0.25">
      <c r="A767">
        <f>'Customers Raw data'!A767</f>
        <v>1766</v>
      </c>
      <c r="B767" t="str">
        <f>'Customers Raw data'!B767</f>
        <v>2025-03-27</v>
      </c>
      <c r="C767" t="str">
        <f>'Customers Raw data'!C767</f>
        <v>Basic</v>
      </c>
      <c r="D767">
        <f>'Customers Raw data'!D767</f>
        <v>50</v>
      </c>
      <c r="E767">
        <f>'Customers Raw data'!E767</f>
        <v>30</v>
      </c>
      <c r="F767">
        <f>'Customers Raw data'!F767</f>
        <v>0</v>
      </c>
      <c r="G767">
        <f>IF('Customers Raw data'!F767&lt;&gt;"",1,0)</f>
        <v>0</v>
      </c>
      <c r="H767" t="str">
        <f>IF('Customers Raw data'!F767&lt;&gt;"",YEAR(DATEVALUE('Customers Raw data'!F767)),"")</f>
        <v/>
      </c>
      <c r="I767" t="str">
        <f>IF('Customers Raw data'!F767&lt;&gt;"",MONTH(DATEVALUE('Customers Raw data'!F767)),"")</f>
        <v/>
      </c>
      <c r="J767">
        <f>YEAR(DATEVALUE('Customers Raw data'!B767))</f>
        <v>2025</v>
      </c>
      <c r="K767">
        <f>MONTH(DATEVALUE('Customers Raw data'!B767))</f>
        <v>3</v>
      </c>
      <c r="L767">
        <f ca="1">IF('Customers Raw data'!F767&lt;&gt;"",DATEDIF(DATEVALUE('Customers Raw data'!B767),DATEVALUE('Customers Raw data'!F767),"M"),DATEDIF(DATEVALUE('Customers Raw data'!B767),TODAY(),"M"))</f>
        <v>12</v>
      </c>
      <c r="M767">
        <f t="shared" ca="1" si="55"/>
        <v>600</v>
      </c>
      <c r="N767">
        <f t="shared" si="56"/>
        <v>1</v>
      </c>
      <c r="O767">
        <f t="shared" ca="1" si="57"/>
        <v>0</v>
      </c>
      <c r="P767">
        <f t="shared" si="58"/>
        <v>0</v>
      </c>
      <c r="Q767" t="e">
        <f t="shared" si="59"/>
        <v>#VALUE!</v>
      </c>
    </row>
    <row r="768" spans="1:17" ht="15" customHeight="1" x14ac:dyDescent="0.25">
      <c r="A768">
        <f>'Customers Raw data'!A768</f>
        <v>1767</v>
      </c>
      <c r="B768" t="str">
        <f>'Customers Raw data'!B768</f>
        <v>2024-12-31</v>
      </c>
      <c r="C768" t="str">
        <f>'Customers Raw data'!C768</f>
        <v>Pro</v>
      </c>
      <c r="D768">
        <f>'Customers Raw data'!D768</f>
        <v>200</v>
      </c>
      <c r="E768">
        <f>'Customers Raw data'!E768</f>
        <v>100</v>
      </c>
      <c r="F768" t="str">
        <f>'Customers Raw data'!F768</f>
        <v>2025-04-09</v>
      </c>
      <c r="G768">
        <f>IF('Customers Raw data'!F768&lt;&gt;"",1,0)</f>
        <v>1</v>
      </c>
      <c r="H768">
        <f>IF('Customers Raw data'!F768&lt;&gt;"",YEAR(DATEVALUE('Customers Raw data'!F768)),"")</f>
        <v>2025</v>
      </c>
      <c r="I768">
        <f>IF('Customers Raw data'!F768&lt;&gt;"",MONTH(DATEVALUE('Customers Raw data'!F768)),"")</f>
        <v>4</v>
      </c>
      <c r="J768">
        <f>YEAR(DATEVALUE('Customers Raw data'!B768))</f>
        <v>2024</v>
      </c>
      <c r="K768">
        <f>MONTH(DATEVALUE('Customers Raw data'!B768))</f>
        <v>12</v>
      </c>
      <c r="L768">
        <f ca="1">IF('Customers Raw data'!F768&lt;&gt;"",DATEDIF(DATEVALUE('Customers Raw data'!B768),DATEVALUE('Customers Raw data'!F768),"M"),DATEDIF(DATEVALUE('Customers Raw data'!B768),TODAY(),"M"))</f>
        <v>3</v>
      </c>
      <c r="M768">
        <f t="shared" ca="1" si="55"/>
        <v>600</v>
      </c>
      <c r="N768">
        <f t="shared" si="56"/>
        <v>2</v>
      </c>
      <c r="O768">
        <f t="shared" ca="1" si="57"/>
        <v>1</v>
      </c>
      <c r="P768">
        <f t="shared" si="58"/>
        <v>200</v>
      </c>
      <c r="Q768" t="str">
        <f t="shared" si="59"/>
        <v>2025-04</v>
      </c>
    </row>
    <row r="769" spans="1:17" ht="15" customHeight="1" x14ac:dyDescent="0.25">
      <c r="A769">
        <f>'Customers Raw data'!A769</f>
        <v>1768</v>
      </c>
      <c r="B769" t="str">
        <f>'Customers Raw data'!B769</f>
        <v>2025-06-22</v>
      </c>
      <c r="C769" t="str">
        <f>'Customers Raw data'!C769</f>
        <v>Pro</v>
      </c>
      <c r="D769">
        <f>'Customers Raw data'!D769</f>
        <v>200</v>
      </c>
      <c r="E769">
        <f>'Customers Raw data'!E769</f>
        <v>100</v>
      </c>
      <c r="F769" t="str">
        <f>'Customers Raw data'!F769</f>
        <v>2025-06-30</v>
      </c>
      <c r="G769">
        <f>IF('Customers Raw data'!F769&lt;&gt;"",1,0)</f>
        <v>1</v>
      </c>
      <c r="H769">
        <f>IF('Customers Raw data'!F769&lt;&gt;"",YEAR(DATEVALUE('Customers Raw data'!F769)),"")</f>
        <v>2025</v>
      </c>
      <c r="I769">
        <f>IF('Customers Raw data'!F769&lt;&gt;"",MONTH(DATEVALUE('Customers Raw data'!F769)),"")</f>
        <v>6</v>
      </c>
      <c r="J769">
        <f>YEAR(DATEVALUE('Customers Raw data'!B769))</f>
        <v>2025</v>
      </c>
      <c r="K769">
        <f>MONTH(DATEVALUE('Customers Raw data'!B769))</f>
        <v>6</v>
      </c>
      <c r="L769">
        <f ca="1">IF('Customers Raw data'!F769&lt;&gt;"",DATEDIF(DATEVALUE('Customers Raw data'!B769),DATEVALUE('Customers Raw data'!F769),"M"),DATEDIF(DATEVALUE('Customers Raw data'!B769),TODAY(),"M"))</f>
        <v>0</v>
      </c>
      <c r="M769">
        <f t="shared" ca="1" si="55"/>
        <v>0</v>
      </c>
      <c r="N769">
        <f t="shared" si="56"/>
        <v>2</v>
      </c>
      <c r="O769">
        <f t="shared" ca="1" si="57"/>
        <v>1</v>
      </c>
      <c r="P769">
        <f t="shared" si="58"/>
        <v>200</v>
      </c>
      <c r="Q769" t="str">
        <f t="shared" si="59"/>
        <v>2025-06</v>
      </c>
    </row>
    <row r="770" spans="1:17" ht="15" customHeight="1" x14ac:dyDescent="0.25">
      <c r="A770">
        <f>'Customers Raw data'!A770</f>
        <v>1769</v>
      </c>
      <c r="B770" t="str">
        <f>'Customers Raw data'!B770</f>
        <v>2025-06-19</v>
      </c>
      <c r="C770" t="str">
        <f>'Customers Raw data'!C770</f>
        <v>Enterprise</v>
      </c>
      <c r="D770">
        <f>'Customers Raw data'!D770</f>
        <v>500</v>
      </c>
      <c r="E770">
        <f>'Customers Raw data'!E770</f>
        <v>200</v>
      </c>
      <c r="F770">
        <f>'Customers Raw data'!F770</f>
        <v>0</v>
      </c>
      <c r="G770">
        <f>IF('Customers Raw data'!F770&lt;&gt;"",1,0)</f>
        <v>0</v>
      </c>
      <c r="H770" t="str">
        <f>IF('Customers Raw data'!F770&lt;&gt;"",YEAR(DATEVALUE('Customers Raw data'!F770)),"")</f>
        <v/>
      </c>
      <c r="I770" t="str">
        <f>IF('Customers Raw data'!F770&lt;&gt;"",MONTH(DATEVALUE('Customers Raw data'!F770)),"")</f>
        <v/>
      </c>
      <c r="J770">
        <f>YEAR(DATEVALUE('Customers Raw data'!B770))</f>
        <v>2025</v>
      </c>
      <c r="K770">
        <f>MONTH(DATEVALUE('Customers Raw data'!B770))</f>
        <v>6</v>
      </c>
      <c r="L770">
        <f ca="1">IF('Customers Raw data'!F770&lt;&gt;"",DATEDIF(DATEVALUE('Customers Raw data'!B770),DATEVALUE('Customers Raw data'!F770),"M"),DATEDIF(DATEVALUE('Customers Raw data'!B770),TODAY(),"M"))</f>
        <v>9</v>
      </c>
      <c r="M770">
        <f t="shared" ref="M770:M833" ca="1" si="60">D770*L770</f>
        <v>4500</v>
      </c>
      <c r="N770">
        <f t="shared" ref="N770:N833" si="61">IF(C770="Basic",1,IF(C770="Pro",2,IF(C770="Enterprise",3,0)))</f>
        <v>3</v>
      </c>
      <c r="O770">
        <f t="shared" ref="O770:O833" ca="1" si="62">IF(AND(G770=1,L770&lt;6),1,0)</f>
        <v>0</v>
      </c>
      <c r="P770">
        <f t="shared" ref="P770:P833" si="63">IF(G770=1,D770,0)</f>
        <v>0</v>
      </c>
      <c r="Q770" t="e">
        <f t="shared" ref="Q770:Q833" si="64">IF(F770&lt;&gt;"",TEXT(DATEVALUE(F770),"YYYY-MM"),"")</f>
        <v>#VALUE!</v>
      </c>
    </row>
    <row r="771" spans="1:17" ht="15" customHeight="1" x14ac:dyDescent="0.25">
      <c r="A771">
        <f>'Customers Raw data'!A771</f>
        <v>1770</v>
      </c>
      <c r="B771" t="str">
        <f>'Customers Raw data'!B771</f>
        <v>2024-05-05</v>
      </c>
      <c r="C771" t="str">
        <f>'Customers Raw data'!C771</f>
        <v>Pro</v>
      </c>
      <c r="D771">
        <f>'Customers Raw data'!D771</f>
        <v>200</v>
      </c>
      <c r="E771">
        <f>'Customers Raw data'!E771</f>
        <v>100</v>
      </c>
      <c r="F771">
        <f>'Customers Raw data'!F771</f>
        <v>0</v>
      </c>
      <c r="G771">
        <f>IF('Customers Raw data'!F771&lt;&gt;"",1,0)</f>
        <v>0</v>
      </c>
      <c r="H771" t="str">
        <f>IF('Customers Raw data'!F771&lt;&gt;"",YEAR(DATEVALUE('Customers Raw data'!F771)),"")</f>
        <v/>
      </c>
      <c r="I771" t="str">
        <f>IF('Customers Raw data'!F771&lt;&gt;"",MONTH(DATEVALUE('Customers Raw data'!F771)),"")</f>
        <v/>
      </c>
      <c r="J771">
        <f>YEAR(DATEVALUE('Customers Raw data'!B771))</f>
        <v>2024</v>
      </c>
      <c r="K771">
        <f>MONTH(DATEVALUE('Customers Raw data'!B771))</f>
        <v>5</v>
      </c>
      <c r="L771">
        <f ca="1">IF('Customers Raw data'!F771&lt;&gt;"",DATEDIF(DATEVALUE('Customers Raw data'!B771),DATEVALUE('Customers Raw data'!F771),"M"),DATEDIF(DATEVALUE('Customers Raw data'!B771),TODAY(),"M"))</f>
        <v>23</v>
      </c>
      <c r="M771">
        <f t="shared" ca="1" si="60"/>
        <v>4600</v>
      </c>
      <c r="N771">
        <f t="shared" si="61"/>
        <v>2</v>
      </c>
      <c r="O771">
        <f t="shared" ca="1" si="62"/>
        <v>0</v>
      </c>
      <c r="P771">
        <f t="shared" si="63"/>
        <v>0</v>
      </c>
      <c r="Q771" t="e">
        <f t="shared" si="64"/>
        <v>#VALUE!</v>
      </c>
    </row>
    <row r="772" spans="1:17" ht="15" customHeight="1" x14ac:dyDescent="0.25">
      <c r="A772">
        <f>'Customers Raw data'!A772</f>
        <v>1771</v>
      </c>
      <c r="B772" t="str">
        <f>'Customers Raw data'!B772</f>
        <v>2024-07-10</v>
      </c>
      <c r="C772" t="str">
        <f>'Customers Raw data'!C772</f>
        <v>Enterprise</v>
      </c>
      <c r="D772">
        <f>'Customers Raw data'!D772</f>
        <v>500</v>
      </c>
      <c r="E772">
        <f>'Customers Raw data'!E772</f>
        <v>200</v>
      </c>
      <c r="F772">
        <f>'Customers Raw data'!F772</f>
        <v>0</v>
      </c>
      <c r="G772">
        <f>IF('Customers Raw data'!F772&lt;&gt;"",1,0)</f>
        <v>0</v>
      </c>
      <c r="H772" t="str">
        <f>IF('Customers Raw data'!F772&lt;&gt;"",YEAR(DATEVALUE('Customers Raw data'!F772)),"")</f>
        <v/>
      </c>
      <c r="I772" t="str">
        <f>IF('Customers Raw data'!F772&lt;&gt;"",MONTH(DATEVALUE('Customers Raw data'!F772)),"")</f>
        <v/>
      </c>
      <c r="J772">
        <f>YEAR(DATEVALUE('Customers Raw data'!B772))</f>
        <v>2024</v>
      </c>
      <c r="K772">
        <f>MONTH(DATEVALUE('Customers Raw data'!B772))</f>
        <v>7</v>
      </c>
      <c r="L772">
        <f ca="1">IF('Customers Raw data'!F772&lt;&gt;"",DATEDIF(DATEVALUE('Customers Raw data'!B772),DATEVALUE('Customers Raw data'!F772),"M"),DATEDIF(DATEVALUE('Customers Raw data'!B772),TODAY(),"M"))</f>
        <v>20</v>
      </c>
      <c r="M772">
        <f t="shared" ca="1" si="60"/>
        <v>10000</v>
      </c>
      <c r="N772">
        <f t="shared" si="61"/>
        <v>3</v>
      </c>
      <c r="O772">
        <f t="shared" ca="1" si="62"/>
        <v>0</v>
      </c>
      <c r="P772">
        <f t="shared" si="63"/>
        <v>0</v>
      </c>
      <c r="Q772" t="e">
        <f t="shared" si="64"/>
        <v>#VALUE!</v>
      </c>
    </row>
    <row r="773" spans="1:17" ht="15" customHeight="1" x14ac:dyDescent="0.25">
      <c r="A773">
        <f>'Customers Raw data'!A773</f>
        <v>1772</v>
      </c>
      <c r="B773" t="str">
        <f>'Customers Raw data'!B773</f>
        <v>2025-06-27</v>
      </c>
      <c r="C773" t="str">
        <f>'Customers Raw data'!C773</f>
        <v>Enterprise</v>
      </c>
      <c r="D773">
        <f>'Customers Raw data'!D773</f>
        <v>500</v>
      </c>
      <c r="E773">
        <f>'Customers Raw data'!E773</f>
        <v>200</v>
      </c>
      <c r="F773">
        <f>'Customers Raw data'!F773</f>
        <v>0</v>
      </c>
      <c r="G773">
        <f>IF('Customers Raw data'!F773&lt;&gt;"",1,0)</f>
        <v>0</v>
      </c>
      <c r="H773" t="str">
        <f>IF('Customers Raw data'!F773&lt;&gt;"",YEAR(DATEVALUE('Customers Raw data'!F773)),"")</f>
        <v/>
      </c>
      <c r="I773" t="str">
        <f>IF('Customers Raw data'!F773&lt;&gt;"",MONTH(DATEVALUE('Customers Raw data'!F773)),"")</f>
        <v/>
      </c>
      <c r="J773">
        <f>YEAR(DATEVALUE('Customers Raw data'!B773))</f>
        <v>2025</v>
      </c>
      <c r="K773">
        <f>MONTH(DATEVALUE('Customers Raw data'!B773))</f>
        <v>6</v>
      </c>
      <c r="L773">
        <f ca="1">IF('Customers Raw data'!F773&lt;&gt;"",DATEDIF(DATEVALUE('Customers Raw data'!B773),DATEVALUE('Customers Raw data'!F773),"M"),DATEDIF(DATEVALUE('Customers Raw data'!B773),TODAY(),"M"))</f>
        <v>9</v>
      </c>
      <c r="M773">
        <f t="shared" ca="1" si="60"/>
        <v>4500</v>
      </c>
      <c r="N773">
        <f t="shared" si="61"/>
        <v>3</v>
      </c>
      <c r="O773">
        <f t="shared" ca="1" si="62"/>
        <v>0</v>
      </c>
      <c r="P773">
        <f t="shared" si="63"/>
        <v>0</v>
      </c>
      <c r="Q773" t="e">
        <f t="shared" si="64"/>
        <v>#VALUE!</v>
      </c>
    </row>
    <row r="774" spans="1:17" ht="15" customHeight="1" x14ac:dyDescent="0.25">
      <c r="A774">
        <f>'Customers Raw data'!A774</f>
        <v>1773</v>
      </c>
      <c r="B774" t="str">
        <f>'Customers Raw data'!B774</f>
        <v>2024-08-26</v>
      </c>
      <c r="C774" t="str">
        <f>'Customers Raw data'!C774</f>
        <v>Basic</v>
      </c>
      <c r="D774">
        <f>'Customers Raw data'!D774</f>
        <v>50</v>
      </c>
      <c r="E774">
        <f>'Customers Raw data'!E774</f>
        <v>30</v>
      </c>
      <c r="F774">
        <f>'Customers Raw data'!F774</f>
        <v>0</v>
      </c>
      <c r="G774">
        <f>IF('Customers Raw data'!F774&lt;&gt;"",1,0)</f>
        <v>0</v>
      </c>
      <c r="H774" t="str">
        <f>IF('Customers Raw data'!F774&lt;&gt;"",YEAR(DATEVALUE('Customers Raw data'!F774)),"")</f>
        <v/>
      </c>
      <c r="I774" t="str">
        <f>IF('Customers Raw data'!F774&lt;&gt;"",MONTH(DATEVALUE('Customers Raw data'!F774)),"")</f>
        <v/>
      </c>
      <c r="J774">
        <f>YEAR(DATEVALUE('Customers Raw data'!B774))</f>
        <v>2024</v>
      </c>
      <c r="K774">
        <f>MONTH(DATEVALUE('Customers Raw data'!B774))</f>
        <v>8</v>
      </c>
      <c r="L774">
        <f ca="1">IF('Customers Raw data'!F774&lt;&gt;"",DATEDIF(DATEVALUE('Customers Raw data'!B774),DATEVALUE('Customers Raw data'!F774),"M"),DATEDIF(DATEVALUE('Customers Raw data'!B774),TODAY(),"M"))</f>
        <v>19</v>
      </c>
      <c r="M774">
        <f t="shared" ca="1" si="60"/>
        <v>950</v>
      </c>
      <c r="N774">
        <f t="shared" si="61"/>
        <v>1</v>
      </c>
      <c r="O774">
        <f t="shared" ca="1" si="62"/>
        <v>0</v>
      </c>
      <c r="P774">
        <f t="shared" si="63"/>
        <v>0</v>
      </c>
      <c r="Q774" t="e">
        <f t="shared" si="64"/>
        <v>#VALUE!</v>
      </c>
    </row>
    <row r="775" spans="1:17" ht="15" customHeight="1" x14ac:dyDescent="0.25">
      <c r="A775">
        <f>'Customers Raw data'!A775</f>
        <v>1774</v>
      </c>
      <c r="B775" t="str">
        <f>'Customers Raw data'!B775</f>
        <v>2024-10-29</v>
      </c>
      <c r="C775" t="str">
        <f>'Customers Raw data'!C775</f>
        <v>Basic</v>
      </c>
      <c r="D775">
        <f>'Customers Raw data'!D775</f>
        <v>50</v>
      </c>
      <c r="E775">
        <f>'Customers Raw data'!E775</f>
        <v>30</v>
      </c>
      <c r="F775">
        <f>'Customers Raw data'!F775</f>
        <v>0</v>
      </c>
      <c r="G775">
        <f>IF('Customers Raw data'!F775&lt;&gt;"",1,0)</f>
        <v>0</v>
      </c>
      <c r="H775" t="str">
        <f>IF('Customers Raw data'!F775&lt;&gt;"",YEAR(DATEVALUE('Customers Raw data'!F775)),"")</f>
        <v/>
      </c>
      <c r="I775" t="str">
        <f>IF('Customers Raw data'!F775&lt;&gt;"",MONTH(DATEVALUE('Customers Raw data'!F775)),"")</f>
        <v/>
      </c>
      <c r="J775">
        <f>YEAR(DATEVALUE('Customers Raw data'!B775))</f>
        <v>2024</v>
      </c>
      <c r="K775">
        <f>MONTH(DATEVALUE('Customers Raw data'!B775))</f>
        <v>10</v>
      </c>
      <c r="L775">
        <f ca="1">IF('Customers Raw data'!F775&lt;&gt;"",DATEDIF(DATEVALUE('Customers Raw data'!B775),DATEVALUE('Customers Raw data'!F775),"M"),DATEDIF(DATEVALUE('Customers Raw data'!B775),TODAY(),"M"))</f>
        <v>17</v>
      </c>
      <c r="M775">
        <f t="shared" ca="1" si="60"/>
        <v>850</v>
      </c>
      <c r="N775">
        <f t="shared" si="61"/>
        <v>1</v>
      </c>
      <c r="O775">
        <f t="shared" ca="1" si="62"/>
        <v>0</v>
      </c>
      <c r="P775">
        <f t="shared" si="63"/>
        <v>0</v>
      </c>
      <c r="Q775" t="e">
        <f t="shared" si="64"/>
        <v>#VALUE!</v>
      </c>
    </row>
    <row r="776" spans="1:17" ht="15" customHeight="1" x14ac:dyDescent="0.25">
      <c r="A776">
        <f>'Customers Raw data'!A776</f>
        <v>1775</v>
      </c>
      <c r="B776" t="str">
        <f>'Customers Raw data'!B776</f>
        <v>2024-05-20</v>
      </c>
      <c r="C776" t="str">
        <f>'Customers Raw data'!C776</f>
        <v>Pro</v>
      </c>
      <c r="D776">
        <f>'Customers Raw data'!D776</f>
        <v>200</v>
      </c>
      <c r="E776">
        <f>'Customers Raw data'!E776</f>
        <v>100</v>
      </c>
      <c r="F776">
        <f>'Customers Raw data'!F776</f>
        <v>0</v>
      </c>
      <c r="G776">
        <f>IF('Customers Raw data'!F776&lt;&gt;"",1,0)</f>
        <v>0</v>
      </c>
      <c r="H776" t="str">
        <f>IF('Customers Raw data'!F776&lt;&gt;"",YEAR(DATEVALUE('Customers Raw data'!F776)),"")</f>
        <v/>
      </c>
      <c r="I776" t="str">
        <f>IF('Customers Raw data'!F776&lt;&gt;"",MONTH(DATEVALUE('Customers Raw data'!F776)),"")</f>
        <v/>
      </c>
      <c r="J776">
        <f>YEAR(DATEVALUE('Customers Raw data'!B776))</f>
        <v>2024</v>
      </c>
      <c r="K776">
        <f>MONTH(DATEVALUE('Customers Raw data'!B776))</f>
        <v>5</v>
      </c>
      <c r="L776">
        <f ca="1">IF('Customers Raw data'!F776&lt;&gt;"",DATEDIF(DATEVALUE('Customers Raw data'!B776),DATEVALUE('Customers Raw data'!F776),"M"),DATEDIF(DATEVALUE('Customers Raw data'!B776),TODAY(),"M"))</f>
        <v>22</v>
      </c>
      <c r="M776">
        <f t="shared" ca="1" si="60"/>
        <v>4400</v>
      </c>
      <c r="N776">
        <f t="shared" si="61"/>
        <v>2</v>
      </c>
      <c r="O776">
        <f t="shared" ca="1" si="62"/>
        <v>0</v>
      </c>
      <c r="P776">
        <f t="shared" si="63"/>
        <v>0</v>
      </c>
      <c r="Q776" t="e">
        <f t="shared" si="64"/>
        <v>#VALUE!</v>
      </c>
    </row>
    <row r="777" spans="1:17" ht="15" customHeight="1" x14ac:dyDescent="0.25">
      <c r="A777">
        <f>'Customers Raw data'!A777</f>
        <v>1776</v>
      </c>
      <c r="B777" t="str">
        <f>'Customers Raw data'!B777</f>
        <v>2025-02-02</v>
      </c>
      <c r="C777" t="str">
        <f>'Customers Raw data'!C777</f>
        <v>Enterprise</v>
      </c>
      <c r="D777">
        <f>'Customers Raw data'!D777</f>
        <v>500</v>
      </c>
      <c r="E777">
        <f>'Customers Raw data'!E777</f>
        <v>200</v>
      </c>
      <c r="F777">
        <f>'Customers Raw data'!F777</f>
        <v>0</v>
      </c>
      <c r="G777">
        <f>IF('Customers Raw data'!F777&lt;&gt;"",1,0)</f>
        <v>0</v>
      </c>
      <c r="H777" t="str">
        <f>IF('Customers Raw data'!F777&lt;&gt;"",YEAR(DATEVALUE('Customers Raw data'!F777)),"")</f>
        <v/>
      </c>
      <c r="I777" t="str">
        <f>IF('Customers Raw data'!F777&lt;&gt;"",MONTH(DATEVALUE('Customers Raw data'!F777)),"")</f>
        <v/>
      </c>
      <c r="J777">
        <f>YEAR(DATEVALUE('Customers Raw data'!B777))</f>
        <v>2025</v>
      </c>
      <c r="K777">
        <f>MONTH(DATEVALUE('Customers Raw data'!B777))</f>
        <v>2</v>
      </c>
      <c r="L777">
        <f ca="1">IF('Customers Raw data'!F777&lt;&gt;"",DATEDIF(DATEVALUE('Customers Raw data'!B777),DATEVALUE('Customers Raw data'!F777),"M"),DATEDIF(DATEVALUE('Customers Raw data'!B777),TODAY(),"M"))</f>
        <v>14</v>
      </c>
      <c r="M777">
        <f t="shared" ca="1" si="60"/>
        <v>7000</v>
      </c>
      <c r="N777">
        <f t="shared" si="61"/>
        <v>3</v>
      </c>
      <c r="O777">
        <f t="shared" ca="1" si="62"/>
        <v>0</v>
      </c>
      <c r="P777">
        <f t="shared" si="63"/>
        <v>0</v>
      </c>
      <c r="Q777" t="e">
        <f t="shared" si="64"/>
        <v>#VALUE!</v>
      </c>
    </row>
    <row r="778" spans="1:17" ht="15" customHeight="1" x14ac:dyDescent="0.25">
      <c r="A778">
        <f>'Customers Raw data'!A778</f>
        <v>1777</v>
      </c>
      <c r="B778" t="str">
        <f>'Customers Raw data'!B778</f>
        <v>2024-01-06</v>
      </c>
      <c r="C778" t="str">
        <f>'Customers Raw data'!C778</f>
        <v>Basic</v>
      </c>
      <c r="D778">
        <f>'Customers Raw data'!D778</f>
        <v>50</v>
      </c>
      <c r="E778">
        <f>'Customers Raw data'!E778</f>
        <v>30</v>
      </c>
      <c r="F778">
        <f>'Customers Raw data'!F778</f>
        <v>0</v>
      </c>
      <c r="G778">
        <f>IF('Customers Raw data'!F778&lt;&gt;"",1,0)</f>
        <v>0</v>
      </c>
      <c r="H778" t="str">
        <f>IF('Customers Raw data'!F778&lt;&gt;"",YEAR(DATEVALUE('Customers Raw data'!F778)),"")</f>
        <v/>
      </c>
      <c r="I778" t="str">
        <f>IF('Customers Raw data'!F778&lt;&gt;"",MONTH(DATEVALUE('Customers Raw data'!F778)),"")</f>
        <v/>
      </c>
      <c r="J778">
        <f>YEAR(DATEVALUE('Customers Raw data'!B778))</f>
        <v>2024</v>
      </c>
      <c r="K778">
        <f>MONTH(DATEVALUE('Customers Raw data'!B778))</f>
        <v>1</v>
      </c>
      <c r="L778">
        <f ca="1">IF('Customers Raw data'!F778&lt;&gt;"",DATEDIF(DATEVALUE('Customers Raw data'!B778),DATEVALUE('Customers Raw data'!F778),"M"),DATEDIF(DATEVALUE('Customers Raw data'!B778),TODAY(),"M"))</f>
        <v>27</v>
      </c>
      <c r="M778">
        <f t="shared" ca="1" si="60"/>
        <v>1350</v>
      </c>
      <c r="N778">
        <f t="shared" si="61"/>
        <v>1</v>
      </c>
      <c r="O778">
        <f t="shared" ca="1" si="62"/>
        <v>0</v>
      </c>
      <c r="P778">
        <f t="shared" si="63"/>
        <v>0</v>
      </c>
      <c r="Q778" t="e">
        <f t="shared" si="64"/>
        <v>#VALUE!</v>
      </c>
    </row>
    <row r="779" spans="1:17" ht="15" customHeight="1" x14ac:dyDescent="0.25">
      <c r="A779">
        <f>'Customers Raw data'!A779</f>
        <v>1778</v>
      </c>
      <c r="B779" t="str">
        <f>'Customers Raw data'!B779</f>
        <v>2024-01-09</v>
      </c>
      <c r="C779" t="str">
        <f>'Customers Raw data'!C779</f>
        <v>Basic</v>
      </c>
      <c r="D779">
        <f>'Customers Raw data'!D779</f>
        <v>50</v>
      </c>
      <c r="E779">
        <f>'Customers Raw data'!E779</f>
        <v>30</v>
      </c>
      <c r="F779">
        <f>'Customers Raw data'!F779</f>
        <v>0</v>
      </c>
      <c r="G779">
        <f>IF('Customers Raw data'!F779&lt;&gt;"",1,0)</f>
        <v>0</v>
      </c>
      <c r="H779" t="str">
        <f>IF('Customers Raw data'!F779&lt;&gt;"",YEAR(DATEVALUE('Customers Raw data'!F779)),"")</f>
        <v/>
      </c>
      <c r="I779" t="str">
        <f>IF('Customers Raw data'!F779&lt;&gt;"",MONTH(DATEVALUE('Customers Raw data'!F779)),"")</f>
        <v/>
      </c>
      <c r="J779">
        <f>YEAR(DATEVALUE('Customers Raw data'!B779))</f>
        <v>2024</v>
      </c>
      <c r="K779">
        <f>MONTH(DATEVALUE('Customers Raw data'!B779))</f>
        <v>1</v>
      </c>
      <c r="L779">
        <f ca="1">IF('Customers Raw data'!F779&lt;&gt;"",DATEDIF(DATEVALUE('Customers Raw data'!B779),DATEVALUE('Customers Raw data'!F779),"M"),DATEDIF(DATEVALUE('Customers Raw data'!B779),TODAY(),"M"))</f>
        <v>26</v>
      </c>
      <c r="M779">
        <f t="shared" ca="1" si="60"/>
        <v>1300</v>
      </c>
      <c r="N779">
        <f t="shared" si="61"/>
        <v>1</v>
      </c>
      <c r="O779">
        <f t="shared" ca="1" si="62"/>
        <v>0</v>
      </c>
      <c r="P779">
        <f t="shared" si="63"/>
        <v>0</v>
      </c>
      <c r="Q779" t="e">
        <f t="shared" si="64"/>
        <v>#VALUE!</v>
      </c>
    </row>
    <row r="780" spans="1:17" ht="15" customHeight="1" x14ac:dyDescent="0.25">
      <c r="A780">
        <f>'Customers Raw data'!A780</f>
        <v>1779</v>
      </c>
      <c r="B780" t="str">
        <f>'Customers Raw data'!B780</f>
        <v>2024-11-09</v>
      </c>
      <c r="C780" t="str">
        <f>'Customers Raw data'!C780</f>
        <v>Basic</v>
      </c>
      <c r="D780">
        <f>'Customers Raw data'!D780</f>
        <v>50</v>
      </c>
      <c r="E780">
        <f>'Customers Raw data'!E780</f>
        <v>30</v>
      </c>
      <c r="F780">
        <f>'Customers Raw data'!F780</f>
        <v>0</v>
      </c>
      <c r="G780">
        <f>IF('Customers Raw data'!F780&lt;&gt;"",1,0)</f>
        <v>0</v>
      </c>
      <c r="H780" t="str">
        <f>IF('Customers Raw data'!F780&lt;&gt;"",YEAR(DATEVALUE('Customers Raw data'!F780)),"")</f>
        <v/>
      </c>
      <c r="I780" t="str">
        <f>IF('Customers Raw data'!F780&lt;&gt;"",MONTH(DATEVALUE('Customers Raw data'!F780)),"")</f>
        <v/>
      </c>
      <c r="J780">
        <f>YEAR(DATEVALUE('Customers Raw data'!B780))</f>
        <v>2024</v>
      </c>
      <c r="K780">
        <f>MONTH(DATEVALUE('Customers Raw data'!B780))</f>
        <v>11</v>
      </c>
      <c r="L780">
        <f ca="1">IF('Customers Raw data'!F780&lt;&gt;"",DATEDIF(DATEVALUE('Customers Raw data'!B780),DATEVALUE('Customers Raw data'!F780),"M"),DATEDIF(DATEVALUE('Customers Raw data'!B780),TODAY(),"M"))</f>
        <v>16</v>
      </c>
      <c r="M780">
        <f t="shared" ca="1" si="60"/>
        <v>800</v>
      </c>
      <c r="N780">
        <f t="shared" si="61"/>
        <v>1</v>
      </c>
      <c r="O780">
        <f t="shared" ca="1" si="62"/>
        <v>0</v>
      </c>
      <c r="P780">
        <f t="shared" si="63"/>
        <v>0</v>
      </c>
      <c r="Q780" t="e">
        <f t="shared" si="64"/>
        <v>#VALUE!</v>
      </c>
    </row>
    <row r="781" spans="1:17" ht="15" customHeight="1" x14ac:dyDescent="0.25">
      <c r="A781">
        <f>'Customers Raw data'!A781</f>
        <v>1780</v>
      </c>
      <c r="B781" t="str">
        <f>'Customers Raw data'!B781</f>
        <v>2024-08-24</v>
      </c>
      <c r="C781" t="str">
        <f>'Customers Raw data'!C781</f>
        <v>Basic</v>
      </c>
      <c r="D781">
        <f>'Customers Raw data'!D781</f>
        <v>50</v>
      </c>
      <c r="E781">
        <f>'Customers Raw data'!E781</f>
        <v>30</v>
      </c>
      <c r="F781">
        <f>'Customers Raw data'!F781</f>
        <v>0</v>
      </c>
      <c r="G781">
        <f>IF('Customers Raw data'!F781&lt;&gt;"",1,0)</f>
        <v>0</v>
      </c>
      <c r="H781" t="str">
        <f>IF('Customers Raw data'!F781&lt;&gt;"",YEAR(DATEVALUE('Customers Raw data'!F781)),"")</f>
        <v/>
      </c>
      <c r="I781" t="str">
        <f>IF('Customers Raw data'!F781&lt;&gt;"",MONTH(DATEVALUE('Customers Raw data'!F781)),"")</f>
        <v/>
      </c>
      <c r="J781">
        <f>YEAR(DATEVALUE('Customers Raw data'!B781))</f>
        <v>2024</v>
      </c>
      <c r="K781">
        <f>MONTH(DATEVALUE('Customers Raw data'!B781))</f>
        <v>8</v>
      </c>
      <c r="L781">
        <f ca="1">IF('Customers Raw data'!F781&lt;&gt;"",DATEDIF(DATEVALUE('Customers Raw data'!B781),DATEVALUE('Customers Raw data'!F781),"M"),DATEDIF(DATEVALUE('Customers Raw data'!B781),TODAY(),"M"))</f>
        <v>19</v>
      </c>
      <c r="M781">
        <f t="shared" ca="1" si="60"/>
        <v>950</v>
      </c>
      <c r="N781">
        <f t="shared" si="61"/>
        <v>1</v>
      </c>
      <c r="O781">
        <f t="shared" ca="1" si="62"/>
        <v>0</v>
      </c>
      <c r="P781">
        <f t="shared" si="63"/>
        <v>0</v>
      </c>
      <c r="Q781" t="e">
        <f t="shared" si="64"/>
        <v>#VALUE!</v>
      </c>
    </row>
    <row r="782" spans="1:17" ht="15" customHeight="1" x14ac:dyDescent="0.25">
      <c r="A782">
        <f>'Customers Raw data'!A782</f>
        <v>1781</v>
      </c>
      <c r="B782" t="str">
        <f>'Customers Raw data'!B782</f>
        <v>2024-04-20</v>
      </c>
      <c r="C782" t="str">
        <f>'Customers Raw data'!C782</f>
        <v>Basic</v>
      </c>
      <c r="D782">
        <f>'Customers Raw data'!D782</f>
        <v>50</v>
      </c>
      <c r="E782">
        <f>'Customers Raw data'!E782</f>
        <v>30</v>
      </c>
      <c r="F782">
        <f>'Customers Raw data'!F782</f>
        <v>0</v>
      </c>
      <c r="G782">
        <f>IF('Customers Raw data'!F782&lt;&gt;"",1,0)</f>
        <v>0</v>
      </c>
      <c r="H782" t="str">
        <f>IF('Customers Raw data'!F782&lt;&gt;"",YEAR(DATEVALUE('Customers Raw data'!F782)),"")</f>
        <v/>
      </c>
      <c r="I782" t="str">
        <f>IF('Customers Raw data'!F782&lt;&gt;"",MONTH(DATEVALUE('Customers Raw data'!F782)),"")</f>
        <v/>
      </c>
      <c r="J782">
        <f>YEAR(DATEVALUE('Customers Raw data'!B782))</f>
        <v>2024</v>
      </c>
      <c r="K782">
        <f>MONTH(DATEVALUE('Customers Raw data'!B782))</f>
        <v>4</v>
      </c>
      <c r="L782">
        <f ca="1">IF('Customers Raw data'!F782&lt;&gt;"",DATEDIF(DATEVALUE('Customers Raw data'!B782),DATEVALUE('Customers Raw data'!F782),"M"),DATEDIF(DATEVALUE('Customers Raw data'!B782),TODAY(),"M"))</f>
        <v>23</v>
      </c>
      <c r="M782">
        <f t="shared" ca="1" si="60"/>
        <v>1150</v>
      </c>
      <c r="N782">
        <f t="shared" si="61"/>
        <v>1</v>
      </c>
      <c r="O782">
        <f t="shared" ca="1" si="62"/>
        <v>0</v>
      </c>
      <c r="P782">
        <f t="shared" si="63"/>
        <v>0</v>
      </c>
      <c r="Q782" t="e">
        <f t="shared" si="64"/>
        <v>#VALUE!</v>
      </c>
    </row>
    <row r="783" spans="1:17" ht="15" customHeight="1" x14ac:dyDescent="0.25">
      <c r="A783">
        <f>'Customers Raw data'!A783</f>
        <v>1782</v>
      </c>
      <c r="B783" t="str">
        <f>'Customers Raw data'!B783</f>
        <v>2025-04-24</v>
      </c>
      <c r="C783" t="str">
        <f>'Customers Raw data'!C783</f>
        <v>Pro</v>
      </c>
      <c r="D783">
        <f>'Customers Raw data'!D783</f>
        <v>200</v>
      </c>
      <c r="E783">
        <f>'Customers Raw data'!E783</f>
        <v>100</v>
      </c>
      <c r="F783">
        <f>'Customers Raw data'!F783</f>
        <v>0</v>
      </c>
      <c r="G783">
        <f>IF('Customers Raw data'!F783&lt;&gt;"",1,0)</f>
        <v>0</v>
      </c>
      <c r="H783" t="str">
        <f>IF('Customers Raw data'!F783&lt;&gt;"",YEAR(DATEVALUE('Customers Raw data'!F783)),"")</f>
        <v/>
      </c>
      <c r="I783" t="str">
        <f>IF('Customers Raw data'!F783&lt;&gt;"",MONTH(DATEVALUE('Customers Raw data'!F783)),"")</f>
        <v/>
      </c>
      <c r="J783">
        <f>YEAR(DATEVALUE('Customers Raw data'!B783))</f>
        <v>2025</v>
      </c>
      <c r="K783">
        <f>MONTH(DATEVALUE('Customers Raw data'!B783))</f>
        <v>4</v>
      </c>
      <c r="L783">
        <f ca="1">IF('Customers Raw data'!F783&lt;&gt;"",DATEDIF(DATEVALUE('Customers Raw data'!B783),DATEVALUE('Customers Raw data'!F783),"M"),DATEDIF(DATEVALUE('Customers Raw data'!B783),TODAY(),"M"))</f>
        <v>11</v>
      </c>
      <c r="M783">
        <f t="shared" ca="1" si="60"/>
        <v>2200</v>
      </c>
      <c r="N783">
        <f t="shared" si="61"/>
        <v>2</v>
      </c>
      <c r="O783">
        <f t="shared" ca="1" si="62"/>
        <v>0</v>
      </c>
      <c r="P783">
        <f t="shared" si="63"/>
        <v>0</v>
      </c>
      <c r="Q783" t="e">
        <f t="shared" si="64"/>
        <v>#VALUE!</v>
      </c>
    </row>
    <row r="784" spans="1:17" ht="15" customHeight="1" x14ac:dyDescent="0.25">
      <c r="A784">
        <f>'Customers Raw data'!A784</f>
        <v>1783</v>
      </c>
      <c r="B784" t="str">
        <f>'Customers Raw data'!B784</f>
        <v>2024-09-26</v>
      </c>
      <c r="C784" t="str">
        <f>'Customers Raw data'!C784</f>
        <v>Pro</v>
      </c>
      <c r="D784">
        <f>'Customers Raw data'!D784</f>
        <v>200</v>
      </c>
      <c r="E784">
        <f>'Customers Raw data'!E784</f>
        <v>100</v>
      </c>
      <c r="F784">
        <f>'Customers Raw data'!F784</f>
        <v>0</v>
      </c>
      <c r="G784">
        <f>IF('Customers Raw data'!F784&lt;&gt;"",1,0)</f>
        <v>0</v>
      </c>
      <c r="H784" t="str">
        <f>IF('Customers Raw data'!F784&lt;&gt;"",YEAR(DATEVALUE('Customers Raw data'!F784)),"")</f>
        <v/>
      </c>
      <c r="I784" t="str">
        <f>IF('Customers Raw data'!F784&lt;&gt;"",MONTH(DATEVALUE('Customers Raw data'!F784)),"")</f>
        <v/>
      </c>
      <c r="J784">
        <f>YEAR(DATEVALUE('Customers Raw data'!B784))</f>
        <v>2024</v>
      </c>
      <c r="K784">
        <f>MONTH(DATEVALUE('Customers Raw data'!B784))</f>
        <v>9</v>
      </c>
      <c r="L784">
        <f ca="1">IF('Customers Raw data'!F784&lt;&gt;"",DATEDIF(DATEVALUE('Customers Raw data'!B784),DATEVALUE('Customers Raw data'!F784),"M"),DATEDIF(DATEVALUE('Customers Raw data'!B784),TODAY(),"M"))</f>
        <v>18</v>
      </c>
      <c r="M784">
        <f t="shared" ca="1" si="60"/>
        <v>3600</v>
      </c>
      <c r="N784">
        <f t="shared" si="61"/>
        <v>2</v>
      </c>
      <c r="O784">
        <f t="shared" ca="1" si="62"/>
        <v>0</v>
      </c>
      <c r="P784">
        <f t="shared" si="63"/>
        <v>0</v>
      </c>
      <c r="Q784" t="e">
        <f t="shared" si="64"/>
        <v>#VALUE!</v>
      </c>
    </row>
    <row r="785" spans="1:17" ht="15" customHeight="1" x14ac:dyDescent="0.25">
      <c r="A785">
        <f>'Customers Raw data'!A785</f>
        <v>1784</v>
      </c>
      <c r="B785" t="str">
        <f>'Customers Raw data'!B785</f>
        <v>2024-10-29</v>
      </c>
      <c r="C785" t="str">
        <f>'Customers Raw data'!C785</f>
        <v>Pro</v>
      </c>
      <c r="D785">
        <f>'Customers Raw data'!D785</f>
        <v>200</v>
      </c>
      <c r="E785">
        <f>'Customers Raw data'!E785</f>
        <v>100</v>
      </c>
      <c r="F785">
        <f>'Customers Raw data'!F785</f>
        <v>0</v>
      </c>
      <c r="G785">
        <f>IF('Customers Raw data'!F785&lt;&gt;"",1,0)</f>
        <v>0</v>
      </c>
      <c r="H785" t="str">
        <f>IF('Customers Raw data'!F785&lt;&gt;"",YEAR(DATEVALUE('Customers Raw data'!F785)),"")</f>
        <v/>
      </c>
      <c r="I785" t="str">
        <f>IF('Customers Raw data'!F785&lt;&gt;"",MONTH(DATEVALUE('Customers Raw data'!F785)),"")</f>
        <v/>
      </c>
      <c r="J785">
        <f>YEAR(DATEVALUE('Customers Raw data'!B785))</f>
        <v>2024</v>
      </c>
      <c r="K785">
        <f>MONTH(DATEVALUE('Customers Raw data'!B785))</f>
        <v>10</v>
      </c>
      <c r="L785">
        <f ca="1">IF('Customers Raw data'!F785&lt;&gt;"",DATEDIF(DATEVALUE('Customers Raw data'!B785),DATEVALUE('Customers Raw data'!F785),"M"),DATEDIF(DATEVALUE('Customers Raw data'!B785),TODAY(),"M"))</f>
        <v>17</v>
      </c>
      <c r="M785">
        <f t="shared" ca="1" si="60"/>
        <v>3400</v>
      </c>
      <c r="N785">
        <f t="shared" si="61"/>
        <v>2</v>
      </c>
      <c r="O785">
        <f t="shared" ca="1" si="62"/>
        <v>0</v>
      </c>
      <c r="P785">
        <f t="shared" si="63"/>
        <v>0</v>
      </c>
      <c r="Q785" t="e">
        <f t="shared" si="64"/>
        <v>#VALUE!</v>
      </c>
    </row>
    <row r="786" spans="1:17" ht="15" customHeight="1" x14ac:dyDescent="0.25">
      <c r="A786">
        <f>'Customers Raw data'!A786</f>
        <v>1785</v>
      </c>
      <c r="B786" t="str">
        <f>'Customers Raw data'!B786</f>
        <v>2024-10-07</v>
      </c>
      <c r="C786" t="str">
        <f>'Customers Raw data'!C786</f>
        <v>Basic</v>
      </c>
      <c r="D786">
        <f>'Customers Raw data'!D786</f>
        <v>50</v>
      </c>
      <c r="E786">
        <f>'Customers Raw data'!E786</f>
        <v>30</v>
      </c>
      <c r="F786">
        <f>'Customers Raw data'!F786</f>
        <v>0</v>
      </c>
      <c r="G786">
        <f>IF('Customers Raw data'!F786&lt;&gt;"",1,0)</f>
        <v>0</v>
      </c>
      <c r="H786" t="str">
        <f>IF('Customers Raw data'!F786&lt;&gt;"",YEAR(DATEVALUE('Customers Raw data'!F786)),"")</f>
        <v/>
      </c>
      <c r="I786" t="str">
        <f>IF('Customers Raw data'!F786&lt;&gt;"",MONTH(DATEVALUE('Customers Raw data'!F786)),"")</f>
        <v/>
      </c>
      <c r="J786">
        <f>YEAR(DATEVALUE('Customers Raw data'!B786))</f>
        <v>2024</v>
      </c>
      <c r="K786">
        <f>MONTH(DATEVALUE('Customers Raw data'!B786))</f>
        <v>10</v>
      </c>
      <c r="L786">
        <f ca="1">IF('Customers Raw data'!F786&lt;&gt;"",DATEDIF(DATEVALUE('Customers Raw data'!B786),DATEVALUE('Customers Raw data'!F786),"M"),DATEDIF(DATEVALUE('Customers Raw data'!B786),TODAY(),"M"))</f>
        <v>18</v>
      </c>
      <c r="M786">
        <f t="shared" ca="1" si="60"/>
        <v>900</v>
      </c>
      <c r="N786">
        <f t="shared" si="61"/>
        <v>1</v>
      </c>
      <c r="O786">
        <f t="shared" ca="1" si="62"/>
        <v>0</v>
      </c>
      <c r="P786">
        <f t="shared" si="63"/>
        <v>0</v>
      </c>
      <c r="Q786" t="e">
        <f t="shared" si="64"/>
        <v>#VALUE!</v>
      </c>
    </row>
    <row r="787" spans="1:17" ht="15" customHeight="1" x14ac:dyDescent="0.25">
      <c r="A787">
        <f>'Customers Raw data'!A787</f>
        <v>1786</v>
      </c>
      <c r="B787" t="str">
        <f>'Customers Raw data'!B787</f>
        <v>2024-06-30</v>
      </c>
      <c r="C787" t="str">
        <f>'Customers Raw data'!C787</f>
        <v>Enterprise</v>
      </c>
      <c r="D787">
        <f>'Customers Raw data'!D787</f>
        <v>500</v>
      </c>
      <c r="E787">
        <f>'Customers Raw data'!E787</f>
        <v>200</v>
      </c>
      <c r="F787">
        <f>'Customers Raw data'!F787</f>
        <v>0</v>
      </c>
      <c r="G787">
        <f>IF('Customers Raw data'!F787&lt;&gt;"",1,0)</f>
        <v>0</v>
      </c>
      <c r="H787" t="str">
        <f>IF('Customers Raw data'!F787&lt;&gt;"",YEAR(DATEVALUE('Customers Raw data'!F787)),"")</f>
        <v/>
      </c>
      <c r="I787" t="str">
        <f>IF('Customers Raw data'!F787&lt;&gt;"",MONTH(DATEVALUE('Customers Raw data'!F787)),"")</f>
        <v/>
      </c>
      <c r="J787">
        <f>YEAR(DATEVALUE('Customers Raw data'!B787))</f>
        <v>2024</v>
      </c>
      <c r="K787">
        <f>MONTH(DATEVALUE('Customers Raw data'!B787))</f>
        <v>6</v>
      </c>
      <c r="L787">
        <f ca="1">IF('Customers Raw data'!F787&lt;&gt;"",DATEDIF(DATEVALUE('Customers Raw data'!B787),DATEVALUE('Customers Raw data'!F787),"M"),DATEDIF(DATEVALUE('Customers Raw data'!B787),TODAY(),"M"))</f>
        <v>21</v>
      </c>
      <c r="M787">
        <f t="shared" ca="1" si="60"/>
        <v>10500</v>
      </c>
      <c r="N787">
        <f t="shared" si="61"/>
        <v>3</v>
      </c>
      <c r="O787">
        <f t="shared" ca="1" si="62"/>
        <v>0</v>
      </c>
      <c r="P787">
        <f t="shared" si="63"/>
        <v>0</v>
      </c>
      <c r="Q787" t="e">
        <f t="shared" si="64"/>
        <v>#VALUE!</v>
      </c>
    </row>
    <row r="788" spans="1:17" ht="15" customHeight="1" x14ac:dyDescent="0.25">
      <c r="A788">
        <f>'Customers Raw data'!A788</f>
        <v>1787</v>
      </c>
      <c r="B788" t="str">
        <f>'Customers Raw data'!B788</f>
        <v>2024-04-02</v>
      </c>
      <c r="C788" t="str">
        <f>'Customers Raw data'!C788</f>
        <v>Enterprise</v>
      </c>
      <c r="D788">
        <f>'Customers Raw data'!D788</f>
        <v>500</v>
      </c>
      <c r="E788">
        <f>'Customers Raw data'!E788</f>
        <v>200</v>
      </c>
      <c r="F788">
        <f>'Customers Raw data'!F788</f>
        <v>0</v>
      </c>
      <c r="G788">
        <f>IF('Customers Raw data'!F788&lt;&gt;"",1,0)</f>
        <v>0</v>
      </c>
      <c r="H788" t="str">
        <f>IF('Customers Raw data'!F788&lt;&gt;"",YEAR(DATEVALUE('Customers Raw data'!F788)),"")</f>
        <v/>
      </c>
      <c r="I788" t="str">
        <f>IF('Customers Raw data'!F788&lt;&gt;"",MONTH(DATEVALUE('Customers Raw data'!F788)),"")</f>
        <v/>
      </c>
      <c r="J788">
        <f>YEAR(DATEVALUE('Customers Raw data'!B788))</f>
        <v>2024</v>
      </c>
      <c r="K788">
        <f>MONTH(DATEVALUE('Customers Raw data'!B788))</f>
        <v>4</v>
      </c>
      <c r="L788">
        <f ca="1">IF('Customers Raw data'!F788&lt;&gt;"",DATEDIF(DATEVALUE('Customers Raw data'!B788),DATEVALUE('Customers Raw data'!F788),"M"),DATEDIF(DATEVALUE('Customers Raw data'!B788),TODAY(),"M"))</f>
        <v>24</v>
      </c>
      <c r="M788">
        <f t="shared" ca="1" si="60"/>
        <v>12000</v>
      </c>
      <c r="N788">
        <f t="shared" si="61"/>
        <v>3</v>
      </c>
      <c r="O788">
        <f t="shared" ca="1" si="62"/>
        <v>0</v>
      </c>
      <c r="P788">
        <f t="shared" si="63"/>
        <v>0</v>
      </c>
      <c r="Q788" t="e">
        <f t="shared" si="64"/>
        <v>#VALUE!</v>
      </c>
    </row>
    <row r="789" spans="1:17" ht="15" customHeight="1" x14ac:dyDescent="0.25">
      <c r="A789">
        <f>'Customers Raw data'!A789</f>
        <v>1788</v>
      </c>
      <c r="B789" t="str">
        <f>'Customers Raw data'!B789</f>
        <v>2025-04-03</v>
      </c>
      <c r="C789" t="str">
        <f>'Customers Raw data'!C789</f>
        <v>Pro</v>
      </c>
      <c r="D789">
        <f>'Customers Raw data'!D789</f>
        <v>200</v>
      </c>
      <c r="E789">
        <f>'Customers Raw data'!E789</f>
        <v>100</v>
      </c>
      <c r="F789">
        <f>'Customers Raw data'!F789</f>
        <v>0</v>
      </c>
      <c r="G789">
        <f>IF('Customers Raw data'!F789&lt;&gt;"",1,0)</f>
        <v>0</v>
      </c>
      <c r="H789" t="str">
        <f>IF('Customers Raw data'!F789&lt;&gt;"",YEAR(DATEVALUE('Customers Raw data'!F789)),"")</f>
        <v/>
      </c>
      <c r="I789" t="str">
        <f>IF('Customers Raw data'!F789&lt;&gt;"",MONTH(DATEVALUE('Customers Raw data'!F789)),"")</f>
        <v/>
      </c>
      <c r="J789">
        <f>YEAR(DATEVALUE('Customers Raw data'!B789))</f>
        <v>2025</v>
      </c>
      <c r="K789">
        <f>MONTH(DATEVALUE('Customers Raw data'!B789))</f>
        <v>4</v>
      </c>
      <c r="L789">
        <f ca="1">IF('Customers Raw data'!F789&lt;&gt;"",DATEDIF(DATEVALUE('Customers Raw data'!B789),DATEVALUE('Customers Raw data'!F789),"M"),DATEDIF(DATEVALUE('Customers Raw data'!B789),TODAY(),"M"))</f>
        <v>12</v>
      </c>
      <c r="M789">
        <f t="shared" ca="1" si="60"/>
        <v>2400</v>
      </c>
      <c r="N789">
        <f t="shared" si="61"/>
        <v>2</v>
      </c>
      <c r="O789">
        <f t="shared" ca="1" si="62"/>
        <v>0</v>
      </c>
      <c r="P789">
        <f t="shared" si="63"/>
        <v>0</v>
      </c>
      <c r="Q789" t="e">
        <f t="shared" si="64"/>
        <v>#VALUE!</v>
      </c>
    </row>
    <row r="790" spans="1:17" ht="15" customHeight="1" x14ac:dyDescent="0.25">
      <c r="A790">
        <f>'Customers Raw data'!A790</f>
        <v>1789</v>
      </c>
      <c r="B790" t="str">
        <f>'Customers Raw data'!B790</f>
        <v>2025-02-21</v>
      </c>
      <c r="C790" t="str">
        <f>'Customers Raw data'!C790</f>
        <v>Enterprise</v>
      </c>
      <c r="D790">
        <f>'Customers Raw data'!D790</f>
        <v>500</v>
      </c>
      <c r="E790">
        <f>'Customers Raw data'!E790</f>
        <v>200</v>
      </c>
      <c r="F790">
        <f>'Customers Raw data'!F790</f>
        <v>0</v>
      </c>
      <c r="G790">
        <f>IF('Customers Raw data'!F790&lt;&gt;"",1,0)</f>
        <v>0</v>
      </c>
      <c r="H790" t="str">
        <f>IF('Customers Raw data'!F790&lt;&gt;"",YEAR(DATEVALUE('Customers Raw data'!F790)),"")</f>
        <v/>
      </c>
      <c r="I790" t="str">
        <f>IF('Customers Raw data'!F790&lt;&gt;"",MONTH(DATEVALUE('Customers Raw data'!F790)),"")</f>
        <v/>
      </c>
      <c r="J790">
        <f>YEAR(DATEVALUE('Customers Raw data'!B790))</f>
        <v>2025</v>
      </c>
      <c r="K790">
        <f>MONTH(DATEVALUE('Customers Raw data'!B790))</f>
        <v>2</v>
      </c>
      <c r="L790">
        <f ca="1">IF('Customers Raw data'!F790&lt;&gt;"",DATEDIF(DATEVALUE('Customers Raw data'!B790),DATEVALUE('Customers Raw data'!F790),"M"),DATEDIF(DATEVALUE('Customers Raw data'!B790),TODAY(),"M"))</f>
        <v>13</v>
      </c>
      <c r="M790">
        <f t="shared" ca="1" si="60"/>
        <v>6500</v>
      </c>
      <c r="N790">
        <f t="shared" si="61"/>
        <v>3</v>
      </c>
      <c r="O790">
        <f t="shared" ca="1" si="62"/>
        <v>0</v>
      </c>
      <c r="P790">
        <f t="shared" si="63"/>
        <v>0</v>
      </c>
      <c r="Q790" t="e">
        <f t="shared" si="64"/>
        <v>#VALUE!</v>
      </c>
    </row>
    <row r="791" spans="1:17" ht="15" customHeight="1" x14ac:dyDescent="0.25">
      <c r="A791">
        <f>'Customers Raw data'!A791</f>
        <v>1790</v>
      </c>
      <c r="B791" t="str">
        <f>'Customers Raw data'!B791</f>
        <v>2024-12-08</v>
      </c>
      <c r="C791" t="str">
        <f>'Customers Raw data'!C791</f>
        <v>Pro</v>
      </c>
      <c r="D791">
        <f>'Customers Raw data'!D791</f>
        <v>200</v>
      </c>
      <c r="E791">
        <f>'Customers Raw data'!E791</f>
        <v>100</v>
      </c>
      <c r="F791">
        <f>'Customers Raw data'!F791</f>
        <v>0</v>
      </c>
      <c r="G791">
        <f>IF('Customers Raw data'!F791&lt;&gt;"",1,0)</f>
        <v>0</v>
      </c>
      <c r="H791" t="str">
        <f>IF('Customers Raw data'!F791&lt;&gt;"",YEAR(DATEVALUE('Customers Raw data'!F791)),"")</f>
        <v/>
      </c>
      <c r="I791" t="str">
        <f>IF('Customers Raw data'!F791&lt;&gt;"",MONTH(DATEVALUE('Customers Raw data'!F791)),"")</f>
        <v/>
      </c>
      <c r="J791">
        <f>YEAR(DATEVALUE('Customers Raw data'!B791))</f>
        <v>2024</v>
      </c>
      <c r="K791">
        <f>MONTH(DATEVALUE('Customers Raw data'!B791))</f>
        <v>12</v>
      </c>
      <c r="L791">
        <f ca="1">IF('Customers Raw data'!F791&lt;&gt;"",DATEDIF(DATEVALUE('Customers Raw data'!B791),DATEVALUE('Customers Raw data'!F791),"M"),DATEDIF(DATEVALUE('Customers Raw data'!B791),TODAY(),"M"))</f>
        <v>15</v>
      </c>
      <c r="M791">
        <f t="shared" ca="1" si="60"/>
        <v>3000</v>
      </c>
      <c r="N791">
        <f t="shared" si="61"/>
        <v>2</v>
      </c>
      <c r="O791">
        <f t="shared" ca="1" si="62"/>
        <v>0</v>
      </c>
      <c r="P791">
        <f t="shared" si="63"/>
        <v>0</v>
      </c>
      <c r="Q791" t="e">
        <f t="shared" si="64"/>
        <v>#VALUE!</v>
      </c>
    </row>
    <row r="792" spans="1:17" ht="15" customHeight="1" x14ac:dyDescent="0.25">
      <c r="A792">
        <f>'Customers Raw data'!A792</f>
        <v>1791</v>
      </c>
      <c r="B792" t="str">
        <f>'Customers Raw data'!B792</f>
        <v>2025-05-24</v>
      </c>
      <c r="C792" t="str">
        <f>'Customers Raw data'!C792</f>
        <v>Pro</v>
      </c>
      <c r="D792">
        <f>'Customers Raw data'!D792</f>
        <v>200</v>
      </c>
      <c r="E792">
        <f>'Customers Raw data'!E792</f>
        <v>100</v>
      </c>
      <c r="F792" t="str">
        <f>'Customers Raw data'!F792</f>
        <v>2025-06-23</v>
      </c>
      <c r="G792">
        <f>IF('Customers Raw data'!F792&lt;&gt;"",1,0)</f>
        <v>1</v>
      </c>
      <c r="H792">
        <f>IF('Customers Raw data'!F792&lt;&gt;"",YEAR(DATEVALUE('Customers Raw data'!F792)),"")</f>
        <v>2025</v>
      </c>
      <c r="I792">
        <f>IF('Customers Raw data'!F792&lt;&gt;"",MONTH(DATEVALUE('Customers Raw data'!F792)),"")</f>
        <v>6</v>
      </c>
      <c r="J792">
        <f>YEAR(DATEVALUE('Customers Raw data'!B792))</f>
        <v>2025</v>
      </c>
      <c r="K792">
        <f>MONTH(DATEVALUE('Customers Raw data'!B792))</f>
        <v>5</v>
      </c>
      <c r="L792">
        <f ca="1">IF('Customers Raw data'!F792&lt;&gt;"",DATEDIF(DATEVALUE('Customers Raw data'!B792),DATEVALUE('Customers Raw data'!F792),"M"),DATEDIF(DATEVALUE('Customers Raw data'!B792),TODAY(),"M"))</f>
        <v>0</v>
      </c>
      <c r="M792">
        <f t="shared" ca="1" si="60"/>
        <v>0</v>
      </c>
      <c r="N792">
        <f t="shared" si="61"/>
        <v>2</v>
      </c>
      <c r="O792">
        <f t="shared" ca="1" si="62"/>
        <v>1</v>
      </c>
      <c r="P792">
        <f t="shared" si="63"/>
        <v>200</v>
      </c>
      <c r="Q792" t="str">
        <f t="shared" si="64"/>
        <v>2025-06</v>
      </c>
    </row>
    <row r="793" spans="1:17" ht="15" customHeight="1" x14ac:dyDescent="0.25">
      <c r="A793">
        <f>'Customers Raw data'!A793</f>
        <v>1792</v>
      </c>
      <c r="B793" t="str">
        <f>'Customers Raw data'!B793</f>
        <v>2024-10-16</v>
      </c>
      <c r="C793" t="str">
        <f>'Customers Raw data'!C793</f>
        <v>Basic</v>
      </c>
      <c r="D793">
        <f>'Customers Raw data'!D793</f>
        <v>50</v>
      </c>
      <c r="E793">
        <f>'Customers Raw data'!E793</f>
        <v>30</v>
      </c>
      <c r="F793">
        <f>'Customers Raw data'!F793</f>
        <v>0</v>
      </c>
      <c r="G793">
        <f>IF('Customers Raw data'!F793&lt;&gt;"",1,0)</f>
        <v>0</v>
      </c>
      <c r="H793" t="str">
        <f>IF('Customers Raw data'!F793&lt;&gt;"",YEAR(DATEVALUE('Customers Raw data'!F793)),"")</f>
        <v/>
      </c>
      <c r="I793" t="str">
        <f>IF('Customers Raw data'!F793&lt;&gt;"",MONTH(DATEVALUE('Customers Raw data'!F793)),"")</f>
        <v/>
      </c>
      <c r="J793">
        <f>YEAR(DATEVALUE('Customers Raw data'!B793))</f>
        <v>2024</v>
      </c>
      <c r="K793">
        <f>MONTH(DATEVALUE('Customers Raw data'!B793))</f>
        <v>10</v>
      </c>
      <c r="L793">
        <f ca="1">IF('Customers Raw data'!F793&lt;&gt;"",DATEDIF(DATEVALUE('Customers Raw data'!B793),DATEVALUE('Customers Raw data'!F793),"M"),DATEDIF(DATEVALUE('Customers Raw data'!B793),TODAY(),"M"))</f>
        <v>17</v>
      </c>
      <c r="M793">
        <f t="shared" ca="1" si="60"/>
        <v>850</v>
      </c>
      <c r="N793">
        <f t="shared" si="61"/>
        <v>1</v>
      </c>
      <c r="O793">
        <f t="shared" ca="1" si="62"/>
        <v>0</v>
      </c>
      <c r="P793">
        <f t="shared" si="63"/>
        <v>0</v>
      </c>
      <c r="Q793" t="e">
        <f t="shared" si="64"/>
        <v>#VALUE!</v>
      </c>
    </row>
    <row r="794" spans="1:17" ht="15" customHeight="1" x14ac:dyDescent="0.25">
      <c r="A794">
        <f>'Customers Raw data'!A794</f>
        <v>1793</v>
      </c>
      <c r="B794" t="str">
        <f>'Customers Raw data'!B794</f>
        <v>2024-02-03</v>
      </c>
      <c r="C794" t="str">
        <f>'Customers Raw data'!C794</f>
        <v>Basic</v>
      </c>
      <c r="D794">
        <f>'Customers Raw data'!D794</f>
        <v>50</v>
      </c>
      <c r="E794">
        <f>'Customers Raw data'!E794</f>
        <v>30</v>
      </c>
      <c r="F794">
        <f>'Customers Raw data'!F794</f>
        <v>0</v>
      </c>
      <c r="G794">
        <f>IF('Customers Raw data'!F794&lt;&gt;"",1,0)</f>
        <v>0</v>
      </c>
      <c r="H794" t="str">
        <f>IF('Customers Raw data'!F794&lt;&gt;"",YEAR(DATEVALUE('Customers Raw data'!F794)),"")</f>
        <v/>
      </c>
      <c r="I794" t="str">
        <f>IF('Customers Raw data'!F794&lt;&gt;"",MONTH(DATEVALUE('Customers Raw data'!F794)),"")</f>
        <v/>
      </c>
      <c r="J794">
        <f>YEAR(DATEVALUE('Customers Raw data'!B794))</f>
        <v>2024</v>
      </c>
      <c r="K794">
        <f>MONTH(DATEVALUE('Customers Raw data'!B794))</f>
        <v>2</v>
      </c>
      <c r="L794">
        <f ca="1">IF('Customers Raw data'!F794&lt;&gt;"",DATEDIF(DATEVALUE('Customers Raw data'!B794),DATEVALUE('Customers Raw data'!F794),"M"),DATEDIF(DATEVALUE('Customers Raw data'!B794),TODAY(),"M"))</f>
        <v>26</v>
      </c>
      <c r="M794">
        <f t="shared" ca="1" si="60"/>
        <v>1300</v>
      </c>
      <c r="N794">
        <f t="shared" si="61"/>
        <v>1</v>
      </c>
      <c r="O794">
        <f t="shared" ca="1" si="62"/>
        <v>0</v>
      </c>
      <c r="P794">
        <f t="shared" si="63"/>
        <v>0</v>
      </c>
      <c r="Q794" t="e">
        <f t="shared" si="64"/>
        <v>#VALUE!</v>
      </c>
    </row>
    <row r="795" spans="1:17" ht="15" customHeight="1" x14ac:dyDescent="0.25">
      <c r="A795">
        <f>'Customers Raw data'!A795</f>
        <v>1794</v>
      </c>
      <c r="B795" t="str">
        <f>'Customers Raw data'!B795</f>
        <v>2024-09-29</v>
      </c>
      <c r="C795" t="str">
        <f>'Customers Raw data'!C795</f>
        <v>Enterprise</v>
      </c>
      <c r="D795">
        <f>'Customers Raw data'!D795</f>
        <v>500</v>
      </c>
      <c r="E795">
        <f>'Customers Raw data'!E795</f>
        <v>200</v>
      </c>
      <c r="F795">
        <f>'Customers Raw data'!F795</f>
        <v>0</v>
      </c>
      <c r="G795">
        <f>IF('Customers Raw data'!F795&lt;&gt;"",1,0)</f>
        <v>0</v>
      </c>
      <c r="H795" t="str">
        <f>IF('Customers Raw data'!F795&lt;&gt;"",YEAR(DATEVALUE('Customers Raw data'!F795)),"")</f>
        <v/>
      </c>
      <c r="I795" t="str">
        <f>IF('Customers Raw data'!F795&lt;&gt;"",MONTH(DATEVALUE('Customers Raw data'!F795)),"")</f>
        <v/>
      </c>
      <c r="J795">
        <f>YEAR(DATEVALUE('Customers Raw data'!B795))</f>
        <v>2024</v>
      </c>
      <c r="K795">
        <f>MONTH(DATEVALUE('Customers Raw data'!B795))</f>
        <v>9</v>
      </c>
      <c r="L795">
        <f ca="1">IF('Customers Raw data'!F795&lt;&gt;"",DATEDIF(DATEVALUE('Customers Raw data'!B795),DATEVALUE('Customers Raw data'!F795),"M"),DATEDIF(DATEVALUE('Customers Raw data'!B795),TODAY(),"M"))</f>
        <v>18</v>
      </c>
      <c r="M795">
        <f t="shared" ca="1" si="60"/>
        <v>9000</v>
      </c>
      <c r="N795">
        <f t="shared" si="61"/>
        <v>3</v>
      </c>
      <c r="O795">
        <f t="shared" ca="1" si="62"/>
        <v>0</v>
      </c>
      <c r="P795">
        <f t="shared" si="63"/>
        <v>0</v>
      </c>
      <c r="Q795" t="e">
        <f t="shared" si="64"/>
        <v>#VALUE!</v>
      </c>
    </row>
    <row r="796" spans="1:17" ht="15" customHeight="1" x14ac:dyDescent="0.25">
      <c r="A796">
        <f>'Customers Raw data'!A796</f>
        <v>1795</v>
      </c>
      <c r="B796" t="str">
        <f>'Customers Raw data'!B796</f>
        <v>2024-09-10</v>
      </c>
      <c r="C796" t="str">
        <f>'Customers Raw data'!C796</f>
        <v>Enterprise</v>
      </c>
      <c r="D796">
        <f>'Customers Raw data'!D796</f>
        <v>500</v>
      </c>
      <c r="E796">
        <f>'Customers Raw data'!E796</f>
        <v>200</v>
      </c>
      <c r="F796">
        <f>'Customers Raw data'!F796</f>
        <v>0</v>
      </c>
      <c r="G796">
        <f>IF('Customers Raw data'!F796&lt;&gt;"",1,0)</f>
        <v>0</v>
      </c>
      <c r="H796" t="str">
        <f>IF('Customers Raw data'!F796&lt;&gt;"",YEAR(DATEVALUE('Customers Raw data'!F796)),"")</f>
        <v/>
      </c>
      <c r="I796" t="str">
        <f>IF('Customers Raw data'!F796&lt;&gt;"",MONTH(DATEVALUE('Customers Raw data'!F796)),"")</f>
        <v/>
      </c>
      <c r="J796">
        <f>YEAR(DATEVALUE('Customers Raw data'!B796))</f>
        <v>2024</v>
      </c>
      <c r="K796">
        <f>MONTH(DATEVALUE('Customers Raw data'!B796))</f>
        <v>9</v>
      </c>
      <c r="L796">
        <f ca="1">IF('Customers Raw data'!F796&lt;&gt;"",DATEDIF(DATEVALUE('Customers Raw data'!B796),DATEVALUE('Customers Raw data'!F796),"M"),DATEDIF(DATEVALUE('Customers Raw data'!B796),TODAY(),"M"))</f>
        <v>18</v>
      </c>
      <c r="M796">
        <f t="shared" ca="1" si="60"/>
        <v>9000</v>
      </c>
      <c r="N796">
        <f t="shared" si="61"/>
        <v>3</v>
      </c>
      <c r="O796">
        <f t="shared" ca="1" si="62"/>
        <v>0</v>
      </c>
      <c r="P796">
        <f t="shared" si="63"/>
        <v>0</v>
      </c>
      <c r="Q796" t="e">
        <f t="shared" si="64"/>
        <v>#VALUE!</v>
      </c>
    </row>
    <row r="797" spans="1:17" ht="15" customHeight="1" x14ac:dyDescent="0.25">
      <c r="A797">
        <f>'Customers Raw data'!A797</f>
        <v>1796</v>
      </c>
      <c r="B797" t="str">
        <f>'Customers Raw data'!B797</f>
        <v>2024-03-13</v>
      </c>
      <c r="C797" t="str">
        <f>'Customers Raw data'!C797</f>
        <v>Basic</v>
      </c>
      <c r="D797">
        <f>'Customers Raw data'!D797</f>
        <v>50</v>
      </c>
      <c r="E797">
        <f>'Customers Raw data'!E797</f>
        <v>30</v>
      </c>
      <c r="F797">
        <f>'Customers Raw data'!F797</f>
        <v>0</v>
      </c>
      <c r="G797">
        <f>IF('Customers Raw data'!F797&lt;&gt;"",1,0)</f>
        <v>0</v>
      </c>
      <c r="H797" t="str">
        <f>IF('Customers Raw data'!F797&lt;&gt;"",YEAR(DATEVALUE('Customers Raw data'!F797)),"")</f>
        <v/>
      </c>
      <c r="I797" t="str">
        <f>IF('Customers Raw data'!F797&lt;&gt;"",MONTH(DATEVALUE('Customers Raw data'!F797)),"")</f>
        <v/>
      </c>
      <c r="J797">
        <f>YEAR(DATEVALUE('Customers Raw data'!B797))</f>
        <v>2024</v>
      </c>
      <c r="K797">
        <f>MONTH(DATEVALUE('Customers Raw data'!B797))</f>
        <v>3</v>
      </c>
      <c r="L797">
        <f ca="1">IF('Customers Raw data'!F797&lt;&gt;"",DATEDIF(DATEVALUE('Customers Raw data'!B797),DATEVALUE('Customers Raw data'!F797),"M"),DATEDIF(DATEVALUE('Customers Raw data'!B797),TODAY(),"M"))</f>
        <v>24</v>
      </c>
      <c r="M797">
        <f t="shared" ca="1" si="60"/>
        <v>1200</v>
      </c>
      <c r="N797">
        <f t="shared" si="61"/>
        <v>1</v>
      </c>
      <c r="O797">
        <f t="shared" ca="1" si="62"/>
        <v>0</v>
      </c>
      <c r="P797">
        <f t="shared" si="63"/>
        <v>0</v>
      </c>
      <c r="Q797" t="e">
        <f t="shared" si="64"/>
        <v>#VALUE!</v>
      </c>
    </row>
    <row r="798" spans="1:17" ht="15" customHeight="1" x14ac:dyDescent="0.25">
      <c r="A798">
        <f>'Customers Raw data'!A798</f>
        <v>1797</v>
      </c>
      <c r="B798" t="str">
        <f>'Customers Raw data'!B798</f>
        <v>2025-03-07</v>
      </c>
      <c r="C798" t="str">
        <f>'Customers Raw data'!C798</f>
        <v>Basic</v>
      </c>
      <c r="D798">
        <f>'Customers Raw data'!D798</f>
        <v>50</v>
      </c>
      <c r="E798">
        <f>'Customers Raw data'!E798</f>
        <v>30</v>
      </c>
      <c r="F798">
        <f>'Customers Raw data'!F798</f>
        <v>0</v>
      </c>
      <c r="G798">
        <f>IF('Customers Raw data'!F798&lt;&gt;"",1,0)</f>
        <v>0</v>
      </c>
      <c r="H798" t="str">
        <f>IF('Customers Raw data'!F798&lt;&gt;"",YEAR(DATEVALUE('Customers Raw data'!F798)),"")</f>
        <v/>
      </c>
      <c r="I798" t="str">
        <f>IF('Customers Raw data'!F798&lt;&gt;"",MONTH(DATEVALUE('Customers Raw data'!F798)),"")</f>
        <v/>
      </c>
      <c r="J798">
        <f>YEAR(DATEVALUE('Customers Raw data'!B798))</f>
        <v>2025</v>
      </c>
      <c r="K798">
        <f>MONTH(DATEVALUE('Customers Raw data'!B798))</f>
        <v>3</v>
      </c>
      <c r="L798">
        <f ca="1">IF('Customers Raw data'!F798&lt;&gt;"",DATEDIF(DATEVALUE('Customers Raw data'!B798),DATEVALUE('Customers Raw data'!F798),"M"),DATEDIF(DATEVALUE('Customers Raw data'!B798),TODAY(),"M"))</f>
        <v>13</v>
      </c>
      <c r="M798">
        <f t="shared" ca="1" si="60"/>
        <v>650</v>
      </c>
      <c r="N798">
        <f t="shared" si="61"/>
        <v>1</v>
      </c>
      <c r="O798">
        <f t="shared" ca="1" si="62"/>
        <v>0</v>
      </c>
      <c r="P798">
        <f t="shared" si="63"/>
        <v>0</v>
      </c>
      <c r="Q798" t="e">
        <f t="shared" si="64"/>
        <v>#VALUE!</v>
      </c>
    </row>
    <row r="799" spans="1:17" ht="15" customHeight="1" x14ac:dyDescent="0.25">
      <c r="A799">
        <f>'Customers Raw data'!A799</f>
        <v>1798</v>
      </c>
      <c r="B799" t="str">
        <f>'Customers Raw data'!B799</f>
        <v>2024-10-27</v>
      </c>
      <c r="C799" t="str">
        <f>'Customers Raw data'!C799</f>
        <v>Enterprise</v>
      </c>
      <c r="D799">
        <f>'Customers Raw data'!D799</f>
        <v>500</v>
      </c>
      <c r="E799">
        <f>'Customers Raw data'!E799</f>
        <v>200</v>
      </c>
      <c r="F799">
        <f>'Customers Raw data'!F799</f>
        <v>0</v>
      </c>
      <c r="G799">
        <f>IF('Customers Raw data'!F799&lt;&gt;"",1,0)</f>
        <v>0</v>
      </c>
      <c r="H799" t="str">
        <f>IF('Customers Raw data'!F799&lt;&gt;"",YEAR(DATEVALUE('Customers Raw data'!F799)),"")</f>
        <v/>
      </c>
      <c r="I799" t="str">
        <f>IF('Customers Raw data'!F799&lt;&gt;"",MONTH(DATEVALUE('Customers Raw data'!F799)),"")</f>
        <v/>
      </c>
      <c r="J799">
        <f>YEAR(DATEVALUE('Customers Raw data'!B799))</f>
        <v>2024</v>
      </c>
      <c r="K799">
        <f>MONTH(DATEVALUE('Customers Raw data'!B799))</f>
        <v>10</v>
      </c>
      <c r="L799">
        <f ca="1">IF('Customers Raw data'!F799&lt;&gt;"",DATEDIF(DATEVALUE('Customers Raw data'!B799),DATEVALUE('Customers Raw data'!F799),"M"),DATEDIF(DATEVALUE('Customers Raw data'!B799),TODAY(),"M"))</f>
        <v>17</v>
      </c>
      <c r="M799">
        <f t="shared" ca="1" si="60"/>
        <v>8500</v>
      </c>
      <c r="N799">
        <f t="shared" si="61"/>
        <v>3</v>
      </c>
      <c r="O799">
        <f t="shared" ca="1" si="62"/>
        <v>0</v>
      </c>
      <c r="P799">
        <f t="shared" si="63"/>
        <v>0</v>
      </c>
      <c r="Q799" t="e">
        <f t="shared" si="64"/>
        <v>#VALUE!</v>
      </c>
    </row>
    <row r="800" spans="1:17" ht="15" customHeight="1" x14ac:dyDescent="0.25">
      <c r="A800">
        <f>'Customers Raw data'!A800</f>
        <v>1799</v>
      </c>
      <c r="B800" t="str">
        <f>'Customers Raw data'!B800</f>
        <v>2024-10-24</v>
      </c>
      <c r="C800" t="str">
        <f>'Customers Raw data'!C800</f>
        <v>Basic</v>
      </c>
      <c r="D800">
        <f>'Customers Raw data'!D800</f>
        <v>50</v>
      </c>
      <c r="E800">
        <f>'Customers Raw data'!E800</f>
        <v>30</v>
      </c>
      <c r="F800">
        <f>'Customers Raw data'!F800</f>
        <v>0</v>
      </c>
      <c r="G800">
        <f>IF('Customers Raw data'!F800&lt;&gt;"",1,0)</f>
        <v>0</v>
      </c>
      <c r="H800" t="str">
        <f>IF('Customers Raw data'!F800&lt;&gt;"",YEAR(DATEVALUE('Customers Raw data'!F800)),"")</f>
        <v/>
      </c>
      <c r="I800" t="str">
        <f>IF('Customers Raw data'!F800&lt;&gt;"",MONTH(DATEVALUE('Customers Raw data'!F800)),"")</f>
        <v/>
      </c>
      <c r="J800">
        <f>YEAR(DATEVALUE('Customers Raw data'!B800))</f>
        <v>2024</v>
      </c>
      <c r="K800">
        <f>MONTH(DATEVALUE('Customers Raw data'!B800))</f>
        <v>10</v>
      </c>
      <c r="L800">
        <f ca="1">IF('Customers Raw data'!F800&lt;&gt;"",DATEDIF(DATEVALUE('Customers Raw data'!B800),DATEVALUE('Customers Raw data'!F800),"M"),DATEDIF(DATEVALUE('Customers Raw data'!B800),TODAY(),"M"))</f>
        <v>17</v>
      </c>
      <c r="M800">
        <f t="shared" ca="1" si="60"/>
        <v>850</v>
      </c>
      <c r="N800">
        <f t="shared" si="61"/>
        <v>1</v>
      </c>
      <c r="O800">
        <f t="shared" ca="1" si="62"/>
        <v>0</v>
      </c>
      <c r="P800">
        <f t="shared" si="63"/>
        <v>0</v>
      </c>
      <c r="Q800" t="e">
        <f t="shared" si="64"/>
        <v>#VALUE!</v>
      </c>
    </row>
    <row r="801" spans="1:17" ht="15" customHeight="1" x14ac:dyDescent="0.25">
      <c r="A801">
        <f>'Customers Raw data'!A801</f>
        <v>1800</v>
      </c>
      <c r="B801" t="str">
        <f>'Customers Raw data'!B801</f>
        <v>2025-03-27</v>
      </c>
      <c r="C801" t="str">
        <f>'Customers Raw data'!C801</f>
        <v>Pro</v>
      </c>
      <c r="D801">
        <f>'Customers Raw data'!D801</f>
        <v>200</v>
      </c>
      <c r="E801">
        <f>'Customers Raw data'!E801</f>
        <v>100</v>
      </c>
      <c r="F801">
        <f>'Customers Raw data'!F801</f>
        <v>0</v>
      </c>
      <c r="G801">
        <f>IF('Customers Raw data'!F801&lt;&gt;"",1,0)</f>
        <v>0</v>
      </c>
      <c r="H801" t="str">
        <f>IF('Customers Raw data'!F801&lt;&gt;"",YEAR(DATEVALUE('Customers Raw data'!F801)),"")</f>
        <v/>
      </c>
      <c r="I801" t="str">
        <f>IF('Customers Raw data'!F801&lt;&gt;"",MONTH(DATEVALUE('Customers Raw data'!F801)),"")</f>
        <v/>
      </c>
      <c r="J801">
        <f>YEAR(DATEVALUE('Customers Raw data'!B801))</f>
        <v>2025</v>
      </c>
      <c r="K801">
        <f>MONTH(DATEVALUE('Customers Raw data'!B801))</f>
        <v>3</v>
      </c>
      <c r="L801">
        <f ca="1">IF('Customers Raw data'!F801&lt;&gt;"",DATEDIF(DATEVALUE('Customers Raw data'!B801),DATEVALUE('Customers Raw data'!F801),"M"),DATEDIF(DATEVALUE('Customers Raw data'!B801),TODAY(),"M"))</f>
        <v>12</v>
      </c>
      <c r="M801">
        <f t="shared" ca="1" si="60"/>
        <v>2400</v>
      </c>
      <c r="N801">
        <f t="shared" si="61"/>
        <v>2</v>
      </c>
      <c r="O801">
        <f t="shared" ca="1" si="62"/>
        <v>0</v>
      </c>
      <c r="P801">
        <f t="shared" si="63"/>
        <v>0</v>
      </c>
      <c r="Q801" t="e">
        <f t="shared" si="64"/>
        <v>#VALUE!</v>
      </c>
    </row>
    <row r="802" spans="1:17" ht="15" customHeight="1" x14ac:dyDescent="0.25">
      <c r="A802">
        <f>'Customers Raw data'!A802</f>
        <v>1801</v>
      </c>
      <c r="B802" t="str">
        <f>'Customers Raw data'!B802</f>
        <v>2025-03-04</v>
      </c>
      <c r="C802" t="str">
        <f>'Customers Raw data'!C802</f>
        <v>Enterprise</v>
      </c>
      <c r="D802">
        <f>'Customers Raw data'!D802</f>
        <v>500</v>
      </c>
      <c r="E802">
        <f>'Customers Raw data'!E802</f>
        <v>200</v>
      </c>
      <c r="F802">
        <f>'Customers Raw data'!F802</f>
        <v>0</v>
      </c>
      <c r="G802">
        <f>IF('Customers Raw data'!F802&lt;&gt;"",1,0)</f>
        <v>0</v>
      </c>
      <c r="H802" t="str">
        <f>IF('Customers Raw data'!F802&lt;&gt;"",YEAR(DATEVALUE('Customers Raw data'!F802)),"")</f>
        <v/>
      </c>
      <c r="I802" t="str">
        <f>IF('Customers Raw data'!F802&lt;&gt;"",MONTH(DATEVALUE('Customers Raw data'!F802)),"")</f>
        <v/>
      </c>
      <c r="J802">
        <f>YEAR(DATEVALUE('Customers Raw data'!B802))</f>
        <v>2025</v>
      </c>
      <c r="K802">
        <f>MONTH(DATEVALUE('Customers Raw data'!B802))</f>
        <v>3</v>
      </c>
      <c r="L802">
        <f ca="1">IF('Customers Raw data'!F802&lt;&gt;"",DATEDIF(DATEVALUE('Customers Raw data'!B802),DATEVALUE('Customers Raw data'!F802),"M"),DATEDIF(DATEVALUE('Customers Raw data'!B802),TODAY(),"M"))</f>
        <v>13</v>
      </c>
      <c r="M802">
        <f t="shared" ca="1" si="60"/>
        <v>6500</v>
      </c>
      <c r="N802">
        <f t="shared" si="61"/>
        <v>3</v>
      </c>
      <c r="O802">
        <f t="shared" ca="1" si="62"/>
        <v>0</v>
      </c>
      <c r="P802">
        <f t="shared" si="63"/>
        <v>0</v>
      </c>
      <c r="Q802" t="e">
        <f t="shared" si="64"/>
        <v>#VALUE!</v>
      </c>
    </row>
    <row r="803" spans="1:17" ht="15" customHeight="1" x14ac:dyDescent="0.25">
      <c r="A803">
        <f>'Customers Raw data'!A803</f>
        <v>1802</v>
      </c>
      <c r="B803" t="str">
        <f>'Customers Raw data'!B803</f>
        <v>2025-02-01</v>
      </c>
      <c r="C803" t="str">
        <f>'Customers Raw data'!C803</f>
        <v>Enterprise</v>
      </c>
      <c r="D803">
        <f>'Customers Raw data'!D803</f>
        <v>500</v>
      </c>
      <c r="E803">
        <f>'Customers Raw data'!E803</f>
        <v>200</v>
      </c>
      <c r="F803">
        <f>'Customers Raw data'!F803</f>
        <v>0</v>
      </c>
      <c r="G803">
        <f>IF('Customers Raw data'!F803&lt;&gt;"",1,0)</f>
        <v>0</v>
      </c>
      <c r="H803" t="str">
        <f>IF('Customers Raw data'!F803&lt;&gt;"",YEAR(DATEVALUE('Customers Raw data'!F803)),"")</f>
        <v/>
      </c>
      <c r="I803" t="str">
        <f>IF('Customers Raw data'!F803&lt;&gt;"",MONTH(DATEVALUE('Customers Raw data'!F803)),"")</f>
        <v/>
      </c>
      <c r="J803">
        <f>YEAR(DATEVALUE('Customers Raw data'!B803))</f>
        <v>2025</v>
      </c>
      <c r="K803">
        <f>MONTH(DATEVALUE('Customers Raw data'!B803))</f>
        <v>2</v>
      </c>
      <c r="L803">
        <f ca="1">IF('Customers Raw data'!F803&lt;&gt;"",DATEDIF(DATEVALUE('Customers Raw data'!B803),DATEVALUE('Customers Raw data'!F803),"M"),DATEDIF(DATEVALUE('Customers Raw data'!B803),TODAY(),"M"))</f>
        <v>14</v>
      </c>
      <c r="M803">
        <f t="shared" ca="1" si="60"/>
        <v>7000</v>
      </c>
      <c r="N803">
        <f t="shared" si="61"/>
        <v>3</v>
      </c>
      <c r="O803">
        <f t="shared" ca="1" si="62"/>
        <v>0</v>
      </c>
      <c r="P803">
        <f t="shared" si="63"/>
        <v>0</v>
      </c>
      <c r="Q803" t="e">
        <f t="shared" si="64"/>
        <v>#VALUE!</v>
      </c>
    </row>
    <row r="804" spans="1:17" ht="15" customHeight="1" x14ac:dyDescent="0.25">
      <c r="A804">
        <f>'Customers Raw data'!A804</f>
        <v>1803</v>
      </c>
      <c r="B804" t="str">
        <f>'Customers Raw data'!B804</f>
        <v>2024-02-25</v>
      </c>
      <c r="C804" t="str">
        <f>'Customers Raw data'!C804</f>
        <v>Enterprise</v>
      </c>
      <c r="D804">
        <f>'Customers Raw data'!D804</f>
        <v>500</v>
      </c>
      <c r="E804">
        <f>'Customers Raw data'!E804</f>
        <v>200</v>
      </c>
      <c r="F804">
        <f>'Customers Raw data'!F804</f>
        <v>0</v>
      </c>
      <c r="G804">
        <f>IF('Customers Raw data'!F804&lt;&gt;"",1,0)</f>
        <v>0</v>
      </c>
      <c r="H804" t="str">
        <f>IF('Customers Raw data'!F804&lt;&gt;"",YEAR(DATEVALUE('Customers Raw data'!F804)),"")</f>
        <v/>
      </c>
      <c r="I804" t="str">
        <f>IF('Customers Raw data'!F804&lt;&gt;"",MONTH(DATEVALUE('Customers Raw data'!F804)),"")</f>
        <v/>
      </c>
      <c r="J804">
        <f>YEAR(DATEVALUE('Customers Raw data'!B804))</f>
        <v>2024</v>
      </c>
      <c r="K804">
        <f>MONTH(DATEVALUE('Customers Raw data'!B804))</f>
        <v>2</v>
      </c>
      <c r="L804">
        <f ca="1">IF('Customers Raw data'!F804&lt;&gt;"",DATEDIF(DATEVALUE('Customers Raw data'!B804),DATEVALUE('Customers Raw data'!F804),"M"),DATEDIF(DATEVALUE('Customers Raw data'!B804),TODAY(),"M"))</f>
        <v>25</v>
      </c>
      <c r="M804">
        <f t="shared" ca="1" si="60"/>
        <v>12500</v>
      </c>
      <c r="N804">
        <f t="shared" si="61"/>
        <v>3</v>
      </c>
      <c r="O804">
        <f t="shared" ca="1" si="62"/>
        <v>0</v>
      </c>
      <c r="P804">
        <f t="shared" si="63"/>
        <v>0</v>
      </c>
      <c r="Q804" t="e">
        <f t="shared" si="64"/>
        <v>#VALUE!</v>
      </c>
    </row>
    <row r="805" spans="1:17" ht="15" customHeight="1" x14ac:dyDescent="0.25">
      <c r="A805">
        <f>'Customers Raw data'!A805</f>
        <v>1804</v>
      </c>
      <c r="B805" t="str">
        <f>'Customers Raw data'!B805</f>
        <v>2025-01-04</v>
      </c>
      <c r="C805" t="str">
        <f>'Customers Raw data'!C805</f>
        <v>Basic</v>
      </c>
      <c r="D805">
        <f>'Customers Raw data'!D805</f>
        <v>50</v>
      </c>
      <c r="E805">
        <f>'Customers Raw data'!E805</f>
        <v>30</v>
      </c>
      <c r="F805">
        <f>'Customers Raw data'!F805</f>
        <v>0</v>
      </c>
      <c r="G805">
        <f>IF('Customers Raw data'!F805&lt;&gt;"",1,0)</f>
        <v>0</v>
      </c>
      <c r="H805" t="str">
        <f>IF('Customers Raw data'!F805&lt;&gt;"",YEAR(DATEVALUE('Customers Raw data'!F805)),"")</f>
        <v/>
      </c>
      <c r="I805" t="str">
        <f>IF('Customers Raw data'!F805&lt;&gt;"",MONTH(DATEVALUE('Customers Raw data'!F805)),"")</f>
        <v/>
      </c>
      <c r="J805">
        <f>YEAR(DATEVALUE('Customers Raw data'!B805))</f>
        <v>2025</v>
      </c>
      <c r="K805">
        <f>MONTH(DATEVALUE('Customers Raw data'!B805))</f>
        <v>1</v>
      </c>
      <c r="L805">
        <f ca="1">IF('Customers Raw data'!F805&lt;&gt;"",DATEDIF(DATEVALUE('Customers Raw data'!B805),DATEVALUE('Customers Raw data'!F805),"M"),DATEDIF(DATEVALUE('Customers Raw data'!B805),TODAY(),"M"))</f>
        <v>15</v>
      </c>
      <c r="M805">
        <f t="shared" ca="1" si="60"/>
        <v>750</v>
      </c>
      <c r="N805">
        <f t="shared" si="61"/>
        <v>1</v>
      </c>
      <c r="O805">
        <f t="shared" ca="1" si="62"/>
        <v>0</v>
      </c>
      <c r="P805">
        <f t="shared" si="63"/>
        <v>0</v>
      </c>
      <c r="Q805" t="e">
        <f t="shared" si="64"/>
        <v>#VALUE!</v>
      </c>
    </row>
    <row r="806" spans="1:17" ht="15" customHeight="1" x14ac:dyDescent="0.25">
      <c r="A806">
        <f>'Customers Raw data'!A806</f>
        <v>1805</v>
      </c>
      <c r="B806" t="str">
        <f>'Customers Raw data'!B806</f>
        <v>2024-10-21</v>
      </c>
      <c r="C806" t="str">
        <f>'Customers Raw data'!C806</f>
        <v>Pro</v>
      </c>
      <c r="D806">
        <f>'Customers Raw data'!D806</f>
        <v>200</v>
      </c>
      <c r="E806">
        <f>'Customers Raw data'!E806</f>
        <v>100</v>
      </c>
      <c r="F806">
        <f>'Customers Raw data'!F806</f>
        <v>0</v>
      </c>
      <c r="G806">
        <f>IF('Customers Raw data'!F806&lt;&gt;"",1,0)</f>
        <v>0</v>
      </c>
      <c r="H806" t="str">
        <f>IF('Customers Raw data'!F806&lt;&gt;"",YEAR(DATEVALUE('Customers Raw data'!F806)),"")</f>
        <v/>
      </c>
      <c r="I806" t="str">
        <f>IF('Customers Raw data'!F806&lt;&gt;"",MONTH(DATEVALUE('Customers Raw data'!F806)),"")</f>
        <v/>
      </c>
      <c r="J806">
        <f>YEAR(DATEVALUE('Customers Raw data'!B806))</f>
        <v>2024</v>
      </c>
      <c r="K806">
        <f>MONTH(DATEVALUE('Customers Raw data'!B806))</f>
        <v>10</v>
      </c>
      <c r="L806">
        <f ca="1">IF('Customers Raw data'!F806&lt;&gt;"",DATEDIF(DATEVALUE('Customers Raw data'!B806),DATEVALUE('Customers Raw data'!F806),"M"),DATEDIF(DATEVALUE('Customers Raw data'!B806),TODAY(),"M"))</f>
        <v>17</v>
      </c>
      <c r="M806">
        <f t="shared" ca="1" si="60"/>
        <v>3400</v>
      </c>
      <c r="N806">
        <f t="shared" si="61"/>
        <v>2</v>
      </c>
      <c r="O806">
        <f t="shared" ca="1" si="62"/>
        <v>0</v>
      </c>
      <c r="P806">
        <f t="shared" si="63"/>
        <v>0</v>
      </c>
      <c r="Q806" t="e">
        <f t="shared" si="64"/>
        <v>#VALUE!</v>
      </c>
    </row>
    <row r="807" spans="1:17" ht="15" customHeight="1" x14ac:dyDescent="0.25">
      <c r="A807">
        <f>'Customers Raw data'!A807</f>
        <v>1806</v>
      </c>
      <c r="B807" t="str">
        <f>'Customers Raw data'!B807</f>
        <v>2024-12-16</v>
      </c>
      <c r="C807" t="str">
        <f>'Customers Raw data'!C807</f>
        <v>Enterprise</v>
      </c>
      <c r="D807">
        <f>'Customers Raw data'!D807</f>
        <v>500</v>
      </c>
      <c r="E807">
        <f>'Customers Raw data'!E807</f>
        <v>200</v>
      </c>
      <c r="F807" t="str">
        <f>'Customers Raw data'!F807</f>
        <v>2025-03-18</v>
      </c>
      <c r="G807">
        <f>IF('Customers Raw data'!F807&lt;&gt;"",1,0)</f>
        <v>1</v>
      </c>
      <c r="H807">
        <f>IF('Customers Raw data'!F807&lt;&gt;"",YEAR(DATEVALUE('Customers Raw data'!F807)),"")</f>
        <v>2025</v>
      </c>
      <c r="I807">
        <f>IF('Customers Raw data'!F807&lt;&gt;"",MONTH(DATEVALUE('Customers Raw data'!F807)),"")</f>
        <v>3</v>
      </c>
      <c r="J807">
        <f>YEAR(DATEVALUE('Customers Raw data'!B807))</f>
        <v>2024</v>
      </c>
      <c r="K807">
        <f>MONTH(DATEVALUE('Customers Raw data'!B807))</f>
        <v>12</v>
      </c>
      <c r="L807">
        <f ca="1">IF('Customers Raw data'!F807&lt;&gt;"",DATEDIF(DATEVALUE('Customers Raw data'!B807),DATEVALUE('Customers Raw data'!F807),"M"),DATEDIF(DATEVALUE('Customers Raw data'!B807),TODAY(),"M"))</f>
        <v>3</v>
      </c>
      <c r="M807">
        <f t="shared" ca="1" si="60"/>
        <v>1500</v>
      </c>
      <c r="N807">
        <f t="shared" si="61"/>
        <v>3</v>
      </c>
      <c r="O807">
        <f t="shared" ca="1" si="62"/>
        <v>1</v>
      </c>
      <c r="P807">
        <f t="shared" si="63"/>
        <v>500</v>
      </c>
      <c r="Q807" t="str">
        <f t="shared" si="64"/>
        <v>2025-03</v>
      </c>
    </row>
    <row r="808" spans="1:17" ht="15" customHeight="1" x14ac:dyDescent="0.25">
      <c r="A808">
        <f>'Customers Raw data'!A808</f>
        <v>1807</v>
      </c>
      <c r="B808" t="str">
        <f>'Customers Raw data'!B808</f>
        <v>2024-12-06</v>
      </c>
      <c r="C808" t="str">
        <f>'Customers Raw data'!C808</f>
        <v>Basic</v>
      </c>
      <c r="D808">
        <f>'Customers Raw data'!D808</f>
        <v>50</v>
      </c>
      <c r="E808">
        <f>'Customers Raw data'!E808</f>
        <v>30</v>
      </c>
      <c r="F808" t="str">
        <f>'Customers Raw data'!F808</f>
        <v>2025-03-13</v>
      </c>
      <c r="G808">
        <f>IF('Customers Raw data'!F808&lt;&gt;"",1,0)</f>
        <v>1</v>
      </c>
      <c r="H808">
        <f>IF('Customers Raw data'!F808&lt;&gt;"",YEAR(DATEVALUE('Customers Raw data'!F808)),"")</f>
        <v>2025</v>
      </c>
      <c r="I808">
        <f>IF('Customers Raw data'!F808&lt;&gt;"",MONTH(DATEVALUE('Customers Raw data'!F808)),"")</f>
        <v>3</v>
      </c>
      <c r="J808">
        <f>YEAR(DATEVALUE('Customers Raw data'!B808))</f>
        <v>2024</v>
      </c>
      <c r="K808">
        <f>MONTH(DATEVALUE('Customers Raw data'!B808))</f>
        <v>12</v>
      </c>
      <c r="L808">
        <f ca="1">IF('Customers Raw data'!F808&lt;&gt;"",DATEDIF(DATEVALUE('Customers Raw data'!B808),DATEVALUE('Customers Raw data'!F808),"M"),DATEDIF(DATEVALUE('Customers Raw data'!B808),TODAY(),"M"))</f>
        <v>3</v>
      </c>
      <c r="M808">
        <f t="shared" ca="1" si="60"/>
        <v>150</v>
      </c>
      <c r="N808">
        <f t="shared" si="61"/>
        <v>1</v>
      </c>
      <c r="O808">
        <f t="shared" ca="1" si="62"/>
        <v>1</v>
      </c>
      <c r="P808">
        <f t="shared" si="63"/>
        <v>50</v>
      </c>
      <c r="Q808" t="str">
        <f t="shared" si="64"/>
        <v>2025-03</v>
      </c>
    </row>
    <row r="809" spans="1:17" ht="15" customHeight="1" x14ac:dyDescent="0.25">
      <c r="A809">
        <f>'Customers Raw data'!A809</f>
        <v>1808</v>
      </c>
      <c r="B809" t="str">
        <f>'Customers Raw data'!B809</f>
        <v>2024-11-04</v>
      </c>
      <c r="C809" t="str">
        <f>'Customers Raw data'!C809</f>
        <v>Enterprise</v>
      </c>
      <c r="D809">
        <f>'Customers Raw data'!D809</f>
        <v>500</v>
      </c>
      <c r="E809">
        <f>'Customers Raw data'!E809</f>
        <v>200</v>
      </c>
      <c r="F809">
        <f>'Customers Raw data'!F809</f>
        <v>0</v>
      </c>
      <c r="G809">
        <f>IF('Customers Raw data'!F809&lt;&gt;"",1,0)</f>
        <v>0</v>
      </c>
      <c r="H809" t="str">
        <f>IF('Customers Raw data'!F809&lt;&gt;"",YEAR(DATEVALUE('Customers Raw data'!F809)),"")</f>
        <v/>
      </c>
      <c r="I809" t="str">
        <f>IF('Customers Raw data'!F809&lt;&gt;"",MONTH(DATEVALUE('Customers Raw data'!F809)),"")</f>
        <v/>
      </c>
      <c r="J809">
        <f>YEAR(DATEVALUE('Customers Raw data'!B809))</f>
        <v>2024</v>
      </c>
      <c r="K809">
        <f>MONTH(DATEVALUE('Customers Raw data'!B809))</f>
        <v>11</v>
      </c>
      <c r="L809">
        <f ca="1">IF('Customers Raw data'!F809&lt;&gt;"",DATEDIF(DATEVALUE('Customers Raw data'!B809),DATEVALUE('Customers Raw data'!F809),"M"),DATEDIF(DATEVALUE('Customers Raw data'!B809),TODAY(),"M"))</f>
        <v>17</v>
      </c>
      <c r="M809">
        <f t="shared" ca="1" si="60"/>
        <v>8500</v>
      </c>
      <c r="N809">
        <f t="shared" si="61"/>
        <v>3</v>
      </c>
      <c r="O809">
        <f t="shared" ca="1" si="62"/>
        <v>0</v>
      </c>
      <c r="P809">
        <f t="shared" si="63"/>
        <v>0</v>
      </c>
      <c r="Q809" t="e">
        <f t="shared" si="64"/>
        <v>#VALUE!</v>
      </c>
    </row>
    <row r="810" spans="1:17" ht="15" customHeight="1" x14ac:dyDescent="0.25">
      <c r="A810">
        <f>'Customers Raw data'!A810</f>
        <v>1809</v>
      </c>
      <c r="B810" t="str">
        <f>'Customers Raw data'!B810</f>
        <v>2025-06-23</v>
      </c>
      <c r="C810" t="str">
        <f>'Customers Raw data'!C810</f>
        <v>Pro</v>
      </c>
      <c r="D810">
        <f>'Customers Raw data'!D810</f>
        <v>200</v>
      </c>
      <c r="E810">
        <f>'Customers Raw data'!E810</f>
        <v>100</v>
      </c>
      <c r="F810">
        <f>'Customers Raw data'!F810</f>
        <v>0</v>
      </c>
      <c r="G810">
        <f>IF('Customers Raw data'!F810&lt;&gt;"",1,0)</f>
        <v>0</v>
      </c>
      <c r="H810" t="str">
        <f>IF('Customers Raw data'!F810&lt;&gt;"",YEAR(DATEVALUE('Customers Raw data'!F810)),"")</f>
        <v/>
      </c>
      <c r="I810" t="str">
        <f>IF('Customers Raw data'!F810&lt;&gt;"",MONTH(DATEVALUE('Customers Raw data'!F810)),"")</f>
        <v/>
      </c>
      <c r="J810">
        <f>YEAR(DATEVALUE('Customers Raw data'!B810))</f>
        <v>2025</v>
      </c>
      <c r="K810">
        <f>MONTH(DATEVALUE('Customers Raw data'!B810))</f>
        <v>6</v>
      </c>
      <c r="L810">
        <f ca="1">IF('Customers Raw data'!F810&lt;&gt;"",DATEDIF(DATEVALUE('Customers Raw data'!B810),DATEVALUE('Customers Raw data'!F810),"M"),DATEDIF(DATEVALUE('Customers Raw data'!B810),TODAY(),"M"))</f>
        <v>9</v>
      </c>
      <c r="M810">
        <f t="shared" ca="1" si="60"/>
        <v>1800</v>
      </c>
      <c r="N810">
        <f t="shared" si="61"/>
        <v>2</v>
      </c>
      <c r="O810">
        <f t="shared" ca="1" si="62"/>
        <v>0</v>
      </c>
      <c r="P810">
        <f t="shared" si="63"/>
        <v>0</v>
      </c>
      <c r="Q810" t="e">
        <f t="shared" si="64"/>
        <v>#VALUE!</v>
      </c>
    </row>
    <row r="811" spans="1:17" ht="15" customHeight="1" x14ac:dyDescent="0.25">
      <c r="A811">
        <f>'Customers Raw data'!A811</f>
        <v>1810</v>
      </c>
      <c r="B811" t="str">
        <f>'Customers Raw data'!B811</f>
        <v>2024-12-17</v>
      </c>
      <c r="C811" t="str">
        <f>'Customers Raw data'!C811</f>
        <v>Enterprise</v>
      </c>
      <c r="D811">
        <f>'Customers Raw data'!D811</f>
        <v>500</v>
      </c>
      <c r="E811">
        <f>'Customers Raw data'!E811</f>
        <v>200</v>
      </c>
      <c r="F811" t="str">
        <f>'Customers Raw data'!F811</f>
        <v>2025-03-23</v>
      </c>
      <c r="G811">
        <f>IF('Customers Raw data'!F811&lt;&gt;"",1,0)</f>
        <v>1</v>
      </c>
      <c r="H811">
        <f>IF('Customers Raw data'!F811&lt;&gt;"",YEAR(DATEVALUE('Customers Raw data'!F811)),"")</f>
        <v>2025</v>
      </c>
      <c r="I811">
        <f>IF('Customers Raw data'!F811&lt;&gt;"",MONTH(DATEVALUE('Customers Raw data'!F811)),"")</f>
        <v>3</v>
      </c>
      <c r="J811">
        <f>YEAR(DATEVALUE('Customers Raw data'!B811))</f>
        <v>2024</v>
      </c>
      <c r="K811">
        <f>MONTH(DATEVALUE('Customers Raw data'!B811))</f>
        <v>12</v>
      </c>
      <c r="L811">
        <f ca="1">IF('Customers Raw data'!F811&lt;&gt;"",DATEDIF(DATEVALUE('Customers Raw data'!B811),DATEVALUE('Customers Raw data'!F811),"M"),DATEDIF(DATEVALUE('Customers Raw data'!B811),TODAY(),"M"))</f>
        <v>3</v>
      </c>
      <c r="M811">
        <f t="shared" ca="1" si="60"/>
        <v>1500</v>
      </c>
      <c r="N811">
        <f t="shared" si="61"/>
        <v>3</v>
      </c>
      <c r="O811">
        <f t="shared" ca="1" si="62"/>
        <v>1</v>
      </c>
      <c r="P811">
        <f t="shared" si="63"/>
        <v>500</v>
      </c>
      <c r="Q811" t="str">
        <f t="shared" si="64"/>
        <v>2025-03</v>
      </c>
    </row>
    <row r="812" spans="1:17" ht="15" customHeight="1" x14ac:dyDescent="0.25">
      <c r="A812">
        <f>'Customers Raw data'!A812</f>
        <v>1811</v>
      </c>
      <c r="B812" t="str">
        <f>'Customers Raw data'!B812</f>
        <v>2025-02-27</v>
      </c>
      <c r="C812" t="str">
        <f>'Customers Raw data'!C812</f>
        <v>Enterprise</v>
      </c>
      <c r="D812">
        <f>'Customers Raw data'!D812</f>
        <v>500</v>
      </c>
      <c r="E812">
        <f>'Customers Raw data'!E812</f>
        <v>200</v>
      </c>
      <c r="F812">
        <f>'Customers Raw data'!F812</f>
        <v>0</v>
      </c>
      <c r="G812">
        <f>IF('Customers Raw data'!F812&lt;&gt;"",1,0)</f>
        <v>0</v>
      </c>
      <c r="H812" t="str">
        <f>IF('Customers Raw data'!F812&lt;&gt;"",YEAR(DATEVALUE('Customers Raw data'!F812)),"")</f>
        <v/>
      </c>
      <c r="I812" t="str">
        <f>IF('Customers Raw data'!F812&lt;&gt;"",MONTH(DATEVALUE('Customers Raw data'!F812)),"")</f>
        <v/>
      </c>
      <c r="J812">
        <f>YEAR(DATEVALUE('Customers Raw data'!B812))</f>
        <v>2025</v>
      </c>
      <c r="K812">
        <f>MONTH(DATEVALUE('Customers Raw data'!B812))</f>
        <v>2</v>
      </c>
      <c r="L812">
        <f ca="1">IF('Customers Raw data'!F812&lt;&gt;"",DATEDIF(DATEVALUE('Customers Raw data'!B812),DATEVALUE('Customers Raw data'!F812),"M"),DATEDIF(DATEVALUE('Customers Raw data'!B812),TODAY(),"M"))</f>
        <v>13</v>
      </c>
      <c r="M812">
        <f t="shared" ca="1" si="60"/>
        <v>6500</v>
      </c>
      <c r="N812">
        <f t="shared" si="61"/>
        <v>3</v>
      </c>
      <c r="O812">
        <f t="shared" ca="1" si="62"/>
        <v>0</v>
      </c>
      <c r="P812">
        <f t="shared" si="63"/>
        <v>0</v>
      </c>
      <c r="Q812" t="e">
        <f t="shared" si="64"/>
        <v>#VALUE!</v>
      </c>
    </row>
    <row r="813" spans="1:17" ht="15" customHeight="1" x14ac:dyDescent="0.25">
      <c r="A813">
        <f>'Customers Raw data'!A813</f>
        <v>1812</v>
      </c>
      <c r="B813" t="str">
        <f>'Customers Raw data'!B813</f>
        <v>2024-10-20</v>
      </c>
      <c r="C813" t="str">
        <f>'Customers Raw data'!C813</f>
        <v>Pro</v>
      </c>
      <c r="D813">
        <f>'Customers Raw data'!D813</f>
        <v>200</v>
      </c>
      <c r="E813">
        <f>'Customers Raw data'!E813</f>
        <v>100</v>
      </c>
      <c r="F813">
        <f>'Customers Raw data'!F813</f>
        <v>0</v>
      </c>
      <c r="G813">
        <f>IF('Customers Raw data'!F813&lt;&gt;"",1,0)</f>
        <v>0</v>
      </c>
      <c r="H813" t="str">
        <f>IF('Customers Raw data'!F813&lt;&gt;"",YEAR(DATEVALUE('Customers Raw data'!F813)),"")</f>
        <v/>
      </c>
      <c r="I813" t="str">
        <f>IF('Customers Raw data'!F813&lt;&gt;"",MONTH(DATEVALUE('Customers Raw data'!F813)),"")</f>
        <v/>
      </c>
      <c r="J813">
        <f>YEAR(DATEVALUE('Customers Raw data'!B813))</f>
        <v>2024</v>
      </c>
      <c r="K813">
        <f>MONTH(DATEVALUE('Customers Raw data'!B813))</f>
        <v>10</v>
      </c>
      <c r="L813">
        <f ca="1">IF('Customers Raw data'!F813&lt;&gt;"",DATEDIF(DATEVALUE('Customers Raw data'!B813),DATEVALUE('Customers Raw data'!F813),"M"),DATEDIF(DATEVALUE('Customers Raw data'!B813),TODAY(),"M"))</f>
        <v>17</v>
      </c>
      <c r="M813">
        <f t="shared" ca="1" si="60"/>
        <v>3400</v>
      </c>
      <c r="N813">
        <f t="shared" si="61"/>
        <v>2</v>
      </c>
      <c r="O813">
        <f t="shared" ca="1" si="62"/>
        <v>0</v>
      </c>
      <c r="P813">
        <f t="shared" si="63"/>
        <v>0</v>
      </c>
      <c r="Q813" t="e">
        <f t="shared" si="64"/>
        <v>#VALUE!</v>
      </c>
    </row>
    <row r="814" spans="1:17" ht="15" customHeight="1" x14ac:dyDescent="0.25">
      <c r="A814">
        <f>'Customers Raw data'!A814</f>
        <v>1813</v>
      </c>
      <c r="B814" t="str">
        <f>'Customers Raw data'!B814</f>
        <v>2024-12-01</v>
      </c>
      <c r="C814" t="str">
        <f>'Customers Raw data'!C814</f>
        <v>Basic</v>
      </c>
      <c r="D814">
        <f>'Customers Raw data'!D814</f>
        <v>50</v>
      </c>
      <c r="E814">
        <f>'Customers Raw data'!E814</f>
        <v>30</v>
      </c>
      <c r="F814">
        <f>'Customers Raw data'!F814</f>
        <v>0</v>
      </c>
      <c r="G814">
        <f>IF('Customers Raw data'!F814&lt;&gt;"",1,0)</f>
        <v>0</v>
      </c>
      <c r="H814" t="str">
        <f>IF('Customers Raw data'!F814&lt;&gt;"",YEAR(DATEVALUE('Customers Raw data'!F814)),"")</f>
        <v/>
      </c>
      <c r="I814" t="str">
        <f>IF('Customers Raw data'!F814&lt;&gt;"",MONTH(DATEVALUE('Customers Raw data'!F814)),"")</f>
        <v/>
      </c>
      <c r="J814">
        <f>YEAR(DATEVALUE('Customers Raw data'!B814))</f>
        <v>2024</v>
      </c>
      <c r="K814">
        <f>MONTH(DATEVALUE('Customers Raw data'!B814))</f>
        <v>12</v>
      </c>
      <c r="L814">
        <f ca="1">IF('Customers Raw data'!F814&lt;&gt;"",DATEDIF(DATEVALUE('Customers Raw data'!B814),DATEVALUE('Customers Raw data'!F814),"M"),DATEDIF(DATEVALUE('Customers Raw data'!B814),TODAY(),"M"))</f>
        <v>16</v>
      </c>
      <c r="M814">
        <f t="shared" ca="1" si="60"/>
        <v>800</v>
      </c>
      <c r="N814">
        <f t="shared" si="61"/>
        <v>1</v>
      </c>
      <c r="O814">
        <f t="shared" ca="1" si="62"/>
        <v>0</v>
      </c>
      <c r="P814">
        <f t="shared" si="63"/>
        <v>0</v>
      </c>
      <c r="Q814" t="e">
        <f t="shared" si="64"/>
        <v>#VALUE!</v>
      </c>
    </row>
    <row r="815" spans="1:17" ht="15" customHeight="1" x14ac:dyDescent="0.25">
      <c r="A815">
        <f>'Customers Raw data'!A815</f>
        <v>1814</v>
      </c>
      <c r="B815" t="str">
        <f>'Customers Raw data'!B815</f>
        <v>2024-09-16</v>
      </c>
      <c r="C815" t="str">
        <f>'Customers Raw data'!C815</f>
        <v>Basic</v>
      </c>
      <c r="D815">
        <f>'Customers Raw data'!D815</f>
        <v>50</v>
      </c>
      <c r="E815">
        <f>'Customers Raw data'!E815</f>
        <v>30</v>
      </c>
      <c r="F815">
        <f>'Customers Raw data'!F815</f>
        <v>0</v>
      </c>
      <c r="G815">
        <f>IF('Customers Raw data'!F815&lt;&gt;"",1,0)</f>
        <v>0</v>
      </c>
      <c r="H815" t="str">
        <f>IF('Customers Raw data'!F815&lt;&gt;"",YEAR(DATEVALUE('Customers Raw data'!F815)),"")</f>
        <v/>
      </c>
      <c r="I815" t="str">
        <f>IF('Customers Raw data'!F815&lt;&gt;"",MONTH(DATEVALUE('Customers Raw data'!F815)),"")</f>
        <v/>
      </c>
      <c r="J815">
        <f>YEAR(DATEVALUE('Customers Raw data'!B815))</f>
        <v>2024</v>
      </c>
      <c r="K815">
        <f>MONTH(DATEVALUE('Customers Raw data'!B815))</f>
        <v>9</v>
      </c>
      <c r="L815">
        <f ca="1">IF('Customers Raw data'!F815&lt;&gt;"",DATEDIF(DATEVALUE('Customers Raw data'!B815),DATEVALUE('Customers Raw data'!F815),"M"),DATEDIF(DATEVALUE('Customers Raw data'!B815),TODAY(),"M"))</f>
        <v>18</v>
      </c>
      <c r="M815">
        <f t="shared" ca="1" si="60"/>
        <v>900</v>
      </c>
      <c r="N815">
        <f t="shared" si="61"/>
        <v>1</v>
      </c>
      <c r="O815">
        <f t="shared" ca="1" si="62"/>
        <v>0</v>
      </c>
      <c r="P815">
        <f t="shared" si="63"/>
        <v>0</v>
      </c>
      <c r="Q815" t="e">
        <f t="shared" si="64"/>
        <v>#VALUE!</v>
      </c>
    </row>
    <row r="816" spans="1:17" ht="15" customHeight="1" x14ac:dyDescent="0.25">
      <c r="A816">
        <f>'Customers Raw data'!A816</f>
        <v>1815</v>
      </c>
      <c r="B816" t="str">
        <f>'Customers Raw data'!B816</f>
        <v>2024-02-20</v>
      </c>
      <c r="C816" t="str">
        <f>'Customers Raw data'!C816</f>
        <v>Pro</v>
      </c>
      <c r="D816">
        <f>'Customers Raw data'!D816</f>
        <v>200</v>
      </c>
      <c r="E816">
        <f>'Customers Raw data'!E816</f>
        <v>100</v>
      </c>
      <c r="F816">
        <f>'Customers Raw data'!F816</f>
        <v>0</v>
      </c>
      <c r="G816">
        <f>IF('Customers Raw data'!F816&lt;&gt;"",1,0)</f>
        <v>0</v>
      </c>
      <c r="H816" t="str">
        <f>IF('Customers Raw data'!F816&lt;&gt;"",YEAR(DATEVALUE('Customers Raw data'!F816)),"")</f>
        <v/>
      </c>
      <c r="I816" t="str">
        <f>IF('Customers Raw data'!F816&lt;&gt;"",MONTH(DATEVALUE('Customers Raw data'!F816)),"")</f>
        <v/>
      </c>
      <c r="J816">
        <f>YEAR(DATEVALUE('Customers Raw data'!B816))</f>
        <v>2024</v>
      </c>
      <c r="K816">
        <f>MONTH(DATEVALUE('Customers Raw data'!B816))</f>
        <v>2</v>
      </c>
      <c r="L816">
        <f ca="1">IF('Customers Raw data'!F816&lt;&gt;"",DATEDIF(DATEVALUE('Customers Raw data'!B816),DATEVALUE('Customers Raw data'!F816),"M"),DATEDIF(DATEVALUE('Customers Raw data'!B816),TODAY(),"M"))</f>
        <v>25</v>
      </c>
      <c r="M816">
        <f t="shared" ca="1" si="60"/>
        <v>5000</v>
      </c>
      <c r="N816">
        <f t="shared" si="61"/>
        <v>2</v>
      </c>
      <c r="O816">
        <f t="shared" ca="1" si="62"/>
        <v>0</v>
      </c>
      <c r="P816">
        <f t="shared" si="63"/>
        <v>0</v>
      </c>
      <c r="Q816" t="e">
        <f t="shared" si="64"/>
        <v>#VALUE!</v>
      </c>
    </row>
    <row r="817" spans="1:17" ht="15" customHeight="1" x14ac:dyDescent="0.25">
      <c r="A817">
        <f>'Customers Raw data'!A817</f>
        <v>1816</v>
      </c>
      <c r="B817" t="str">
        <f>'Customers Raw data'!B817</f>
        <v>2024-03-27</v>
      </c>
      <c r="C817" t="str">
        <f>'Customers Raw data'!C817</f>
        <v>Pro</v>
      </c>
      <c r="D817">
        <f>'Customers Raw data'!D817</f>
        <v>200</v>
      </c>
      <c r="E817">
        <f>'Customers Raw data'!E817</f>
        <v>100</v>
      </c>
      <c r="F817">
        <f>'Customers Raw data'!F817</f>
        <v>0</v>
      </c>
      <c r="G817">
        <f>IF('Customers Raw data'!F817&lt;&gt;"",1,0)</f>
        <v>0</v>
      </c>
      <c r="H817" t="str">
        <f>IF('Customers Raw data'!F817&lt;&gt;"",YEAR(DATEVALUE('Customers Raw data'!F817)),"")</f>
        <v/>
      </c>
      <c r="I817" t="str">
        <f>IF('Customers Raw data'!F817&lt;&gt;"",MONTH(DATEVALUE('Customers Raw data'!F817)),"")</f>
        <v/>
      </c>
      <c r="J817">
        <f>YEAR(DATEVALUE('Customers Raw data'!B817))</f>
        <v>2024</v>
      </c>
      <c r="K817">
        <f>MONTH(DATEVALUE('Customers Raw data'!B817))</f>
        <v>3</v>
      </c>
      <c r="L817">
        <f ca="1">IF('Customers Raw data'!F817&lt;&gt;"",DATEDIF(DATEVALUE('Customers Raw data'!B817),DATEVALUE('Customers Raw data'!F817),"M"),DATEDIF(DATEVALUE('Customers Raw data'!B817),TODAY(),"M"))</f>
        <v>24</v>
      </c>
      <c r="M817">
        <f t="shared" ca="1" si="60"/>
        <v>4800</v>
      </c>
      <c r="N817">
        <f t="shared" si="61"/>
        <v>2</v>
      </c>
      <c r="O817">
        <f t="shared" ca="1" si="62"/>
        <v>0</v>
      </c>
      <c r="P817">
        <f t="shared" si="63"/>
        <v>0</v>
      </c>
      <c r="Q817" t="e">
        <f t="shared" si="64"/>
        <v>#VALUE!</v>
      </c>
    </row>
    <row r="818" spans="1:17" ht="15" customHeight="1" x14ac:dyDescent="0.25">
      <c r="A818">
        <f>'Customers Raw data'!A818</f>
        <v>1817</v>
      </c>
      <c r="B818" t="str">
        <f>'Customers Raw data'!B818</f>
        <v>2024-04-21</v>
      </c>
      <c r="C818" t="str">
        <f>'Customers Raw data'!C818</f>
        <v>Enterprise</v>
      </c>
      <c r="D818">
        <f>'Customers Raw data'!D818</f>
        <v>500</v>
      </c>
      <c r="E818">
        <f>'Customers Raw data'!E818</f>
        <v>200</v>
      </c>
      <c r="F818" t="str">
        <f>'Customers Raw data'!F818</f>
        <v>2024-05-26</v>
      </c>
      <c r="G818">
        <f>IF('Customers Raw data'!F818&lt;&gt;"",1,0)</f>
        <v>1</v>
      </c>
      <c r="H818">
        <f>IF('Customers Raw data'!F818&lt;&gt;"",YEAR(DATEVALUE('Customers Raw data'!F818)),"")</f>
        <v>2024</v>
      </c>
      <c r="I818">
        <f>IF('Customers Raw data'!F818&lt;&gt;"",MONTH(DATEVALUE('Customers Raw data'!F818)),"")</f>
        <v>5</v>
      </c>
      <c r="J818">
        <f>YEAR(DATEVALUE('Customers Raw data'!B818))</f>
        <v>2024</v>
      </c>
      <c r="K818">
        <f>MONTH(DATEVALUE('Customers Raw data'!B818))</f>
        <v>4</v>
      </c>
      <c r="L818">
        <f ca="1">IF('Customers Raw data'!F818&lt;&gt;"",DATEDIF(DATEVALUE('Customers Raw data'!B818),DATEVALUE('Customers Raw data'!F818),"M"),DATEDIF(DATEVALUE('Customers Raw data'!B818),TODAY(),"M"))</f>
        <v>1</v>
      </c>
      <c r="M818">
        <f t="shared" ca="1" si="60"/>
        <v>500</v>
      </c>
      <c r="N818">
        <f t="shared" si="61"/>
        <v>3</v>
      </c>
      <c r="O818">
        <f t="shared" ca="1" si="62"/>
        <v>1</v>
      </c>
      <c r="P818">
        <f t="shared" si="63"/>
        <v>500</v>
      </c>
      <c r="Q818" t="str">
        <f t="shared" si="64"/>
        <v>2024-05</v>
      </c>
    </row>
    <row r="819" spans="1:17" ht="15" customHeight="1" x14ac:dyDescent="0.25">
      <c r="A819">
        <f>'Customers Raw data'!A819</f>
        <v>1818</v>
      </c>
      <c r="B819" t="str">
        <f>'Customers Raw data'!B819</f>
        <v>2025-01-28</v>
      </c>
      <c r="C819" t="str">
        <f>'Customers Raw data'!C819</f>
        <v>Enterprise</v>
      </c>
      <c r="D819">
        <f>'Customers Raw data'!D819</f>
        <v>500</v>
      </c>
      <c r="E819">
        <f>'Customers Raw data'!E819</f>
        <v>200</v>
      </c>
      <c r="F819">
        <f>'Customers Raw data'!F819</f>
        <v>0</v>
      </c>
      <c r="G819">
        <f>IF('Customers Raw data'!F819&lt;&gt;"",1,0)</f>
        <v>0</v>
      </c>
      <c r="H819" t="str">
        <f>IF('Customers Raw data'!F819&lt;&gt;"",YEAR(DATEVALUE('Customers Raw data'!F819)),"")</f>
        <v/>
      </c>
      <c r="I819" t="str">
        <f>IF('Customers Raw data'!F819&lt;&gt;"",MONTH(DATEVALUE('Customers Raw data'!F819)),"")</f>
        <v/>
      </c>
      <c r="J819">
        <f>YEAR(DATEVALUE('Customers Raw data'!B819))</f>
        <v>2025</v>
      </c>
      <c r="K819">
        <f>MONTH(DATEVALUE('Customers Raw data'!B819))</f>
        <v>1</v>
      </c>
      <c r="L819">
        <f ca="1">IF('Customers Raw data'!F819&lt;&gt;"",DATEDIF(DATEVALUE('Customers Raw data'!B819),DATEVALUE('Customers Raw data'!F819),"M"),DATEDIF(DATEVALUE('Customers Raw data'!B819),TODAY(),"M"))</f>
        <v>14</v>
      </c>
      <c r="M819">
        <f t="shared" ca="1" si="60"/>
        <v>7000</v>
      </c>
      <c r="N819">
        <f t="shared" si="61"/>
        <v>3</v>
      </c>
      <c r="O819">
        <f t="shared" ca="1" si="62"/>
        <v>0</v>
      </c>
      <c r="P819">
        <f t="shared" si="63"/>
        <v>0</v>
      </c>
      <c r="Q819" t="e">
        <f t="shared" si="64"/>
        <v>#VALUE!</v>
      </c>
    </row>
    <row r="820" spans="1:17" ht="15" customHeight="1" x14ac:dyDescent="0.25">
      <c r="A820">
        <f>'Customers Raw data'!A820</f>
        <v>1819</v>
      </c>
      <c r="B820" t="str">
        <f>'Customers Raw data'!B820</f>
        <v>2024-09-24</v>
      </c>
      <c r="C820" t="str">
        <f>'Customers Raw data'!C820</f>
        <v>Pro</v>
      </c>
      <c r="D820">
        <f>'Customers Raw data'!D820</f>
        <v>200</v>
      </c>
      <c r="E820">
        <f>'Customers Raw data'!E820</f>
        <v>100</v>
      </c>
      <c r="F820">
        <f>'Customers Raw data'!F820</f>
        <v>0</v>
      </c>
      <c r="G820">
        <f>IF('Customers Raw data'!F820&lt;&gt;"",1,0)</f>
        <v>0</v>
      </c>
      <c r="H820" t="str">
        <f>IF('Customers Raw data'!F820&lt;&gt;"",YEAR(DATEVALUE('Customers Raw data'!F820)),"")</f>
        <v/>
      </c>
      <c r="I820" t="str">
        <f>IF('Customers Raw data'!F820&lt;&gt;"",MONTH(DATEVALUE('Customers Raw data'!F820)),"")</f>
        <v/>
      </c>
      <c r="J820">
        <f>YEAR(DATEVALUE('Customers Raw data'!B820))</f>
        <v>2024</v>
      </c>
      <c r="K820">
        <f>MONTH(DATEVALUE('Customers Raw data'!B820))</f>
        <v>9</v>
      </c>
      <c r="L820">
        <f ca="1">IF('Customers Raw data'!F820&lt;&gt;"",DATEDIF(DATEVALUE('Customers Raw data'!B820),DATEVALUE('Customers Raw data'!F820),"M"),DATEDIF(DATEVALUE('Customers Raw data'!B820),TODAY(),"M"))</f>
        <v>18</v>
      </c>
      <c r="M820">
        <f t="shared" ca="1" si="60"/>
        <v>3600</v>
      </c>
      <c r="N820">
        <f t="shared" si="61"/>
        <v>2</v>
      </c>
      <c r="O820">
        <f t="shared" ca="1" si="62"/>
        <v>0</v>
      </c>
      <c r="P820">
        <f t="shared" si="63"/>
        <v>0</v>
      </c>
      <c r="Q820" t="e">
        <f t="shared" si="64"/>
        <v>#VALUE!</v>
      </c>
    </row>
    <row r="821" spans="1:17" ht="15" customHeight="1" x14ac:dyDescent="0.25">
      <c r="A821">
        <f>'Customers Raw data'!A821</f>
        <v>1820</v>
      </c>
      <c r="B821" t="str">
        <f>'Customers Raw data'!B821</f>
        <v>2024-02-14</v>
      </c>
      <c r="C821" t="str">
        <f>'Customers Raw data'!C821</f>
        <v>Pro</v>
      </c>
      <c r="D821">
        <f>'Customers Raw data'!D821</f>
        <v>200</v>
      </c>
      <c r="E821">
        <f>'Customers Raw data'!E821</f>
        <v>100</v>
      </c>
      <c r="F821">
        <f>'Customers Raw data'!F821</f>
        <v>0</v>
      </c>
      <c r="G821">
        <f>IF('Customers Raw data'!F821&lt;&gt;"",1,0)</f>
        <v>0</v>
      </c>
      <c r="H821" t="str">
        <f>IF('Customers Raw data'!F821&lt;&gt;"",YEAR(DATEVALUE('Customers Raw data'!F821)),"")</f>
        <v/>
      </c>
      <c r="I821" t="str">
        <f>IF('Customers Raw data'!F821&lt;&gt;"",MONTH(DATEVALUE('Customers Raw data'!F821)),"")</f>
        <v/>
      </c>
      <c r="J821">
        <f>YEAR(DATEVALUE('Customers Raw data'!B821))</f>
        <v>2024</v>
      </c>
      <c r="K821">
        <f>MONTH(DATEVALUE('Customers Raw data'!B821))</f>
        <v>2</v>
      </c>
      <c r="L821">
        <f ca="1">IF('Customers Raw data'!F821&lt;&gt;"",DATEDIF(DATEVALUE('Customers Raw data'!B821),DATEVALUE('Customers Raw data'!F821),"M"),DATEDIF(DATEVALUE('Customers Raw data'!B821),TODAY(),"M"))</f>
        <v>25</v>
      </c>
      <c r="M821">
        <f t="shared" ca="1" si="60"/>
        <v>5000</v>
      </c>
      <c r="N821">
        <f t="shared" si="61"/>
        <v>2</v>
      </c>
      <c r="O821">
        <f t="shared" ca="1" si="62"/>
        <v>0</v>
      </c>
      <c r="P821">
        <f t="shared" si="63"/>
        <v>0</v>
      </c>
      <c r="Q821" t="e">
        <f t="shared" si="64"/>
        <v>#VALUE!</v>
      </c>
    </row>
    <row r="822" spans="1:17" ht="15" customHeight="1" x14ac:dyDescent="0.25">
      <c r="A822">
        <f>'Customers Raw data'!A822</f>
        <v>1821</v>
      </c>
      <c r="B822" t="str">
        <f>'Customers Raw data'!B822</f>
        <v>2024-08-31</v>
      </c>
      <c r="C822" t="str">
        <f>'Customers Raw data'!C822</f>
        <v>Basic</v>
      </c>
      <c r="D822">
        <f>'Customers Raw data'!D822</f>
        <v>50</v>
      </c>
      <c r="E822">
        <f>'Customers Raw data'!E822</f>
        <v>30</v>
      </c>
      <c r="F822">
        <f>'Customers Raw data'!F822</f>
        <v>0</v>
      </c>
      <c r="G822">
        <f>IF('Customers Raw data'!F822&lt;&gt;"",1,0)</f>
        <v>0</v>
      </c>
      <c r="H822" t="str">
        <f>IF('Customers Raw data'!F822&lt;&gt;"",YEAR(DATEVALUE('Customers Raw data'!F822)),"")</f>
        <v/>
      </c>
      <c r="I822" t="str">
        <f>IF('Customers Raw data'!F822&lt;&gt;"",MONTH(DATEVALUE('Customers Raw data'!F822)),"")</f>
        <v/>
      </c>
      <c r="J822">
        <f>YEAR(DATEVALUE('Customers Raw data'!B822))</f>
        <v>2024</v>
      </c>
      <c r="K822">
        <f>MONTH(DATEVALUE('Customers Raw data'!B822))</f>
        <v>8</v>
      </c>
      <c r="L822">
        <f ca="1">IF('Customers Raw data'!F822&lt;&gt;"",DATEDIF(DATEVALUE('Customers Raw data'!B822),DATEVALUE('Customers Raw data'!F822),"M"),DATEDIF(DATEVALUE('Customers Raw data'!B822),TODAY(),"M"))</f>
        <v>19</v>
      </c>
      <c r="M822">
        <f t="shared" ca="1" si="60"/>
        <v>950</v>
      </c>
      <c r="N822">
        <f t="shared" si="61"/>
        <v>1</v>
      </c>
      <c r="O822">
        <f t="shared" ca="1" si="62"/>
        <v>0</v>
      </c>
      <c r="P822">
        <f t="shared" si="63"/>
        <v>0</v>
      </c>
      <c r="Q822" t="e">
        <f t="shared" si="64"/>
        <v>#VALUE!</v>
      </c>
    </row>
    <row r="823" spans="1:17" ht="15" customHeight="1" x14ac:dyDescent="0.25">
      <c r="A823">
        <f>'Customers Raw data'!A823</f>
        <v>1822</v>
      </c>
      <c r="B823" t="str">
        <f>'Customers Raw data'!B823</f>
        <v>2025-02-05</v>
      </c>
      <c r="C823" t="str">
        <f>'Customers Raw data'!C823</f>
        <v>Basic</v>
      </c>
      <c r="D823">
        <f>'Customers Raw data'!D823</f>
        <v>50</v>
      </c>
      <c r="E823">
        <f>'Customers Raw data'!E823</f>
        <v>30</v>
      </c>
      <c r="F823" t="str">
        <f>'Customers Raw data'!F823</f>
        <v>2025-03-24</v>
      </c>
      <c r="G823">
        <f>IF('Customers Raw data'!F823&lt;&gt;"",1,0)</f>
        <v>1</v>
      </c>
      <c r="H823">
        <f>IF('Customers Raw data'!F823&lt;&gt;"",YEAR(DATEVALUE('Customers Raw data'!F823)),"")</f>
        <v>2025</v>
      </c>
      <c r="I823">
        <f>IF('Customers Raw data'!F823&lt;&gt;"",MONTH(DATEVALUE('Customers Raw data'!F823)),"")</f>
        <v>3</v>
      </c>
      <c r="J823">
        <f>YEAR(DATEVALUE('Customers Raw data'!B823))</f>
        <v>2025</v>
      </c>
      <c r="K823">
        <f>MONTH(DATEVALUE('Customers Raw data'!B823))</f>
        <v>2</v>
      </c>
      <c r="L823">
        <f ca="1">IF('Customers Raw data'!F823&lt;&gt;"",DATEDIF(DATEVALUE('Customers Raw data'!B823),DATEVALUE('Customers Raw data'!F823),"M"),DATEDIF(DATEVALUE('Customers Raw data'!B823),TODAY(),"M"))</f>
        <v>1</v>
      </c>
      <c r="M823">
        <f t="shared" ca="1" si="60"/>
        <v>50</v>
      </c>
      <c r="N823">
        <f t="shared" si="61"/>
        <v>1</v>
      </c>
      <c r="O823">
        <f t="shared" ca="1" si="62"/>
        <v>1</v>
      </c>
      <c r="P823">
        <f t="shared" si="63"/>
        <v>50</v>
      </c>
      <c r="Q823" t="str">
        <f t="shared" si="64"/>
        <v>2025-03</v>
      </c>
    </row>
    <row r="824" spans="1:17" ht="15" customHeight="1" x14ac:dyDescent="0.25">
      <c r="A824">
        <f>'Customers Raw data'!A824</f>
        <v>1823</v>
      </c>
      <c r="B824" t="str">
        <f>'Customers Raw data'!B824</f>
        <v>2025-05-06</v>
      </c>
      <c r="C824" t="str">
        <f>'Customers Raw data'!C824</f>
        <v>Pro</v>
      </c>
      <c r="D824">
        <f>'Customers Raw data'!D824</f>
        <v>200</v>
      </c>
      <c r="E824">
        <f>'Customers Raw data'!E824</f>
        <v>100</v>
      </c>
      <c r="F824">
        <f>'Customers Raw data'!F824</f>
        <v>0</v>
      </c>
      <c r="G824">
        <f>IF('Customers Raw data'!F824&lt;&gt;"",1,0)</f>
        <v>0</v>
      </c>
      <c r="H824" t="str">
        <f>IF('Customers Raw data'!F824&lt;&gt;"",YEAR(DATEVALUE('Customers Raw data'!F824)),"")</f>
        <v/>
      </c>
      <c r="I824" t="str">
        <f>IF('Customers Raw data'!F824&lt;&gt;"",MONTH(DATEVALUE('Customers Raw data'!F824)),"")</f>
        <v/>
      </c>
      <c r="J824">
        <f>YEAR(DATEVALUE('Customers Raw data'!B824))</f>
        <v>2025</v>
      </c>
      <c r="K824">
        <f>MONTH(DATEVALUE('Customers Raw data'!B824))</f>
        <v>5</v>
      </c>
      <c r="L824">
        <f ca="1">IF('Customers Raw data'!F824&lt;&gt;"",DATEDIF(DATEVALUE('Customers Raw data'!B824),DATEVALUE('Customers Raw data'!F824),"M"),DATEDIF(DATEVALUE('Customers Raw data'!B824),TODAY(),"M"))</f>
        <v>11</v>
      </c>
      <c r="M824">
        <f t="shared" ca="1" si="60"/>
        <v>2200</v>
      </c>
      <c r="N824">
        <f t="shared" si="61"/>
        <v>2</v>
      </c>
      <c r="O824">
        <f t="shared" ca="1" si="62"/>
        <v>0</v>
      </c>
      <c r="P824">
        <f t="shared" si="63"/>
        <v>0</v>
      </c>
      <c r="Q824" t="e">
        <f t="shared" si="64"/>
        <v>#VALUE!</v>
      </c>
    </row>
    <row r="825" spans="1:17" ht="15" customHeight="1" x14ac:dyDescent="0.25">
      <c r="A825">
        <f>'Customers Raw data'!A825</f>
        <v>1824</v>
      </c>
      <c r="B825" t="str">
        <f>'Customers Raw data'!B825</f>
        <v>2025-05-16</v>
      </c>
      <c r="C825" t="str">
        <f>'Customers Raw data'!C825</f>
        <v>Pro</v>
      </c>
      <c r="D825">
        <f>'Customers Raw data'!D825</f>
        <v>200</v>
      </c>
      <c r="E825">
        <f>'Customers Raw data'!E825</f>
        <v>100</v>
      </c>
      <c r="F825" t="str">
        <f>'Customers Raw data'!F825</f>
        <v>2025-06-15</v>
      </c>
      <c r="G825">
        <f>IF('Customers Raw data'!F825&lt;&gt;"",1,0)</f>
        <v>1</v>
      </c>
      <c r="H825">
        <f>IF('Customers Raw data'!F825&lt;&gt;"",YEAR(DATEVALUE('Customers Raw data'!F825)),"")</f>
        <v>2025</v>
      </c>
      <c r="I825">
        <f>IF('Customers Raw data'!F825&lt;&gt;"",MONTH(DATEVALUE('Customers Raw data'!F825)),"")</f>
        <v>6</v>
      </c>
      <c r="J825">
        <f>YEAR(DATEVALUE('Customers Raw data'!B825))</f>
        <v>2025</v>
      </c>
      <c r="K825">
        <f>MONTH(DATEVALUE('Customers Raw data'!B825))</f>
        <v>5</v>
      </c>
      <c r="L825">
        <f ca="1">IF('Customers Raw data'!F825&lt;&gt;"",DATEDIF(DATEVALUE('Customers Raw data'!B825),DATEVALUE('Customers Raw data'!F825),"M"),DATEDIF(DATEVALUE('Customers Raw data'!B825),TODAY(),"M"))</f>
        <v>0</v>
      </c>
      <c r="M825">
        <f t="shared" ca="1" si="60"/>
        <v>0</v>
      </c>
      <c r="N825">
        <f t="shared" si="61"/>
        <v>2</v>
      </c>
      <c r="O825">
        <f t="shared" ca="1" si="62"/>
        <v>1</v>
      </c>
      <c r="P825">
        <f t="shared" si="63"/>
        <v>200</v>
      </c>
      <c r="Q825" t="str">
        <f t="shared" si="64"/>
        <v>2025-06</v>
      </c>
    </row>
    <row r="826" spans="1:17" ht="15" customHeight="1" x14ac:dyDescent="0.25">
      <c r="A826">
        <f>'Customers Raw data'!A826</f>
        <v>1825</v>
      </c>
      <c r="B826" t="str">
        <f>'Customers Raw data'!B826</f>
        <v>2025-04-11</v>
      </c>
      <c r="C826" t="str">
        <f>'Customers Raw data'!C826</f>
        <v>Pro</v>
      </c>
      <c r="D826">
        <f>'Customers Raw data'!D826</f>
        <v>200</v>
      </c>
      <c r="E826">
        <f>'Customers Raw data'!E826</f>
        <v>100</v>
      </c>
      <c r="F826">
        <f>'Customers Raw data'!F826</f>
        <v>0</v>
      </c>
      <c r="G826">
        <f>IF('Customers Raw data'!F826&lt;&gt;"",1,0)</f>
        <v>0</v>
      </c>
      <c r="H826" t="str">
        <f>IF('Customers Raw data'!F826&lt;&gt;"",YEAR(DATEVALUE('Customers Raw data'!F826)),"")</f>
        <v/>
      </c>
      <c r="I826" t="str">
        <f>IF('Customers Raw data'!F826&lt;&gt;"",MONTH(DATEVALUE('Customers Raw data'!F826)),"")</f>
        <v/>
      </c>
      <c r="J826">
        <f>YEAR(DATEVALUE('Customers Raw data'!B826))</f>
        <v>2025</v>
      </c>
      <c r="K826">
        <f>MONTH(DATEVALUE('Customers Raw data'!B826))</f>
        <v>4</v>
      </c>
      <c r="L826">
        <f ca="1">IF('Customers Raw data'!F826&lt;&gt;"",DATEDIF(DATEVALUE('Customers Raw data'!B826),DATEVALUE('Customers Raw data'!F826),"M"),DATEDIF(DATEVALUE('Customers Raw data'!B826),TODAY(),"M"))</f>
        <v>11</v>
      </c>
      <c r="M826">
        <f t="shared" ca="1" si="60"/>
        <v>2200</v>
      </c>
      <c r="N826">
        <f t="shared" si="61"/>
        <v>2</v>
      </c>
      <c r="O826">
        <f t="shared" ca="1" si="62"/>
        <v>0</v>
      </c>
      <c r="P826">
        <f t="shared" si="63"/>
        <v>0</v>
      </c>
      <c r="Q826" t="e">
        <f t="shared" si="64"/>
        <v>#VALUE!</v>
      </c>
    </row>
    <row r="827" spans="1:17" ht="15" customHeight="1" x14ac:dyDescent="0.25">
      <c r="A827">
        <f>'Customers Raw data'!A827</f>
        <v>1826</v>
      </c>
      <c r="B827" t="str">
        <f>'Customers Raw data'!B827</f>
        <v>2025-05-17</v>
      </c>
      <c r="C827" t="str">
        <f>'Customers Raw data'!C827</f>
        <v>Enterprise</v>
      </c>
      <c r="D827">
        <f>'Customers Raw data'!D827</f>
        <v>500</v>
      </c>
      <c r="E827">
        <f>'Customers Raw data'!E827</f>
        <v>200</v>
      </c>
      <c r="F827">
        <f>'Customers Raw data'!F827</f>
        <v>0</v>
      </c>
      <c r="G827">
        <f>IF('Customers Raw data'!F827&lt;&gt;"",1,0)</f>
        <v>0</v>
      </c>
      <c r="H827" t="str">
        <f>IF('Customers Raw data'!F827&lt;&gt;"",YEAR(DATEVALUE('Customers Raw data'!F827)),"")</f>
        <v/>
      </c>
      <c r="I827" t="str">
        <f>IF('Customers Raw data'!F827&lt;&gt;"",MONTH(DATEVALUE('Customers Raw data'!F827)),"")</f>
        <v/>
      </c>
      <c r="J827">
        <f>YEAR(DATEVALUE('Customers Raw data'!B827))</f>
        <v>2025</v>
      </c>
      <c r="K827">
        <f>MONTH(DATEVALUE('Customers Raw data'!B827))</f>
        <v>5</v>
      </c>
      <c r="L827">
        <f ca="1">IF('Customers Raw data'!F827&lt;&gt;"",DATEDIF(DATEVALUE('Customers Raw data'!B827),DATEVALUE('Customers Raw data'!F827),"M"),DATEDIF(DATEVALUE('Customers Raw data'!B827),TODAY(),"M"))</f>
        <v>10</v>
      </c>
      <c r="M827">
        <f t="shared" ca="1" si="60"/>
        <v>5000</v>
      </c>
      <c r="N827">
        <f t="shared" si="61"/>
        <v>3</v>
      </c>
      <c r="O827">
        <f t="shared" ca="1" si="62"/>
        <v>0</v>
      </c>
      <c r="P827">
        <f t="shared" si="63"/>
        <v>0</v>
      </c>
      <c r="Q827" t="e">
        <f t="shared" si="64"/>
        <v>#VALUE!</v>
      </c>
    </row>
    <row r="828" spans="1:17" ht="15" customHeight="1" x14ac:dyDescent="0.25">
      <c r="A828">
        <f>'Customers Raw data'!A828</f>
        <v>1827</v>
      </c>
      <c r="B828" t="str">
        <f>'Customers Raw data'!B828</f>
        <v>2024-08-11</v>
      </c>
      <c r="C828" t="str">
        <f>'Customers Raw data'!C828</f>
        <v>Enterprise</v>
      </c>
      <c r="D828">
        <f>'Customers Raw data'!D828</f>
        <v>500</v>
      </c>
      <c r="E828">
        <f>'Customers Raw data'!E828</f>
        <v>200</v>
      </c>
      <c r="F828">
        <f>'Customers Raw data'!F828</f>
        <v>0</v>
      </c>
      <c r="G828">
        <f>IF('Customers Raw data'!F828&lt;&gt;"",1,0)</f>
        <v>0</v>
      </c>
      <c r="H828" t="str">
        <f>IF('Customers Raw data'!F828&lt;&gt;"",YEAR(DATEVALUE('Customers Raw data'!F828)),"")</f>
        <v/>
      </c>
      <c r="I828" t="str">
        <f>IF('Customers Raw data'!F828&lt;&gt;"",MONTH(DATEVALUE('Customers Raw data'!F828)),"")</f>
        <v/>
      </c>
      <c r="J828">
        <f>YEAR(DATEVALUE('Customers Raw data'!B828))</f>
        <v>2024</v>
      </c>
      <c r="K828">
        <f>MONTH(DATEVALUE('Customers Raw data'!B828))</f>
        <v>8</v>
      </c>
      <c r="L828">
        <f ca="1">IF('Customers Raw data'!F828&lt;&gt;"",DATEDIF(DATEVALUE('Customers Raw data'!B828),DATEVALUE('Customers Raw data'!F828),"M"),DATEDIF(DATEVALUE('Customers Raw data'!B828),TODAY(),"M"))</f>
        <v>19</v>
      </c>
      <c r="M828">
        <f t="shared" ca="1" si="60"/>
        <v>9500</v>
      </c>
      <c r="N828">
        <f t="shared" si="61"/>
        <v>3</v>
      </c>
      <c r="O828">
        <f t="shared" ca="1" si="62"/>
        <v>0</v>
      </c>
      <c r="P828">
        <f t="shared" si="63"/>
        <v>0</v>
      </c>
      <c r="Q828" t="e">
        <f t="shared" si="64"/>
        <v>#VALUE!</v>
      </c>
    </row>
    <row r="829" spans="1:17" ht="15" customHeight="1" x14ac:dyDescent="0.25">
      <c r="A829">
        <f>'Customers Raw data'!A829</f>
        <v>1828</v>
      </c>
      <c r="B829" t="str">
        <f>'Customers Raw data'!B829</f>
        <v>2025-06-18</v>
      </c>
      <c r="C829" t="str">
        <f>'Customers Raw data'!C829</f>
        <v>Pro</v>
      </c>
      <c r="D829">
        <f>'Customers Raw data'!D829</f>
        <v>200</v>
      </c>
      <c r="E829">
        <f>'Customers Raw data'!E829</f>
        <v>100</v>
      </c>
      <c r="F829">
        <f>'Customers Raw data'!F829</f>
        <v>0</v>
      </c>
      <c r="G829">
        <f>IF('Customers Raw data'!F829&lt;&gt;"",1,0)</f>
        <v>0</v>
      </c>
      <c r="H829" t="str">
        <f>IF('Customers Raw data'!F829&lt;&gt;"",YEAR(DATEVALUE('Customers Raw data'!F829)),"")</f>
        <v/>
      </c>
      <c r="I829" t="str">
        <f>IF('Customers Raw data'!F829&lt;&gt;"",MONTH(DATEVALUE('Customers Raw data'!F829)),"")</f>
        <v/>
      </c>
      <c r="J829">
        <f>YEAR(DATEVALUE('Customers Raw data'!B829))</f>
        <v>2025</v>
      </c>
      <c r="K829">
        <f>MONTH(DATEVALUE('Customers Raw data'!B829))</f>
        <v>6</v>
      </c>
      <c r="L829">
        <f ca="1">IF('Customers Raw data'!F829&lt;&gt;"",DATEDIF(DATEVALUE('Customers Raw data'!B829),DATEVALUE('Customers Raw data'!F829),"M"),DATEDIF(DATEVALUE('Customers Raw data'!B829),TODAY(),"M"))</f>
        <v>9</v>
      </c>
      <c r="M829">
        <f t="shared" ca="1" si="60"/>
        <v>1800</v>
      </c>
      <c r="N829">
        <f t="shared" si="61"/>
        <v>2</v>
      </c>
      <c r="O829">
        <f t="shared" ca="1" si="62"/>
        <v>0</v>
      </c>
      <c r="P829">
        <f t="shared" si="63"/>
        <v>0</v>
      </c>
      <c r="Q829" t="e">
        <f t="shared" si="64"/>
        <v>#VALUE!</v>
      </c>
    </row>
    <row r="830" spans="1:17" ht="15" customHeight="1" x14ac:dyDescent="0.25">
      <c r="A830">
        <f>'Customers Raw data'!A830</f>
        <v>1829</v>
      </c>
      <c r="B830" t="str">
        <f>'Customers Raw data'!B830</f>
        <v>2024-06-12</v>
      </c>
      <c r="C830" t="str">
        <f>'Customers Raw data'!C830</f>
        <v>Enterprise</v>
      </c>
      <c r="D830">
        <f>'Customers Raw data'!D830</f>
        <v>500</v>
      </c>
      <c r="E830">
        <f>'Customers Raw data'!E830</f>
        <v>200</v>
      </c>
      <c r="F830">
        <f>'Customers Raw data'!F830</f>
        <v>0</v>
      </c>
      <c r="G830">
        <f>IF('Customers Raw data'!F830&lt;&gt;"",1,0)</f>
        <v>0</v>
      </c>
      <c r="H830" t="str">
        <f>IF('Customers Raw data'!F830&lt;&gt;"",YEAR(DATEVALUE('Customers Raw data'!F830)),"")</f>
        <v/>
      </c>
      <c r="I830" t="str">
        <f>IF('Customers Raw data'!F830&lt;&gt;"",MONTH(DATEVALUE('Customers Raw data'!F830)),"")</f>
        <v/>
      </c>
      <c r="J830">
        <f>YEAR(DATEVALUE('Customers Raw data'!B830))</f>
        <v>2024</v>
      </c>
      <c r="K830">
        <f>MONTH(DATEVALUE('Customers Raw data'!B830))</f>
        <v>6</v>
      </c>
      <c r="L830">
        <f ca="1">IF('Customers Raw data'!F830&lt;&gt;"",DATEDIF(DATEVALUE('Customers Raw data'!B830),DATEVALUE('Customers Raw data'!F830),"M"),DATEDIF(DATEVALUE('Customers Raw data'!B830),TODAY(),"M"))</f>
        <v>21</v>
      </c>
      <c r="M830">
        <f t="shared" ca="1" si="60"/>
        <v>10500</v>
      </c>
      <c r="N830">
        <f t="shared" si="61"/>
        <v>3</v>
      </c>
      <c r="O830">
        <f t="shared" ca="1" si="62"/>
        <v>0</v>
      </c>
      <c r="P830">
        <f t="shared" si="63"/>
        <v>0</v>
      </c>
      <c r="Q830" t="e">
        <f t="shared" si="64"/>
        <v>#VALUE!</v>
      </c>
    </row>
    <row r="831" spans="1:17" ht="15" customHeight="1" x14ac:dyDescent="0.25">
      <c r="A831">
        <f>'Customers Raw data'!A831</f>
        <v>1830</v>
      </c>
      <c r="B831" t="str">
        <f>'Customers Raw data'!B831</f>
        <v>2024-11-01</v>
      </c>
      <c r="C831" t="str">
        <f>'Customers Raw data'!C831</f>
        <v>Enterprise</v>
      </c>
      <c r="D831">
        <f>'Customers Raw data'!D831</f>
        <v>500</v>
      </c>
      <c r="E831">
        <f>'Customers Raw data'!E831</f>
        <v>200</v>
      </c>
      <c r="F831">
        <f>'Customers Raw data'!F831</f>
        <v>0</v>
      </c>
      <c r="G831">
        <f>IF('Customers Raw data'!F831&lt;&gt;"",1,0)</f>
        <v>0</v>
      </c>
      <c r="H831" t="str">
        <f>IF('Customers Raw data'!F831&lt;&gt;"",YEAR(DATEVALUE('Customers Raw data'!F831)),"")</f>
        <v/>
      </c>
      <c r="I831" t="str">
        <f>IF('Customers Raw data'!F831&lt;&gt;"",MONTH(DATEVALUE('Customers Raw data'!F831)),"")</f>
        <v/>
      </c>
      <c r="J831">
        <f>YEAR(DATEVALUE('Customers Raw data'!B831))</f>
        <v>2024</v>
      </c>
      <c r="K831">
        <f>MONTH(DATEVALUE('Customers Raw data'!B831))</f>
        <v>11</v>
      </c>
      <c r="L831">
        <f ca="1">IF('Customers Raw data'!F831&lt;&gt;"",DATEDIF(DATEVALUE('Customers Raw data'!B831),DATEVALUE('Customers Raw data'!F831),"M"),DATEDIF(DATEVALUE('Customers Raw data'!B831),TODAY(),"M"))</f>
        <v>17</v>
      </c>
      <c r="M831">
        <f t="shared" ca="1" si="60"/>
        <v>8500</v>
      </c>
      <c r="N831">
        <f t="shared" si="61"/>
        <v>3</v>
      </c>
      <c r="O831">
        <f t="shared" ca="1" si="62"/>
        <v>0</v>
      </c>
      <c r="P831">
        <f t="shared" si="63"/>
        <v>0</v>
      </c>
      <c r="Q831" t="e">
        <f t="shared" si="64"/>
        <v>#VALUE!</v>
      </c>
    </row>
    <row r="832" spans="1:17" ht="15" customHeight="1" x14ac:dyDescent="0.25">
      <c r="A832">
        <f>'Customers Raw data'!A832</f>
        <v>1831</v>
      </c>
      <c r="B832" t="str">
        <f>'Customers Raw data'!B832</f>
        <v>2024-01-13</v>
      </c>
      <c r="C832" t="str">
        <f>'Customers Raw data'!C832</f>
        <v>Pro</v>
      </c>
      <c r="D832">
        <f>'Customers Raw data'!D832</f>
        <v>200</v>
      </c>
      <c r="E832">
        <f>'Customers Raw data'!E832</f>
        <v>100</v>
      </c>
      <c r="F832">
        <f>'Customers Raw data'!F832</f>
        <v>0</v>
      </c>
      <c r="G832">
        <f>IF('Customers Raw data'!F832&lt;&gt;"",1,0)</f>
        <v>0</v>
      </c>
      <c r="H832" t="str">
        <f>IF('Customers Raw data'!F832&lt;&gt;"",YEAR(DATEVALUE('Customers Raw data'!F832)),"")</f>
        <v/>
      </c>
      <c r="I832" t="str">
        <f>IF('Customers Raw data'!F832&lt;&gt;"",MONTH(DATEVALUE('Customers Raw data'!F832)),"")</f>
        <v/>
      </c>
      <c r="J832">
        <f>YEAR(DATEVALUE('Customers Raw data'!B832))</f>
        <v>2024</v>
      </c>
      <c r="K832">
        <f>MONTH(DATEVALUE('Customers Raw data'!B832))</f>
        <v>1</v>
      </c>
      <c r="L832">
        <f ca="1">IF('Customers Raw data'!F832&lt;&gt;"",DATEDIF(DATEVALUE('Customers Raw data'!B832),DATEVALUE('Customers Raw data'!F832),"M"),DATEDIF(DATEVALUE('Customers Raw data'!B832),TODAY(),"M"))</f>
        <v>26</v>
      </c>
      <c r="M832">
        <f t="shared" ca="1" si="60"/>
        <v>5200</v>
      </c>
      <c r="N832">
        <f t="shared" si="61"/>
        <v>2</v>
      </c>
      <c r="O832">
        <f t="shared" ca="1" si="62"/>
        <v>0</v>
      </c>
      <c r="P832">
        <f t="shared" si="63"/>
        <v>0</v>
      </c>
      <c r="Q832" t="e">
        <f t="shared" si="64"/>
        <v>#VALUE!</v>
      </c>
    </row>
    <row r="833" spans="1:17" ht="15" customHeight="1" x14ac:dyDescent="0.25">
      <c r="A833">
        <f>'Customers Raw data'!A833</f>
        <v>1832</v>
      </c>
      <c r="B833" t="str">
        <f>'Customers Raw data'!B833</f>
        <v>2025-02-16</v>
      </c>
      <c r="C833" t="str">
        <f>'Customers Raw data'!C833</f>
        <v>Enterprise</v>
      </c>
      <c r="D833">
        <f>'Customers Raw data'!D833</f>
        <v>500</v>
      </c>
      <c r="E833">
        <f>'Customers Raw data'!E833</f>
        <v>200</v>
      </c>
      <c r="F833">
        <f>'Customers Raw data'!F833</f>
        <v>0</v>
      </c>
      <c r="G833">
        <f>IF('Customers Raw data'!F833&lt;&gt;"",1,0)</f>
        <v>0</v>
      </c>
      <c r="H833" t="str">
        <f>IF('Customers Raw data'!F833&lt;&gt;"",YEAR(DATEVALUE('Customers Raw data'!F833)),"")</f>
        <v/>
      </c>
      <c r="I833" t="str">
        <f>IF('Customers Raw data'!F833&lt;&gt;"",MONTH(DATEVALUE('Customers Raw data'!F833)),"")</f>
        <v/>
      </c>
      <c r="J833">
        <f>YEAR(DATEVALUE('Customers Raw data'!B833))</f>
        <v>2025</v>
      </c>
      <c r="K833">
        <f>MONTH(DATEVALUE('Customers Raw data'!B833))</f>
        <v>2</v>
      </c>
      <c r="L833">
        <f ca="1">IF('Customers Raw data'!F833&lt;&gt;"",DATEDIF(DATEVALUE('Customers Raw data'!B833),DATEVALUE('Customers Raw data'!F833),"M"),DATEDIF(DATEVALUE('Customers Raw data'!B833),TODAY(),"M"))</f>
        <v>13</v>
      </c>
      <c r="M833">
        <f t="shared" ca="1" si="60"/>
        <v>6500</v>
      </c>
      <c r="N833">
        <f t="shared" si="61"/>
        <v>3</v>
      </c>
      <c r="O833">
        <f t="shared" ca="1" si="62"/>
        <v>0</v>
      </c>
      <c r="P833">
        <f t="shared" si="63"/>
        <v>0</v>
      </c>
      <c r="Q833" t="e">
        <f t="shared" si="64"/>
        <v>#VALUE!</v>
      </c>
    </row>
    <row r="834" spans="1:17" ht="15" customHeight="1" x14ac:dyDescent="0.25">
      <c r="A834">
        <f>'Customers Raw data'!A834</f>
        <v>1833</v>
      </c>
      <c r="B834" t="str">
        <f>'Customers Raw data'!B834</f>
        <v>2024-07-25</v>
      </c>
      <c r="C834" t="str">
        <f>'Customers Raw data'!C834</f>
        <v>Pro</v>
      </c>
      <c r="D834">
        <f>'Customers Raw data'!D834</f>
        <v>200</v>
      </c>
      <c r="E834">
        <f>'Customers Raw data'!E834</f>
        <v>100</v>
      </c>
      <c r="F834">
        <f>'Customers Raw data'!F834</f>
        <v>0</v>
      </c>
      <c r="G834">
        <f>IF('Customers Raw data'!F834&lt;&gt;"",1,0)</f>
        <v>0</v>
      </c>
      <c r="H834" t="str">
        <f>IF('Customers Raw data'!F834&lt;&gt;"",YEAR(DATEVALUE('Customers Raw data'!F834)),"")</f>
        <v/>
      </c>
      <c r="I834" t="str">
        <f>IF('Customers Raw data'!F834&lt;&gt;"",MONTH(DATEVALUE('Customers Raw data'!F834)),"")</f>
        <v/>
      </c>
      <c r="J834">
        <f>YEAR(DATEVALUE('Customers Raw data'!B834))</f>
        <v>2024</v>
      </c>
      <c r="K834">
        <f>MONTH(DATEVALUE('Customers Raw data'!B834))</f>
        <v>7</v>
      </c>
      <c r="L834">
        <f ca="1">IF('Customers Raw data'!F834&lt;&gt;"",DATEDIF(DATEVALUE('Customers Raw data'!B834),DATEVALUE('Customers Raw data'!F834),"M"),DATEDIF(DATEVALUE('Customers Raw data'!B834),TODAY(),"M"))</f>
        <v>20</v>
      </c>
      <c r="M834">
        <f t="shared" ref="M834:M897" ca="1" si="65">D834*L834</f>
        <v>4000</v>
      </c>
      <c r="N834">
        <f t="shared" ref="N834:N897" si="66">IF(C834="Basic",1,IF(C834="Pro",2,IF(C834="Enterprise",3,0)))</f>
        <v>2</v>
      </c>
      <c r="O834">
        <f t="shared" ref="O834:O897" ca="1" si="67">IF(AND(G834=1,L834&lt;6),1,0)</f>
        <v>0</v>
      </c>
      <c r="P834">
        <f t="shared" ref="P834:P897" si="68">IF(G834=1,D834,0)</f>
        <v>0</v>
      </c>
      <c r="Q834" t="e">
        <f t="shared" ref="Q834:Q897" si="69">IF(F834&lt;&gt;"",TEXT(DATEVALUE(F834),"YYYY-MM"),"")</f>
        <v>#VALUE!</v>
      </c>
    </row>
    <row r="835" spans="1:17" ht="15" customHeight="1" x14ac:dyDescent="0.25">
      <c r="A835">
        <f>'Customers Raw data'!A835</f>
        <v>1834</v>
      </c>
      <c r="B835" t="str">
        <f>'Customers Raw data'!B835</f>
        <v>2025-03-04</v>
      </c>
      <c r="C835" t="str">
        <f>'Customers Raw data'!C835</f>
        <v>Pro</v>
      </c>
      <c r="D835">
        <f>'Customers Raw data'!D835</f>
        <v>200</v>
      </c>
      <c r="E835">
        <f>'Customers Raw data'!E835</f>
        <v>100</v>
      </c>
      <c r="F835" t="str">
        <f>'Customers Raw data'!F835</f>
        <v>2025-06-02</v>
      </c>
      <c r="G835">
        <f>IF('Customers Raw data'!F835&lt;&gt;"",1,0)</f>
        <v>1</v>
      </c>
      <c r="H835">
        <f>IF('Customers Raw data'!F835&lt;&gt;"",YEAR(DATEVALUE('Customers Raw data'!F835)),"")</f>
        <v>2025</v>
      </c>
      <c r="I835">
        <f>IF('Customers Raw data'!F835&lt;&gt;"",MONTH(DATEVALUE('Customers Raw data'!F835)),"")</f>
        <v>6</v>
      </c>
      <c r="J835">
        <f>YEAR(DATEVALUE('Customers Raw data'!B835))</f>
        <v>2025</v>
      </c>
      <c r="K835">
        <f>MONTH(DATEVALUE('Customers Raw data'!B835))</f>
        <v>3</v>
      </c>
      <c r="L835">
        <f ca="1">IF('Customers Raw data'!F835&lt;&gt;"",DATEDIF(DATEVALUE('Customers Raw data'!B835),DATEVALUE('Customers Raw data'!F835),"M"),DATEDIF(DATEVALUE('Customers Raw data'!B835),TODAY(),"M"))</f>
        <v>2</v>
      </c>
      <c r="M835">
        <f t="shared" ca="1" si="65"/>
        <v>400</v>
      </c>
      <c r="N835">
        <f t="shared" si="66"/>
        <v>2</v>
      </c>
      <c r="O835">
        <f t="shared" ca="1" si="67"/>
        <v>1</v>
      </c>
      <c r="P835">
        <f t="shared" si="68"/>
        <v>200</v>
      </c>
      <c r="Q835" t="str">
        <f t="shared" si="69"/>
        <v>2025-06</v>
      </c>
    </row>
    <row r="836" spans="1:17" ht="15" customHeight="1" x14ac:dyDescent="0.25">
      <c r="A836">
        <f>'Customers Raw data'!A836</f>
        <v>1835</v>
      </c>
      <c r="B836" t="str">
        <f>'Customers Raw data'!B836</f>
        <v>2024-04-06</v>
      </c>
      <c r="C836" t="str">
        <f>'Customers Raw data'!C836</f>
        <v>Basic</v>
      </c>
      <c r="D836">
        <f>'Customers Raw data'!D836</f>
        <v>50</v>
      </c>
      <c r="E836">
        <f>'Customers Raw data'!E836</f>
        <v>30</v>
      </c>
      <c r="F836">
        <f>'Customers Raw data'!F836</f>
        <v>0</v>
      </c>
      <c r="G836">
        <f>IF('Customers Raw data'!F836&lt;&gt;"",1,0)</f>
        <v>0</v>
      </c>
      <c r="H836" t="str">
        <f>IF('Customers Raw data'!F836&lt;&gt;"",YEAR(DATEVALUE('Customers Raw data'!F836)),"")</f>
        <v/>
      </c>
      <c r="I836" t="str">
        <f>IF('Customers Raw data'!F836&lt;&gt;"",MONTH(DATEVALUE('Customers Raw data'!F836)),"")</f>
        <v/>
      </c>
      <c r="J836">
        <f>YEAR(DATEVALUE('Customers Raw data'!B836))</f>
        <v>2024</v>
      </c>
      <c r="K836">
        <f>MONTH(DATEVALUE('Customers Raw data'!B836))</f>
        <v>4</v>
      </c>
      <c r="L836">
        <f ca="1">IF('Customers Raw data'!F836&lt;&gt;"",DATEDIF(DATEVALUE('Customers Raw data'!B836),DATEVALUE('Customers Raw data'!F836),"M"),DATEDIF(DATEVALUE('Customers Raw data'!B836),TODAY(),"M"))</f>
        <v>24</v>
      </c>
      <c r="M836">
        <f t="shared" ca="1" si="65"/>
        <v>1200</v>
      </c>
      <c r="N836">
        <f t="shared" si="66"/>
        <v>1</v>
      </c>
      <c r="O836">
        <f t="shared" ca="1" si="67"/>
        <v>0</v>
      </c>
      <c r="P836">
        <f t="shared" si="68"/>
        <v>0</v>
      </c>
      <c r="Q836" t="e">
        <f t="shared" si="69"/>
        <v>#VALUE!</v>
      </c>
    </row>
    <row r="837" spans="1:17" ht="15" customHeight="1" x14ac:dyDescent="0.25">
      <c r="A837">
        <f>'Customers Raw data'!A837</f>
        <v>1836</v>
      </c>
      <c r="B837" t="str">
        <f>'Customers Raw data'!B837</f>
        <v>2025-01-10</v>
      </c>
      <c r="C837" t="str">
        <f>'Customers Raw data'!C837</f>
        <v>Enterprise</v>
      </c>
      <c r="D837">
        <f>'Customers Raw data'!D837</f>
        <v>500</v>
      </c>
      <c r="E837">
        <f>'Customers Raw data'!E837</f>
        <v>200</v>
      </c>
      <c r="F837">
        <f>'Customers Raw data'!F837</f>
        <v>0</v>
      </c>
      <c r="G837">
        <f>IF('Customers Raw data'!F837&lt;&gt;"",1,0)</f>
        <v>0</v>
      </c>
      <c r="H837" t="str">
        <f>IF('Customers Raw data'!F837&lt;&gt;"",YEAR(DATEVALUE('Customers Raw data'!F837)),"")</f>
        <v/>
      </c>
      <c r="I837" t="str">
        <f>IF('Customers Raw data'!F837&lt;&gt;"",MONTH(DATEVALUE('Customers Raw data'!F837)),"")</f>
        <v/>
      </c>
      <c r="J837">
        <f>YEAR(DATEVALUE('Customers Raw data'!B837))</f>
        <v>2025</v>
      </c>
      <c r="K837">
        <f>MONTH(DATEVALUE('Customers Raw data'!B837))</f>
        <v>1</v>
      </c>
      <c r="L837">
        <f ca="1">IF('Customers Raw data'!F837&lt;&gt;"",DATEDIF(DATEVALUE('Customers Raw data'!B837),DATEVALUE('Customers Raw data'!F837),"M"),DATEDIF(DATEVALUE('Customers Raw data'!B837),TODAY(),"M"))</f>
        <v>14</v>
      </c>
      <c r="M837">
        <f t="shared" ca="1" si="65"/>
        <v>7000</v>
      </c>
      <c r="N837">
        <f t="shared" si="66"/>
        <v>3</v>
      </c>
      <c r="O837">
        <f t="shared" ca="1" si="67"/>
        <v>0</v>
      </c>
      <c r="P837">
        <f t="shared" si="68"/>
        <v>0</v>
      </c>
      <c r="Q837" t="e">
        <f t="shared" si="69"/>
        <v>#VALUE!</v>
      </c>
    </row>
    <row r="838" spans="1:17" ht="15" customHeight="1" x14ac:dyDescent="0.25">
      <c r="A838">
        <f>'Customers Raw data'!A838</f>
        <v>1837</v>
      </c>
      <c r="B838" t="str">
        <f>'Customers Raw data'!B838</f>
        <v>2025-01-01</v>
      </c>
      <c r="C838" t="str">
        <f>'Customers Raw data'!C838</f>
        <v>Enterprise</v>
      </c>
      <c r="D838">
        <f>'Customers Raw data'!D838</f>
        <v>500</v>
      </c>
      <c r="E838">
        <f>'Customers Raw data'!E838</f>
        <v>200</v>
      </c>
      <c r="F838">
        <f>'Customers Raw data'!F838</f>
        <v>0</v>
      </c>
      <c r="G838">
        <f>IF('Customers Raw data'!F838&lt;&gt;"",1,0)</f>
        <v>0</v>
      </c>
      <c r="H838" t="str">
        <f>IF('Customers Raw data'!F838&lt;&gt;"",YEAR(DATEVALUE('Customers Raw data'!F838)),"")</f>
        <v/>
      </c>
      <c r="I838" t="str">
        <f>IF('Customers Raw data'!F838&lt;&gt;"",MONTH(DATEVALUE('Customers Raw data'!F838)),"")</f>
        <v/>
      </c>
      <c r="J838">
        <f>YEAR(DATEVALUE('Customers Raw data'!B838))</f>
        <v>2025</v>
      </c>
      <c r="K838">
        <f>MONTH(DATEVALUE('Customers Raw data'!B838))</f>
        <v>1</v>
      </c>
      <c r="L838">
        <f ca="1">IF('Customers Raw data'!F838&lt;&gt;"",DATEDIF(DATEVALUE('Customers Raw data'!B838),DATEVALUE('Customers Raw data'!F838),"M"),DATEDIF(DATEVALUE('Customers Raw data'!B838),TODAY(),"M"))</f>
        <v>15</v>
      </c>
      <c r="M838">
        <f t="shared" ca="1" si="65"/>
        <v>7500</v>
      </c>
      <c r="N838">
        <f t="shared" si="66"/>
        <v>3</v>
      </c>
      <c r="O838">
        <f t="shared" ca="1" si="67"/>
        <v>0</v>
      </c>
      <c r="P838">
        <f t="shared" si="68"/>
        <v>0</v>
      </c>
      <c r="Q838" t="e">
        <f t="shared" si="69"/>
        <v>#VALUE!</v>
      </c>
    </row>
    <row r="839" spans="1:17" ht="15" customHeight="1" x14ac:dyDescent="0.25">
      <c r="A839">
        <f>'Customers Raw data'!A839</f>
        <v>1838</v>
      </c>
      <c r="B839" t="str">
        <f>'Customers Raw data'!B839</f>
        <v>2024-10-31</v>
      </c>
      <c r="C839" t="str">
        <f>'Customers Raw data'!C839</f>
        <v>Pro</v>
      </c>
      <c r="D839">
        <f>'Customers Raw data'!D839</f>
        <v>200</v>
      </c>
      <c r="E839">
        <f>'Customers Raw data'!E839</f>
        <v>100</v>
      </c>
      <c r="F839">
        <f>'Customers Raw data'!F839</f>
        <v>0</v>
      </c>
      <c r="G839">
        <f>IF('Customers Raw data'!F839&lt;&gt;"",1,0)</f>
        <v>0</v>
      </c>
      <c r="H839" t="str">
        <f>IF('Customers Raw data'!F839&lt;&gt;"",YEAR(DATEVALUE('Customers Raw data'!F839)),"")</f>
        <v/>
      </c>
      <c r="I839" t="str">
        <f>IF('Customers Raw data'!F839&lt;&gt;"",MONTH(DATEVALUE('Customers Raw data'!F839)),"")</f>
        <v/>
      </c>
      <c r="J839">
        <f>YEAR(DATEVALUE('Customers Raw data'!B839))</f>
        <v>2024</v>
      </c>
      <c r="K839">
        <f>MONTH(DATEVALUE('Customers Raw data'!B839))</f>
        <v>10</v>
      </c>
      <c r="L839">
        <f ca="1">IF('Customers Raw data'!F839&lt;&gt;"",DATEDIF(DATEVALUE('Customers Raw data'!B839),DATEVALUE('Customers Raw data'!F839),"M"),DATEDIF(DATEVALUE('Customers Raw data'!B839),TODAY(),"M"))</f>
        <v>17</v>
      </c>
      <c r="M839">
        <f t="shared" ca="1" si="65"/>
        <v>3400</v>
      </c>
      <c r="N839">
        <f t="shared" si="66"/>
        <v>2</v>
      </c>
      <c r="O839">
        <f t="shared" ca="1" si="67"/>
        <v>0</v>
      </c>
      <c r="P839">
        <f t="shared" si="68"/>
        <v>0</v>
      </c>
      <c r="Q839" t="e">
        <f t="shared" si="69"/>
        <v>#VALUE!</v>
      </c>
    </row>
    <row r="840" spans="1:17" ht="15" customHeight="1" x14ac:dyDescent="0.25">
      <c r="A840">
        <f>'Customers Raw data'!A840</f>
        <v>1839</v>
      </c>
      <c r="B840" t="str">
        <f>'Customers Raw data'!B840</f>
        <v>2025-03-26</v>
      </c>
      <c r="C840" t="str">
        <f>'Customers Raw data'!C840</f>
        <v>Basic</v>
      </c>
      <c r="D840">
        <f>'Customers Raw data'!D840</f>
        <v>50</v>
      </c>
      <c r="E840">
        <f>'Customers Raw data'!E840</f>
        <v>30</v>
      </c>
      <c r="F840">
        <f>'Customers Raw data'!F840</f>
        <v>0</v>
      </c>
      <c r="G840">
        <f>IF('Customers Raw data'!F840&lt;&gt;"",1,0)</f>
        <v>0</v>
      </c>
      <c r="H840" t="str">
        <f>IF('Customers Raw data'!F840&lt;&gt;"",YEAR(DATEVALUE('Customers Raw data'!F840)),"")</f>
        <v/>
      </c>
      <c r="I840" t="str">
        <f>IF('Customers Raw data'!F840&lt;&gt;"",MONTH(DATEVALUE('Customers Raw data'!F840)),"")</f>
        <v/>
      </c>
      <c r="J840">
        <f>YEAR(DATEVALUE('Customers Raw data'!B840))</f>
        <v>2025</v>
      </c>
      <c r="K840">
        <f>MONTH(DATEVALUE('Customers Raw data'!B840))</f>
        <v>3</v>
      </c>
      <c r="L840">
        <f ca="1">IF('Customers Raw data'!F840&lt;&gt;"",DATEDIF(DATEVALUE('Customers Raw data'!B840),DATEVALUE('Customers Raw data'!F840),"M"),DATEDIF(DATEVALUE('Customers Raw data'!B840),TODAY(),"M"))</f>
        <v>12</v>
      </c>
      <c r="M840">
        <f t="shared" ca="1" si="65"/>
        <v>600</v>
      </c>
      <c r="N840">
        <f t="shared" si="66"/>
        <v>1</v>
      </c>
      <c r="O840">
        <f t="shared" ca="1" si="67"/>
        <v>0</v>
      </c>
      <c r="P840">
        <f t="shared" si="68"/>
        <v>0</v>
      </c>
      <c r="Q840" t="e">
        <f t="shared" si="69"/>
        <v>#VALUE!</v>
      </c>
    </row>
    <row r="841" spans="1:17" ht="15" customHeight="1" x14ac:dyDescent="0.25">
      <c r="A841">
        <f>'Customers Raw data'!A841</f>
        <v>1840</v>
      </c>
      <c r="B841" t="str">
        <f>'Customers Raw data'!B841</f>
        <v>2025-05-28</v>
      </c>
      <c r="C841" t="str">
        <f>'Customers Raw data'!C841</f>
        <v>Basic</v>
      </c>
      <c r="D841">
        <f>'Customers Raw data'!D841</f>
        <v>50</v>
      </c>
      <c r="E841">
        <f>'Customers Raw data'!E841</f>
        <v>30</v>
      </c>
      <c r="F841">
        <f>'Customers Raw data'!F841</f>
        <v>0</v>
      </c>
      <c r="G841">
        <f>IF('Customers Raw data'!F841&lt;&gt;"",1,0)</f>
        <v>0</v>
      </c>
      <c r="H841" t="str">
        <f>IF('Customers Raw data'!F841&lt;&gt;"",YEAR(DATEVALUE('Customers Raw data'!F841)),"")</f>
        <v/>
      </c>
      <c r="I841" t="str">
        <f>IF('Customers Raw data'!F841&lt;&gt;"",MONTH(DATEVALUE('Customers Raw data'!F841)),"")</f>
        <v/>
      </c>
      <c r="J841">
        <f>YEAR(DATEVALUE('Customers Raw data'!B841))</f>
        <v>2025</v>
      </c>
      <c r="K841">
        <f>MONTH(DATEVALUE('Customers Raw data'!B841))</f>
        <v>5</v>
      </c>
      <c r="L841">
        <f ca="1">IF('Customers Raw data'!F841&lt;&gt;"",DATEDIF(DATEVALUE('Customers Raw data'!B841),DATEVALUE('Customers Raw data'!F841),"M"),DATEDIF(DATEVALUE('Customers Raw data'!B841),TODAY(),"M"))</f>
        <v>10</v>
      </c>
      <c r="M841">
        <f t="shared" ca="1" si="65"/>
        <v>500</v>
      </c>
      <c r="N841">
        <f t="shared" si="66"/>
        <v>1</v>
      </c>
      <c r="O841">
        <f t="shared" ca="1" si="67"/>
        <v>0</v>
      </c>
      <c r="P841">
        <f t="shared" si="68"/>
        <v>0</v>
      </c>
      <c r="Q841" t="e">
        <f t="shared" si="69"/>
        <v>#VALUE!</v>
      </c>
    </row>
    <row r="842" spans="1:17" ht="15" customHeight="1" x14ac:dyDescent="0.25">
      <c r="A842">
        <f>'Customers Raw data'!A842</f>
        <v>1841</v>
      </c>
      <c r="B842" t="str">
        <f>'Customers Raw data'!B842</f>
        <v>2025-01-20</v>
      </c>
      <c r="C842" t="str">
        <f>'Customers Raw data'!C842</f>
        <v>Enterprise</v>
      </c>
      <c r="D842">
        <f>'Customers Raw data'!D842</f>
        <v>500</v>
      </c>
      <c r="E842">
        <f>'Customers Raw data'!E842</f>
        <v>200</v>
      </c>
      <c r="F842">
        <f>'Customers Raw data'!F842</f>
        <v>0</v>
      </c>
      <c r="G842">
        <f>IF('Customers Raw data'!F842&lt;&gt;"",1,0)</f>
        <v>0</v>
      </c>
      <c r="H842" t="str">
        <f>IF('Customers Raw data'!F842&lt;&gt;"",YEAR(DATEVALUE('Customers Raw data'!F842)),"")</f>
        <v/>
      </c>
      <c r="I842" t="str">
        <f>IF('Customers Raw data'!F842&lt;&gt;"",MONTH(DATEVALUE('Customers Raw data'!F842)),"")</f>
        <v/>
      </c>
      <c r="J842">
        <f>YEAR(DATEVALUE('Customers Raw data'!B842))</f>
        <v>2025</v>
      </c>
      <c r="K842">
        <f>MONTH(DATEVALUE('Customers Raw data'!B842))</f>
        <v>1</v>
      </c>
      <c r="L842">
        <f ca="1">IF('Customers Raw data'!F842&lt;&gt;"",DATEDIF(DATEVALUE('Customers Raw data'!B842),DATEVALUE('Customers Raw data'!F842),"M"),DATEDIF(DATEVALUE('Customers Raw data'!B842),TODAY(),"M"))</f>
        <v>14</v>
      </c>
      <c r="M842">
        <f t="shared" ca="1" si="65"/>
        <v>7000</v>
      </c>
      <c r="N842">
        <f t="shared" si="66"/>
        <v>3</v>
      </c>
      <c r="O842">
        <f t="shared" ca="1" si="67"/>
        <v>0</v>
      </c>
      <c r="P842">
        <f t="shared" si="68"/>
        <v>0</v>
      </c>
      <c r="Q842" t="e">
        <f t="shared" si="69"/>
        <v>#VALUE!</v>
      </c>
    </row>
    <row r="843" spans="1:17" ht="15" customHeight="1" x14ac:dyDescent="0.25">
      <c r="A843">
        <f>'Customers Raw data'!A843</f>
        <v>1842</v>
      </c>
      <c r="B843" t="str">
        <f>'Customers Raw data'!B843</f>
        <v>2024-06-17</v>
      </c>
      <c r="C843" t="str">
        <f>'Customers Raw data'!C843</f>
        <v>Basic</v>
      </c>
      <c r="D843">
        <f>'Customers Raw data'!D843</f>
        <v>50</v>
      </c>
      <c r="E843">
        <f>'Customers Raw data'!E843</f>
        <v>30</v>
      </c>
      <c r="F843">
        <f>'Customers Raw data'!F843</f>
        <v>0</v>
      </c>
      <c r="G843">
        <f>IF('Customers Raw data'!F843&lt;&gt;"",1,0)</f>
        <v>0</v>
      </c>
      <c r="H843" t="str">
        <f>IF('Customers Raw data'!F843&lt;&gt;"",YEAR(DATEVALUE('Customers Raw data'!F843)),"")</f>
        <v/>
      </c>
      <c r="I843" t="str">
        <f>IF('Customers Raw data'!F843&lt;&gt;"",MONTH(DATEVALUE('Customers Raw data'!F843)),"")</f>
        <v/>
      </c>
      <c r="J843">
        <f>YEAR(DATEVALUE('Customers Raw data'!B843))</f>
        <v>2024</v>
      </c>
      <c r="K843">
        <f>MONTH(DATEVALUE('Customers Raw data'!B843))</f>
        <v>6</v>
      </c>
      <c r="L843">
        <f ca="1">IF('Customers Raw data'!F843&lt;&gt;"",DATEDIF(DATEVALUE('Customers Raw data'!B843),DATEVALUE('Customers Raw data'!F843),"M"),DATEDIF(DATEVALUE('Customers Raw data'!B843),TODAY(),"M"))</f>
        <v>21</v>
      </c>
      <c r="M843">
        <f t="shared" ca="1" si="65"/>
        <v>1050</v>
      </c>
      <c r="N843">
        <f t="shared" si="66"/>
        <v>1</v>
      </c>
      <c r="O843">
        <f t="shared" ca="1" si="67"/>
        <v>0</v>
      </c>
      <c r="P843">
        <f t="shared" si="68"/>
        <v>0</v>
      </c>
      <c r="Q843" t="e">
        <f t="shared" si="69"/>
        <v>#VALUE!</v>
      </c>
    </row>
    <row r="844" spans="1:17" ht="15" customHeight="1" x14ac:dyDescent="0.25">
      <c r="A844">
        <f>'Customers Raw data'!A844</f>
        <v>1843</v>
      </c>
      <c r="B844" t="str">
        <f>'Customers Raw data'!B844</f>
        <v>2024-02-27</v>
      </c>
      <c r="C844" t="str">
        <f>'Customers Raw data'!C844</f>
        <v>Pro</v>
      </c>
      <c r="D844">
        <f>'Customers Raw data'!D844</f>
        <v>200</v>
      </c>
      <c r="E844">
        <f>'Customers Raw data'!E844</f>
        <v>100</v>
      </c>
      <c r="F844">
        <f>'Customers Raw data'!F844</f>
        <v>0</v>
      </c>
      <c r="G844">
        <f>IF('Customers Raw data'!F844&lt;&gt;"",1,0)</f>
        <v>0</v>
      </c>
      <c r="H844" t="str">
        <f>IF('Customers Raw data'!F844&lt;&gt;"",YEAR(DATEVALUE('Customers Raw data'!F844)),"")</f>
        <v/>
      </c>
      <c r="I844" t="str">
        <f>IF('Customers Raw data'!F844&lt;&gt;"",MONTH(DATEVALUE('Customers Raw data'!F844)),"")</f>
        <v/>
      </c>
      <c r="J844">
        <f>YEAR(DATEVALUE('Customers Raw data'!B844))</f>
        <v>2024</v>
      </c>
      <c r="K844">
        <f>MONTH(DATEVALUE('Customers Raw data'!B844))</f>
        <v>2</v>
      </c>
      <c r="L844">
        <f ca="1">IF('Customers Raw data'!F844&lt;&gt;"",DATEDIF(DATEVALUE('Customers Raw data'!B844),DATEVALUE('Customers Raw data'!F844),"M"),DATEDIF(DATEVALUE('Customers Raw data'!B844),TODAY(),"M"))</f>
        <v>25</v>
      </c>
      <c r="M844">
        <f t="shared" ca="1" si="65"/>
        <v>5000</v>
      </c>
      <c r="N844">
        <f t="shared" si="66"/>
        <v>2</v>
      </c>
      <c r="O844">
        <f t="shared" ca="1" si="67"/>
        <v>0</v>
      </c>
      <c r="P844">
        <f t="shared" si="68"/>
        <v>0</v>
      </c>
      <c r="Q844" t="e">
        <f t="shared" si="69"/>
        <v>#VALUE!</v>
      </c>
    </row>
    <row r="845" spans="1:17" ht="15" customHeight="1" x14ac:dyDescent="0.25">
      <c r="A845">
        <f>'Customers Raw data'!A845</f>
        <v>1844</v>
      </c>
      <c r="B845" t="str">
        <f>'Customers Raw data'!B845</f>
        <v>2024-02-10</v>
      </c>
      <c r="C845" t="str">
        <f>'Customers Raw data'!C845</f>
        <v>Basic</v>
      </c>
      <c r="D845">
        <f>'Customers Raw data'!D845</f>
        <v>50</v>
      </c>
      <c r="E845">
        <f>'Customers Raw data'!E845</f>
        <v>30</v>
      </c>
      <c r="F845" t="str">
        <f>'Customers Raw data'!F845</f>
        <v>2025-03-12</v>
      </c>
      <c r="G845">
        <f>IF('Customers Raw data'!F845&lt;&gt;"",1,0)</f>
        <v>1</v>
      </c>
      <c r="H845">
        <f>IF('Customers Raw data'!F845&lt;&gt;"",YEAR(DATEVALUE('Customers Raw data'!F845)),"")</f>
        <v>2025</v>
      </c>
      <c r="I845">
        <f>IF('Customers Raw data'!F845&lt;&gt;"",MONTH(DATEVALUE('Customers Raw data'!F845)),"")</f>
        <v>3</v>
      </c>
      <c r="J845">
        <f>YEAR(DATEVALUE('Customers Raw data'!B845))</f>
        <v>2024</v>
      </c>
      <c r="K845">
        <f>MONTH(DATEVALUE('Customers Raw data'!B845))</f>
        <v>2</v>
      </c>
      <c r="L845">
        <f ca="1">IF('Customers Raw data'!F845&lt;&gt;"",DATEDIF(DATEVALUE('Customers Raw data'!B845),DATEVALUE('Customers Raw data'!F845),"M"),DATEDIF(DATEVALUE('Customers Raw data'!B845),TODAY(),"M"))</f>
        <v>13</v>
      </c>
      <c r="M845">
        <f t="shared" ca="1" si="65"/>
        <v>650</v>
      </c>
      <c r="N845">
        <f t="shared" si="66"/>
        <v>1</v>
      </c>
      <c r="O845">
        <f t="shared" ca="1" si="67"/>
        <v>0</v>
      </c>
      <c r="P845">
        <f t="shared" si="68"/>
        <v>50</v>
      </c>
      <c r="Q845" t="str">
        <f t="shared" si="69"/>
        <v>2025-03</v>
      </c>
    </row>
    <row r="846" spans="1:17" ht="15" customHeight="1" x14ac:dyDescent="0.25">
      <c r="A846">
        <f>'Customers Raw data'!A846</f>
        <v>1845</v>
      </c>
      <c r="B846" t="str">
        <f>'Customers Raw data'!B846</f>
        <v>2024-01-08</v>
      </c>
      <c r="C846" t="str">
        <f>'Customers Raw data'!C846</f>
        <v>Basic</v>
      </c>
      <c r="D846">
        <f>'Customers Raw data'!D846</f>
        <v>50</v>
      </c>
      <c r="E846">
        <f>'Customers Raw data'!E846</f>
        <v>30</v>
      </c>
      <c r="F846">
        <f>'Customers Raw data'!F846</f>
        <v>0</v>
      </c>
      <c r="G846">
        <f>IF('Customers Raw data'!F846&lt;&gt;"",1,0)</f>
        <v>0</v>
      </c>
      <c r="H846" t="str">
        <f>IF('Customers Raw data'!F846&lt;&gt;"",YEAR(DATEVALUE('Customers Raw data'!F846)),"")</f>
        <v/>
      </c>
      <c r="I846" t="str">
        <f>IF('Customers Raw data'!F846&lt;&gt;"",MONTH(DATEVALUE('Customers Raw data'!F846)),"")</f>
        <v/>
      </c>
      <c r="J846">
        <f>YEAR(DATEVALUE('Customers Raw data'!B846))</f>
        <v>2024</v>
      </c>
      <c r="K846">
        <f>MONTH(DATEVALUE('Customers Raw data'!B846))</f>
        <v>1</v>
      </c>
      <c r="L846">
        <f ca="1">IF('Customers Raw data'!F846&lt;&gt;"",DATEDIF(DATEVALUE('Customers Raw data'!B846),DATEVALUE('Customers Raw data'!F846),"M"),DATEDIF(DATEVALUE('Customers Raw data'!B846),TODAY(),"M"))</f>
        <v>26</v>
      </c>
      <c r="M846">
        <f t="shared" ca="1" si="65"/>
        <v>1300</v>
      </c>
      <c r="N846">
        <f t="shared" si="66"/>
        <v>1</v>
      </c>
      <c r="O846">
        <f t="shared" ca="1" si="67"/>
        <v>0</v>
      </c>
      <c r="P846">
        <f t="shared" si="68"/>
        <v>0</v>
      </c>
      <c r="Q846" t="e">
        <f t="shared" si="69"/>
        <v>#VALUE!</v>
      </c>
    </row>
    <row r="847" spans="1:17" ht="15" customHeight="1" x14ac:dyDescent="0.25">
      <c r="A847">
        <f>'Customers Raw data'!A847</f>
        <v>1846</v>
      </c>
      <c r="B847" t="str">
        <f>'Customers Raw data'!B847</f>
        <v>2024-09-26</v>
      </c>
      <c r="C847" t="str">
        <f>'Customers Raw data'!C847</f>
        <v>Enterprise</v>
      </c>
      <c r="D847">
        <f>'Customers Raw data'!D847</f>
        <v>500</v>
      </c>
      <c r="E847">
        <f>'Customers Raw data'!E847</f>
        <v>200</v>
      </c>
      <c r="F847">
        <f>'Customers Raw data'!F847</f>
        <v>0</v>
      </c>
      <c r="G847">
        <f>IF('Customers Raw data'!F847&lt;&gt;"",1,0)</f>
        <v>0</v>
      </c>
      <c r="H847" t="str">
        <f>IF('Customers Raw data'!F847&lt;&gt;"",YEAR(DATEVALUE('Customers Raw data'!F847)),"")</f>
        <v/>
      </c>
      <c r="I847" t="str">
        <f>IF('Customers Raw data'!F847&lt;&gt;"",MONTH(DATEVALUE('Customers Raw data'!F847)),"")</f>
        <v/>
      </c>
      <c r="J847">
        <f>YEAR(DATEVALUE('Customers Raw data'!B847))</f>
        <v>2024</v>
      </c>
      <c r="K847">
        <f>MONTH(DATEVALUE('Customers Raw data'!B847))</f>
        <v>9</v>
      </c>
      <c r="L847">
        <f ca="1">IF('Customers Raw data'!F847&lt;&gt;"",DATEDIF(DATEVALUE('Customers Raw data'!B847),DATEVALUE('Customers Raw data'!F847),"M"),DATEDIF(DATEVALUE('Customers Raw data'!B847),TODAY(),"M"))</f>
        <v>18</v>
      </c>
      <c r="M847">
        <f t="shared" ca="1" si="65"/>
        <v>9000</v>
      </c>
      <c r="N847">
        <f t="shared" si="66"/>
        <v>3</v>
      </c>
      <c r="O847">
        <f t="shared" ca="1" si="67"/>
        <v>0</v>
      </c>
      <c r="P847">
        <f t="shared" si="68"/>
        <v>0</v>
      </c>
      <c r="Q847" t="e">
        <f t="shared" si="69"/>
        <v>#VALUE!</v>
      </c>
    </row>
    <row r="848" spans="1:17" ht="15" customHeight="1" x14ac:dyDescent="0.25">
      <c r="A848">
        <f>'Customers Raw data'!A848</f>
        <v>1847</v>
      </c>
      <c r="B848" t="str">
        <f>'Customers Raw data'!B848</f>
        <v>2025-06-27</v>
      </c>
      <c r="C848" t="str">
        <f>'Customers Raw data'!C848</f>
        <v>Enterprise</v>
      </c>
      <c r="D848">
        <f>'Customers Raw data'!D848</f>
        <v>500</v>
      </c>
      <c r="E848">
        <f>'Customers Raw data'!E848</f>
        <v>200</v>
      </c>
      <c r="F848">
        <f>'Customers Raw data'!F848</f>
        <v>0</v>
      </c>
      <c r="G848">
        <f>IF('Customers Raw data'!F848&lt;&gt;"",1,0)</f>
        <v>0</v>
      </c>
      <c r="H848" t="str">
        <f>IF('Customers Raw data'!F848&lt;&gt;"",YEAR(DATEVALUE('Customers Raw data'!F848)),"")</f>
        <v/>
      </c>
      <c r="I848" t="str">
        <f>IF('Customers Raw data'!F848&lt;&gt;"",MONTH(DATEVALUE('Customers Raw data'!F848)),"")</f>
        <v/>
      </c>
      <c r="J848">
        <f>YEAR(DATEVALUE('Customers Raw data'!B848))</f>
        <v>2025</v>
      </c>
      <c r="K848">
        <f>MONTH(DATEVALUE('Customers Raw data'!B848))</f>
        <v>6</v>
      </c>
      <c r="L848">
        <f ca="1">IF('Customers Raw data'!F848&lt;&gt;"",DATEDIF(DATEVALUE('Customers Raw data'!B848),DATEVALUE('Customers Raw data'!F848),"M"),DATEDIF(DATEVALUE('Customers Raw data'!B848),TODAY(),"M"))</f>
        <v>9</v>
      </c>
      <c r="M848">
        <f t="shared" ca="1" si="65"/>
        <v>4500</v>
      </c>
      <c r="N848">
        <f t="shared" si="66"/>
        <v>3</v>
      </c>
      <c r="O848">
        <f t="shared" ca="1" si="67"/>
        <v>0</v>
      </c>
      <c r="P848">
        <f t="shared" si="68"/>
        <v>0</v>
      </c>
      <c r="Q848" t="e">
        <f t="shared" si="69"/>
        <v>#VALUE!</v>
      </c>
    </row>
    <row r="849" spans="1:17" ht="15" customHeight="1" x14ac:dyDescent="0.25">
      <c r="A849">
        <f>'Customers Raw data'!A849</f>
        <v>1848</v>
      </c>
      <c r="B849" t="str">
        <f>'Customers Raw data'!B849</f>
        <v>2025-03-19</v>
      </c>
      <c r="C849" t="str">
        <f>'Customers Raw data'!C849</f>
        <v>Basic</v>
      </c>
      <c r="D849">
        <f>'Customers Raw data'!D849</f>
        <v>50</v>
      </c>
      <c r="E849">
        <f>'Customers Raw data'!E849</f>
        <v>30</v>
      </c>
      <c r="F849">
        <f>'Customers Raw data'!F849</f>
        <v>0</v>
      </c>
      <c r="G849">
        <f>IF('Customers Raw data'!F849&lt;&gt;"",1,0)</f>
        <v>0</v>
      </c>
      <c r="H849" t="str">
        <f>IF('Customers Raw data'!F849&lt;&gt;"",YEAR(DATEVALUE('Customers Raw data'!F849)),"")</f>
        <v/>
      </c>
      <c r="I849" t="str">
        <f>IF('Customers Raw data'!F849&lt;&gt;"",MONTH(DATEVALUE('Customers Raw data'!F849)),"")</f>
        <v/>
      </c>
      <c r="J849">
        <f>YEAR(DATEVALUE('Customers Raw data'!B849))</f>
        <v>2025</v>
      </c>
      <c r="K849">
        <f>MONTH(DATEVALUE('Customers Raw data'!B849))</f>
        <v>3</v>
      </c>
      <c r="L849">
        <f ca="1">IF('Customers Raw data'!F849&lt;&gt;"",DATEDIF(DATEVALUE('Customers Raw data'!B849),DATEVALUE('Customers Raw data'!F849),"M"),DATEDIF(DATEVALUE('Customers Raw data'!B849),TODAY(),"M"))</f>
        <v>12</v>
      </c>
      <c r="M849">
        <f t="shared" ca="1" si="65"/>
        <v>600</v>
      </c>
      <c r="N849">
        <f t="shared" si="66"/>
        <v>1</v>
      </c>
      <c r="O849">
        <f t="shared" ca="1" si="67"/>
        <v>0</v>
      </c>
      <c r="P849">
        <f t="shared" si="68"/>
        <v>0</v>
      </c>
      <c r="Q849" t="e">
        <f t="shared" si="69"/>
        <v>#VALUE!</v>
      </c>
    </row>
    <row r="850" spans="1:17" ht="15" customHeight="1" x14ac:dyDescent="0.25">
      <c r="A850">
        <f>'Customers Raw data'!A850</f>
        <v>1849</v>
      </c>
      <c r="B850" t="str">
        <f>'Customers Raw data'!B850</f>
        <v>2024-11-15</v>
      </c>
      <c r="C850" t="str">
        <f>'Customers Raw data'!C850</f>
        <v>Basic</v>
      </c>
      <c r="D850">
        <f>'Customers Raw data'!D850</f>
        <v>50</v>
      </c>
      <c r="E850">
        <f>'Customers Raw data'!E850</f>
        <v>30</v>
      </c>
      <c r="F850">
        <f>'Customers Raw data'!F850</f>
        <v>0</v>
      </c>
      <c r="G850">
        <f>IF('Customers Raw data'!F850&lt;&gt;"",1,0)</f>
        <v>0</v>
      </c>
      <c r="H850" t="str">
        <f>IF('Customers Raw data'!F850&lt;&gt;"",YEAR(DATEVALUE('Customers Raw data'!F850)),"")</f>
        <v/>
      </c>
      <c r="I850" t="str">
        <f>IF('Customers Raw data'!F850&lt;&gt;"",MONTH(DATEVALUE('Customers Raw data'!F850)),"")</f>
        <v/>
      </c>
      <c r="J850">
        <f>YEAR(DATEVALUE('Customers Raw data'!B850))</f>
        <v>2024</v>
      </c>
      <c r="K850">
        <f>MONTH(DATEVALUE('Customers Raw data'!B850))</f>
        <v>11</v>
      </c>
      <c r="L850">
        <f ca="1">IF('Customers Raw data'!F850&lt;&gt;"",DATEDIF(DATEVALUE('Customers Raw data'!B850),DATEVALUE('Customers Raw data'!F850),"M"),DATEDIF(DATEVALUE('Customers Raw data'!B850),TODAY(),"M"))</f>
        <v>16</v>
      </c>
      <c r="M850">
        <f t="shared" ca="1" si="65"/>
        <v>800</v>
      </c>
      <c r="N850">
        <f t="shared" si="66"/>
        <v>1</v>
      </c>
      <c r="O850">
        <f t="shared" ca="1" si="67"/>
        <v>0</v>
      </c>
      <c r="P850">
        <f t="shared" si="68"/>
        <v>0</v>
      </c>
      <c r="Q850" t="e">
        <f t="shared" si="69"/>
        <v>#VALUE!</v>
      </c>
    </row>
    <row r="851" spans="1:17" ht="15" customHeight="1" x14ac:dyDescent="0.25">
      <c r="A851">
        <f>'Customers Raw data'!A851</f>
        <v>1850</v>
      </c>
      <c r="B851" t="str">
        <f>'Customers Raw data'!B851</f>
        <v>2024-01-09</v>
      </c>
      <c r="C851" t="str">
        <f>'Customers Raw data'!C851</f>
        <v>Pro</v>
      </c>
      <c r="D851">
        <f>'Customers Raw data'!D851</f>
        <v>200</v>
      </c>
      <c r="E851">
        <f>'Customers Raw data'!E851</f>
        <v>100</v>
      </c>
      <c r="F851">
        <f>'Customers Raw data'!F851</f>
        <v>0</v>
      </c>
      <c r="G851">
        <f>IF('Customers Raw data'!F851&lt;&gt;"",1,0)</f>
        <v>0</v>
      </c>
      <c r="H851" t="str">
        <f>IF('Customers Raw data'!F851&lt;&gt;"",YEAR(DATEVALUE('Customers Raw data'!F851)),"")</f>
        <v/>
      </c>
      <c r="I851" t="str">
        <f>IF('Customers Raw data'!F851&lt;&gt;"",MONTH(DATEVALUE('Customers Raw data'!F851)),"")</f>
        <v/>
      </c>
      <c r="J851">
        <f>YEAR(DATEVALUE('Customers Raw data'!B851))</f>
        <v>2024</v>
      </c>
      <c r="K851">
        <f>MONTH(DATEVALUE('Customers Raw data'!B851))</f>
        <v>1</v>
      </c>
      <c r="L851">
        <f ca="1">IF('Customers Raw data'!F851&lt;&gt;"",DATEDIF(DATEVALUE('Customers Raw data'!B851),DATEVALUE('Customers Raw data'!F851),"M"),DATEDIF(DATEVALUE('Customers Raw data'!B851),TODAY(),"M"))</f>
        <v>26</v>
      </c>
      <c r="M851">
        <f t="shared" ca="1" si="65"/>
        <v>5200</v>
      </c>
      <c r="N851">
        <f t="shared" si="66"/>
        <v>2</v>
      </c>
      <c r="O851">
        <f t="shared" ca="1" si="67"/>
        <v>0</v>
      </c>
      <c r="P851">
        <f t="shared" si="68"/>
        <v>0</v>
      </c>
      <c r="Q851" t="e">
        <f t="shared" si="69"/>
        <v>#VALUE!</v>
      </c>
    </row>
    <row r="852" spans="1:17" ht="15" customHeight="1" x14ac:dyDescent="0.25">
      <c r="A852">
        <f>'Customers Raw data'!A852</f>
        <v>1851</v>
      </c>
      <c r="B852" t="str">
        <f>'Customers Raw data'!B852</f>
        <v>2024-01-11</v>
      </c>
      <c r="C852" t="str">
        <f>'Customers Raw data'!C852</f>
        <v>Pro</v>
      </c>
      <c r="D852">
        <f>'Customers Raw data'!D852</f>
        <v>200</v>
      </c>
      <c r="E852">
        <f>'Customers Raw data'!E852</f>
        <v>100</v>
      </c>
      <c r="F852">
        <f>'Customers Raw data'!F852</f>
        <v>0</v>
      </c>
      <c r="G852">
        <f>IF('Customers Raw data'!F852&lt;&gt;"",1,0)</f>
        <v>0</v>
      </c>
      <c r="H852" t="str">
        <f>IF('Customers Raw data'!F852&lt;&gt;"",YEAR(DATEVALUE('Customers Raw data'!F852)),"")</f>
        <v/>
      </c>
      <c r="I852" t="str">
        <f>IF('Customers Raw data'!F852&lt;&gt;"",MONTH(DATEVALUE('Customers Raw data'!F852)),"")</f>
        <v/>
      </c>
      <c r="J852">
        <f>YEAR(DATEVALUE('Customers Raw data'!B852))</f>
        <v>2024</v>
      </c>
      <c r="K852">
        <f>MONTH(DATEVALUE('Customers Raw data'!B852))</f>
        <v>1</v>
      </c>
      <c r="L852">
        <f ca="1">IF('Customers Raw data'!F852&lt;&gt;"",DATEDIF(DATEVALUE('Customers Raw data'!B852),DATEVALUE('Customers Raw data'!F852),"M"),DATEDIF(DATEVALUE('Customers Raw data'!B852),TODAY(),"M"))</f>
        <v>26</v>
      </c>
      <c r="M852">
        <f t="shared" ca="1" si="65"/>
        <v>5200</v>
      </c>
      <c r="N852">
        <f t="shared" si="66"/>
        <v>2</v>
      </c>
      <c r="O852">
        <f t="shared" ca="1" si="67"/>
        <v>0</v>
      </c>
      <c r="P852">
        <f t="shared" si="68"/>
        <v>0</v>
      </c>
      <c r="Q852" t="e">
        <f t="shared" si="69"/>
        <v>#VALUE!</v>
      </c>
    </row>
    <row r="853" spans="1:17" ht="15" customHeight="1" x14ac:dyDescent="0.25">
      <c r="A853">
        <f>'Customers Raw data'!A853</f>
        <v>1852</v>
      </c>
      <c r="B853" t="str">
        <f>'Customers Raw data'!B853</f>
        <v>2025-05-20</v>
      </c>
      <c r="C853" t="str">
        <f>'Customers Raw data'!C853</f>
        <v>Enterprise</v>
      </c>
      <c r="D853">
        <f>'Customers Raw data'!D853</f>
        <v>500</v>
      </c>
      <c r="E853">
        <f>'Customers Raw data'!E853</f>
        <v>200</v>
      </c>
      <c r="F853">
        <f>'Customers Raw data'!F853</f>
        <v>0</v>
      </c>
      <c r="G853">
        <f>IF('Customers Raw data'!F853&lt;&gt;"",1,0)</f>
        <v>0</v>
      </c>
      <c r="H853" t="str">
        <f>IF('Customers Raw data'!F853&lt;&gt;"",YEAR(DATEVALUE('Customers Raw data'!F853)),"")</f>
        <v/>
      </c>
      <c r="I853" t="str">
        <f>IF('Customers Raw data'!F853&lt;&gt;"",MONTH(DATEVALUE('Customers Raw data'!F853)),"")</f>
        <v/>
      </c>
      <c r="J853">
        <f>YEAR(DATEVALUE('Customers Raw data'!B853))</f>
        <v>2025</v>
      </c>
      <c r="K853">
        <f>MONTH(DATEVALUE('Customers Raw data'!B853))</f>
        <v>5</v>
      </c>
      <c r="L853">
        <f ca="1">IF('Customers Raw data'!F853&lt;&gt;"",DATEDIF(DATEVALUE('Customers Raw data'!B853),DATEVALUE('Customers Raw data'!F853),"M"),DATEDIF(DATEVALUE('Customers Raw data'!B853),TODAY(),"M"))</f>
        <v>10</v>
      </c>
      <c r="M853">
        <f t="shared" ca="1" si="65"/>
        <v>5000</v>
      </c>
      <c r="N853">
        <f t="shared" si="66"/>
        <v>3</v>
      </c>
      <c r="O853">
        <f t="shared" ca="1" si="67"/>
        <v>0</v>
      </c>
      <c r="P853">
        <f t="shared" si="68"/>
        <v>0</v>
      </c>
      <c r="Q853" t="e">
        <f t="shared" si="69"/>
        <v>#VALUE!</v>
      </c>
    </row>
    <row r="854" spans="1:17" ht="15" customHeight="1" x14ac:dyDescent="0.25">
      <c r="A854">
        <f>'Customers Raw data'!A854</f>
        <v>1853</v>
      </c>
      <c r="B854" t="str">
        <f>'Customers Raw data'!B854</f>
        <v>2024-05-14</v>
      </c>
      <c r="C854" t="str">
        <f>'Customers Raw data'!C854</f>
        <v>Pro</v>
      </c>
      <c r="D854">
        <f>'Customers Raw data'!D854</f>
        <v>200</v>
      </c>
      <c r="E854">
        <f>'Customers Raw data'!E854</f>
        <v>100</v>
      </c>
      <c r="F854">
        <f>'Customers Raw data'!F854</f>
        <v>0</v>
      </c>
      <c r="G854">
        <f>IF('Customers Raw data'!F854&lt;&gt;"",1,0)</f>
        <v>0</v>
      </c>
      <c r="H854" t="str">
        <f>IF('Customers Raw data'!F854&lt;&gt;"",YEAR(DATEVALUE('Customers Raw data'!F854)),"")</f>
        <v/>
      </c>
      <c r="I854" t="str">
        <f>IF('Customers Raw data'!F854&lt;&gt;"",MONTH(DATEVALUE('Customers Raw data'!F854)),"")</f>
        <v/>
      </c>
      <c r="J854">
        <f>YEAR(DATEVALUE('Customers Raw data'!B854))</f>
        <v>2024</v>
      </c>
      <c r="K854">
        <f>MONTH(DATEVALUE('Customers Raw data'!B854))</f>
        <v>5</v>
      </c>
      <c r="L854">
        <f ca="1">IF('Customers Raw data'!F854&lt;&gt;"",DATEDIF(DATEVALUE('Customers Raw data'!B854),DATEVALUE('Customers Raw data'!F854),"M"),DATEDIF(DATEVALUE('Customers Raw data'!B854),TODAY(),"M"))</f>
        <v>22</v>
      </c>
      <c r="M854">
        <f t="shared" ca="1" si="65"/>
        <v>4400</v>
      </c>
      <c r="N854">
        <f t="shared" si="66"/>
        <v>2</v>
      </c>
      <c r="O854">
        <f t="shared" ca="1" si="67"/>
        <v>0</v>
      </c>
      <c r="P854">
        <f t="shared" si="68"/>
        <v>0</v>
      </c>
      <c r="Q854" t="e">
        <f t="shared" si="69"/>
        <v>#VALUE!</v>
      </c>
    </row>
    <row r="855" spans="1:17" ht="15" customHeight="1" x14ac:dyDescent="0.25">
      <c r="A855">
        <f>'Customers Raw data'!A855</f>
        <v>1854</v>
      </c>
      <c r="B855" t="str">
        <f>'Customers Raw data'!B855</f>
        <v>2025-05-21</v>
      </c>
      <c r="C855" t="str">
        <f>'Customers Raw data'!C855</f>
        <v>Pro</v>
      </c>
      <c r="D855">
        <f>'Customers Raw data'!D855</f>
        <v>200</v>
      </c>
      <c r="E855">
        <f>'Customers Raw data'!E855</f>
        <v>100</v>
      </c>
      <c r="F855">
        <f>'Customers Raw data'!F855</f>
        <v>0</v>
      </c>
      <c r="G855">
        <f>IF('Customers Raw data'!F855&lt;&gt;"",1,0)</f>
        <v>0</v>
      </c>
      <c r="H855" t="str">
        <f>IF('Customers Raw data'!F855&lt;&gt;"",YEAR(DATEVALUE('Customers Raw data'!F855)),"")</f>
        <v/>
      </c>
      <c r="I855" t="str">
        <f>IF('Customers Raw data'!F855&lt;&gt;"",MONTH(DATEVALUE('Customers Raw data'!F855)),"")</f>
        <v/>
      </c>
      <c r="J855">
        <f>YEAR(DATEVALUE('Customers Raw data'!B855))</f>
        <v>2025</v>
      </c>
      <c r="K855">
        <f>MONTH(DATEVALUE('Customers Raw data'!B855))</f>
        <v>5</v>
      </c>
      <c r="L855">
        <f ca="1">IF('Customers Raw data'!F855&lt;&gt;"",DATEDIF(DATEVALUE('Customers Raw data'!B855),DATEVALUE('Customers Raw data'!F855),"M"),DATEDIF(DATEVALUE('Customers Raw data'!B855),TODAY(),"M"))</f>
        <v>10</v>
      </c>
      <c r="M855">
        <f t="shared" ca="1" si="65"/>
        <v>2000</v>
      </c>
      <c r="N855">
        <f t="shared" si="66"/>
        <v>2</v>
      </c>
      <c r="O855">
        <f t="shared" ca="1" si="67"/>
        <v>0</v>
      </c>
      <c r="P855">
        <f t="shared" si="68"/>
        <v>0</v>
      </c>
      <c r="Q855" t="e">
        <f t="shared" si="69"/>
        <v>#VALUE!</v>
      </c>
    </row>
    <row r="856" spans="1:17" ht="15" customHeight="1" x14ac:dyDescent="0.25">
      <c r="A856">
        <f>'Customers Raw data'!A856</f>
        <v>1855</v>
      </c>
      <c r="B856" t="str">
        <f>'Customers Raw data'!B856</f>
        <v>2025-06-10</v>
      </c>
      <c r="C856" t="str">
        <f>'Customers Raw data'!C856</f>
        <v>Pro</v>
      </c>
      <c r="D856">
        <f>'Customers Raw data'!D856</f>
        <v>200</v>
      </c>
      <c r="E856">
        <f>'Customers Raw data'!E856</f>
        <v>100</v>
      </c>
      <c r="F856">
        <f>'Customers Raw data'!F856</f>
        <v>0</v>
      </c>
      <c r="G856">
        <f>IF('Customers Raw data'!F856&lt;&gt;"",1,0)</f>
        <v>0</v>
      </c>
      <c r="H856" t="str">
        <f>IF('Customers Raw data'!F856&lt;&gt;"",YEAR(DATEVALUE('Customers Raw data'!F856)),"")</f>
        <v/>
      </c>
      <c r="I856" t="str">
        <f>IF('Customers Raw data'!F856&lt;&gt;"",MONTH(DATEVALUE('Customers Raw data'!F856)),"")</f>
        <v/>
      </c>
      <c r="J856">
        <f>YEAR(DATEVALUE('Customers Raw data'!B856))</f>
        <v>2025</v>
      </c>
      <c r="K856">
        <f>MONTH(DATEVALUE('Customers Raw data'!B856))</f>
        <v>6</v>
      </c>
      <c r="L856">
        <f ca="1">IF('Customers Raw data'!F856&lt;&gt;"",DATEDIF(DATEVALUE('Customers Raw data'!B856),DATEVALUE('Customers Raw data'!F856),"M"),DATEDIF(DATEVALUE('Customers Raw data'!B856),TODAY(),"M"))</f>
        <v>9</v>
      </c>
      <c r="M856">
        <f t="shared" ca="1" si="65"/>
        <v>1800</v>
      </c>
      <c r="N856">
        <f t="shared" si="66"/>
        <v>2</v>
      </c>
      <c r="O856">
        <f t="shared" ca="1" si="67"/>
        <v>0</v>
      </c>
      <c r="P856">
        <f t="shared" si="68"/>
        <v>0</v>
      </c>
      <c r="Q856" t="e">
        <f t="shared" si="69"/>
        <v>#VALUE!</v>
      </c>
    </row>
    <row r="857" spans="1:17" ht="15" customHeight="1" x14ac:dyDescent="0.25">
      <c r="A857">
        <f>'Customers Raw data'!A857</f>
        <v>1856</v>
      </c>
      <c r="B857" t="str">
        <f>'Customers Raw data'!B857</f>
        <v>2025-03-13</v>
      </c>
      <c r="C857" t="str">
        <f>'Customers Raw data'!C857</f>
        <v>Basic</v>
      </c>
      <c r="D857">
        <f>'Customers Raw data'!D857</f>
        <v>50</v>
      </c>
      <c r="E857">
        <f>'Customers Raw data'!E857</f>
        <v>30</v>
      </c>
      <c r="F857">
        <f>'Customers Raw data'!F857</f>
        <v>0</v>
      </c>
      <c r="G857">
        <f>IF('Customers Raw data'!F857&lt;&gt;"",1,0)</f>
        <v>0</v>
      </c>
      <c r="H857" t="str">
        <f>IF('Customers Raw data'!F857&lt;&gt;"",YEAR(DATEVALUE('Customers Raw data'!F857)),"")</f>
        <v/>
      </c>
      <c r="I857" t="str">
        <f>IF('Customers Raw data'!F857&lt;&gt;"",MONTH(DATEVALUE('Customers Raw data'!F857)),"")</f>
        <v/>
      </c>
      <c r="J857">
        <f>YEAR(DATEVALUE('Customers Raw data'!B857))</f>
        <v>2025</v>
      </c>
      <c r="K857">
        <f>MONTH(DATEVALUE('Customers Raw data'!B857))</f>
        <v>3</v>
      </c>
      <c r="L857">
        <f ca="1">IF('Customers Raw data'!F857&lt;&gt;"",DATEDIF(DATEVALUE('Customers Raw data'!B857),DATEVALUE('Customers Raw data'!F857),"M"),DATEDIF(DATEVALUE('Customers Raw data'!B857),TODAY(),"M"))</f>
        <v>12</v>
      </c>
      <c r="M857">
        <f t="shared" ca="1" si="65"/>
        <v>600</v>
      </c>
      <c r="N857">
        <f t="shared" si="66"/>
        <v>1</v>
      </c>
      <c r="O857">
        <f t="shared" ca="1" si="67"/>
        <v>0</v>
      </c>
      <c r="P857">
        <f t="shared" si="68"/>
        <v>0</v>
      </c>
      <c r="Q857" t="e">
        <f t="shared" si="69"/>
        <v>#VALUE!</v>
      </c>
    </row>
    <row r="858" spans="1:17" ht="15" customHeight="1" x14ac:dyDescent="0.25">
      <c r="A858">
        <f>'Customers Raw data'!A858</f>
        <v>1857</v>
      </c>
      <c r="B858" t="str">
        <f>'Customers Raw data'!B858</f>
        <v>2024-12-30</v>
      </c>
      <c r="C858" t="str">
        <f>'Customers Raw data'!C858</f>
        <v>Pro</v>
      </c>
      <c r="D858">
        <f>'Customers Raw data'!D858</f>
        <v>200</v>
      </c>
      <c r="E858">
        <f>'Customers Raw data'!E858</f>
        <v>100</v>
      </c>
      <c r="F858">
        <f>'Customers Raw data'!F858</f>
        <v>0</v>
      </c>
      <c r="G858">
        <f>IF('Customers Raw data'!F858&lt;&gt;"",1,0)</f>
        <v>0</v>
      </c>
      <c r="H858" t="str">
        <f>IF('Customers Raw data'!F858&lt;&gt;"",YEAR(DATEVALUE('Customers Raw data'!F858)),"")</f>
        <v/>
      </c>
      <c r="I858" t="str">
        <f>IF('Customers Raw data'!F858&lt;&gt;"",MONTH(DATEVALUE('Customers Raw data'!F858)),"")</f>
        <v/>
      </c>
      <c r="J858">
        <f>YEAR(DATEVALUE('Customers Raw data'!B858))</f>
        <v>2024</v>
      </c>
      <c r="K858">
        <f>MONTH(DATEVALUE('Customers Raw data'!B858))</f>
        <v>12</v>
      </c>
      <c r="L858">
        <f ca="1">IF('Customers Raw data'!F858&lt;&gt;"",DATEDIF(DATEVALUE('Customers Raw data'!B858),DATEVALUE('Customers Raw data'!F858),"M"),DATEDIF(DATEVALUE('Customers Raw data'!B858),TODAY(),"M"))</f>
        <v>15</v>
      </c>
      <c r="M858">
        <f t="shared" ca="1" si="65"/>
        <v>3000</v>
      </c>
      <c r="N858">
        <f t="shared" si="66"/>
        <v>2</v>
      </c>
      <c r="O858">
        <f t="shared" ca="1" si="67"/>
        <v>0</v>
      </c>
      <c r="P858">
        <f t="shared" si="68"/>
        <v>0</v>
      </c>
      <c r="Q858" t="e">
        <f t="shared" si="69"/>
        <v>#VALUE!</v>
      </c>
    </row>
    <row r="859" spans="1:17" ht="15" customHeight="1" x14ac:dyDescent="0.25">
      <c r="A859">
        <f>'Customers Raw data'!A859</f>
        <v>1858</v>
      </c>
      <c r="B859" t="str">
        <f>'Customers Raw data'!B859</f>
        <v>2024-03-28</v>
      </c>
      <c r="C859" t="str">
        <f>'Customers Raw data'!C859</f>
        <v>Pro</v>
      </c>
      <c r="D859">
        <f>'Customers Raw data'!D859</f>
        <v>200</v>
      </c>
      <c r="E859">
        <f>'Customers Raw data'!E859</f>
        <v>100</v>
      </c>
      <c r="F859">
        <f>'Customers Raw data'!F859</f>
        <v>0</v>
      </c>
      <c r="G859">
        <f>IF('Customers Raw data'!F859&lt;&gt;"",1,0)</f>
        <v>0</v>
      </c>
      <c r="H859" t="str">
        <f>IF('Customers Raw data'!F859&lt;&gt;"",YEAR(DATEVALUE('Customers Raw data'!F859)),"")</f>
        <v/>
      </c>
      <c r="I859" t="str">
        <f>IF('Customers Raw data'!F859&lt;&gt;"",MONTH(DATEVALUE('Customers Raw data'!F859)),"")</f>
        <v/>
      </c>
      <c r="J859">
        <f>YEAR(DATEVALUE('Customers Raw data'!B859))</f>
        <v>2024</v>
      </c>
      <c r="K859">
        <f>MONTH(DATEVALUE('Customers Raw data'!B859))</f>
        <v>3</v>
      </c>
      <c r="L859">
        <f ca="1">IF('Customers Raw data'!F859&lt;&gt;"",DATEDIF(DATEVALUE('Customers Raw data'!B859),DATEVALUE('Customers Raw data'!F859),"M"),DATEDIF(DATEVALUE('Customers Raw data'!B859),TODAY(),"M"))</f>
        <v>24</v>
      </c>
      <c r="M859">
        <f t="shared" ca="1" si="65"/>
        <v>4800</v>
      </c>
      <c r="N859">
        <f t="shared" si="66"/>
        <v>2</v>
      </c>
      <c r="O859">
        <f t="shared" ca="1" si="67"/>
        <v>0</v>
      </c>
      <c r="P859">
        <f t="shared" si="68"/>
        <v>0</v>
      </c>
      <c r="Q859" t="e">
        <f t="shared" si="69"/>
        <v>#VALUE!</v>
      </c>
    </row>
    <row r="860" spans="1:17" ht="15" customHeight="1" x14ac:dyDescent="0.25">
      <c r="A860">
        <f>'Customers Raw data'!A860</f>
        <v>1859</v>
      </c>
      <c r="B860" t="str">
        <f>'Customers Raw data'!B860</f>
        <v>2024-03-22</v>
      </c>
      <c r="C860" t="str">
        <f>'Customers Raw data'!C860</f>
        <v>Pro</v>
      </c>
      <c r="D860">
        <f>'Customers Raw data'!D860</f>
        <v>200</v>
      </c>
      <c r="E860">
        <f>'Customers Raw data'!E860</f>
        <v>100</v>
      </c>
      <c r="F860">
        <f>'Customers Raw data'!F860</f>
        <v>0</v>
      </c>
      <c r="G860">
        <f>IF('Customers Raw data'!F860&lt;&gt;"",1,0)</f>
        <v>0</v>
      </c>
      <c r="H860" t="str">
        <f>IF('Customers Raw data'!F860&lt;&gt;"",YEAR(DATEVALUE('Customers Raw data'!F860)),"")</f>
        <v/>
      </c>
      <c r="I860" t="str">
        <f>IF('Customers Raw data'!F860&lt;&gt;"",MONTH(DATEVALUE('Customers Raw data'!F860)),"")</f>
        <v/>
      </c>
      <c r="J860">
        <f>YEAR(DATEVALUE('Customers Raw data'!B860))</f>
        <v>2024</v>
      </c>
      <c r="K860">
        <f>MONTH(DATEVALUE('Customers Raw data'!B860))</f>
        <v>3</v>
      </c>
      <c r="L860">
        <f ca="1">IF('Customers Raw data'!F860&lt;&gt;"",DATEDIF(DATEVALUE('Customers Raw data'!B860),DATEVALUE('Customers Raw data'!F860),"M"),DATEDIF(DATEVALUE('Customers Raw data'!B860),TODAY(),"M"))</f>
        <v>24</v>
      </c>
      <c r="M860">
        <f t="shared" ca="1" si="65"/>
        <v>4800</v>
      </c>
      <c r="N860">
        <f t="shared" si="66"/>
        <v>2</v>
      </c>
      <c r="O860">
        <f t="shared" ca="1" si="67"/>
        <v>0</v>
      </c>
      <c r="P860">
        <f t="shared" si="68"/>
        <v>0</v>
      </c>
      <c r="Q860" t="e">
        <f t="shared" si="69"/>
        <v>#VALUE!</v>
      </c>
    </row>
    <row r="861" spans="1:17" ht="15" customHeight="1" x14ac:dyDescent="0.25">
      <c r="A861">
        <f>'Customers Raw data'!A861</f>
        <v>1860</v>
      </c>
      <c r="B861" t="str">
        <f>'Customers Raw data'!B861</f>
        <v>2024-11-01</v>
      </c>
      <c r="C861" t="str">
        <f>'Customers Raw data'!C861</f>
        <v>Basic</v>
      </c>
      <c r="D861">
        <f>'Customers Raw data'!D861</f>
        <v>50</v>
      </c>
      <c r="E861">
        <f>'Customers Raw data'!E861</f>
        <v>30</v>
      </c>
      <c r="F861">
        <f>'Customers Raw data'!F861</f>
        <v>0</v>
      </c>
      <c r="G861">
        <f>IF('Customers Raw data'!F861&lt;&gt;"",1,0)</f>
        <v>0</v>
      </c>
      <c r="H861" t="str">
        <f>IF('Customers Raw data'!F861&lt;&gt;"",YEAR(DATEVALUE('Customers Raw data'!F861)),"")</f>
        <v/>
      </c>
      <c r="I861" t="str">
        <f>IF('Customers Raw data'!F861&lt;&gt;"",MONTH(DATEVALUE('Customers Raw data'!F861)),"")</f>
        <v/>
      </c>
      <c r="J861">
        <f>YEAR(DATEVALUE('Customers Raw data'!B861))</f>
        <v>2024</v>
      </c>
      <c r="K861">
        <f>MONTH(DATEVALUE('Customers Raw data'!B861))</f>
        <v>11</v>
      </c>
      <c r="L861">
        <f ca="1">IF('Customers Raw data'!F861&lt;&gt;"",DATEDIF(DATEVALUE('Customers Raw data'!B861),DATEVALUE('Customers Raw data'!F861),"M"),DATEDIF(DATEVALUE('Customers Raw data'!B861),TODAY(),"M"))</f>
        <v>17</v>
      </c>
      <c r="M861">
        <f t="shared" ca="1" si="65"/>
        <v>850</v>
      </c>
      <c r="N861">
        <f t="shared" si="66"/>
        <v>1</v>
      </c>
      <c r="O861">
        <f t="shared" ca="1" si="67"/>
        <v>0</v>
      </c>
      <c r="P861">
        <f t="shared" si="68"/>
        <v>0</v>
      </c>
      <c r="Q861" t="e">
        <f t="shared" si="69"/>
        <v>#VALUE!</v>
      </c>
    </row>
    <row r="862" spans="1:17" ht="15" customHeight="1" x14ac:dyDescent="0.25">
      <c r="A862">
        <f>'Customers Raw data'!A862</f>
        <v>1861</v>
      </c>
      <c r="B862" t="str">
        <f>'Customers Raw data'!B862</f>
        <v>2025-03-05</v>
      </c>
      <c r="C862" t="str">
        <f>'Customers Raw data'!C862</f>
        <v>Pro</v>
      </c>
      <c r="D862">
        <f>'Customers Raw data'!D862</f>
        <v>200</v>
      </c>
      <c r="E862">
        <f>'Customers Raw data'!E862</f>
        <v>100</v>
      </c>
      <c r="F862">
        <f>'Customers Raw data'!F862</f>
        <v>0</v>
      </c>
      <c r="G862">
        <f>IF('Customers Raw data'!F862&lt;&gt;"",1,0)</f>
        <v>0</v>
      </c>
      <c r="H862" t="str">
        <f>IF('Customers Raw data'!F862&lt;&gt;"",YEAR(DATEVALUE('Customers Raw data'!F862)),"")</f>
        <v/>
      </c>
      <c r="I862" t="str">
        <f>IF('Customers Raw data'!F862&lt;&gt;"",MONTH(DATEVALUE('Customers Raw data'!F862)),"")</f>
        <v/>
      </c>
      <c r="J862">
        <f>YEAR(DATEVALUE('Customers Raw data'!B862))</f>
        <v>2025</v>
      </c>
      <c r="K862">
        <f>MONTH(DATEVALUE('Customers Raw data'!B862))</f>
        <v>3</v>
      </c>
      <c r="L862">
        <f ca="1">IF('Customers Raw data'!F862&lt;&gt;"",DATEDIF(DATEVALUE('Customers Raw data'!B862),DATEVALUE('Customers Raw data'!F862),"M"),DATEDIF(DATEVALUE('Customers Raw data'!B862),TODAY(),"M"))</f>
        <v>13</v>
      </c>
      <c r="M862">
        <f t="shared" ca="1" si="65"/>
        <v>2600</v>
      </c>
      <c r="N862">
        <f t="shared" si="66"/>
        <v>2</v>
      </c>
      <c r="O862">
        <f t="shared" ca="1" si="67"/>
        <v>0</v>
      </c>
      <c r="P862">
        <f t="shared" si="68"/>
        <v>0</v>
      </c>
      <c r="Q862" t="e">
        <f t="shared" si="69"/>
        <v>#VALUE!</v>
      </c>
    </row>
    <row r="863" spans="1:17" ht="15" customHeight="1" x14ac:dyDescent="0.25">
      <c r="A863">
        <f>'Customers Raw data'!A863</f>
        <v>1862</v>
      </c>
      <c r="B863" t="str">
        <f>'Customers Raw data'!B863</f>
        <v>2024-10-12</v>
      </c>
      <c r="C863" t="str">
        <f>'Customers Raw data'!C863</f>
        <v>Enterprise</v>
      </c>
      <c r="D863">
        <f>'Customers Raw data'!D863</f>
        <v>500</v>
      </c>
      <c r="E863">
        <f>'Customers Raw data'!E863</f>
        <v>200</v>
      </c>
      <c r="F863">
        <f>'Customers Raw data'!F863</f>
        <v>0</v>
      </c>
      <c r="G863">
        <f>IF('Customers Raw data'!F863&lt;&gt;"",1,0)</f>
        <v>0</v>
      </c>
      <c r="H863" t="str">
        <f>IF('Customers Raw data'!F863&lt;&gt;"",YEAR(DATEVALUE('Customers Raw data'!F863)),"")</f>
        <v/>
      </c>
      <c r="I863" t="str">
        <f>IF('Customers Raw data'!F863&lt;&gt;"",MONTH(DATEVALUE('Customers Raw data'!F863)),"")</f>
        <v/>
      </c>
      <c r="J863">
        <f>YEAR(DATEVALUE('Customers Raw data'!B863))</f>
        <v>2024</v>
      </c>
      <c r="K863">
        <f>MONTH(DATEVALUE('Customers Raw data'!B863))</f>
        <v>10</v>
      </c>
      <c r="L863">
        <f ca="1">IF('Customers Raw data'!F863&lt;&gt;"",DATEDIF(DATEVALUE('Customers Raw data'!B863),DATEVALUE('Customers Raw data'!F863),"M"),DATEDIF(DATEVALUE('Customers Raw data'!B863),TODAY(),"M"))</f>
        <v>17</v>
      </c>
      <c r="M863">
        <f t="shared" ca="1" si="65"/>
        <v>8500</v>
      </c>
      <c r="N863">
        <f t="shared" si="66"/>
        <v>3</v>
      </c>
      <c r="O863">
        <f t="shared" ca="1" si="67"/>
        <v>0</v>
      </c>
      <c r="P863">
        <f t="shared" si="68"/>
        <v>0</v>
      </c>
      <c r="Q863" t="e">
        <f t="shared" si="69"/>
        <v>#VALUE!</v>
      </c>
    </row>
    <row r="864" spans="1:17" ht="15" customHeight="1" x14ac:dyDescent="0.25">
      <c r="A864">
        <f>'Customers Raw data'!A864</f>
        <v>1863</v>
      </c>
      <c r="B864" t="str">
        <f>'Customers Raw data'!B864</f>
        <v>2024-05-22</v>
      </c>
      <c r="C864" t="str">
        <f>'Customers Raw data'!C864</f>
        <v>Basic</v>
      </c>
      <c r="D864">
        <f>'Customers Raw data'!D864</f>
        <v>50</v>
      </c>
      <c r="E864">
        <f>'Customers Raw data'!E864</f>
        <v>30</v>
      </c>
      <c r="F864">
        <f>'Customers Raw data'!F864</f>
        <v>0</v>
      </c>
      <c r="G864">
        <f>IF('Customers Raw data'!F864&lt;&gt;"",1,0)</f>
        <v>0</v>
      </c>
      <c r="H864" t="str">
        <f>IF('Customers Raw data'!F864&lt;&gt;"",YEAR(DATEVALUE('Customers Raw data'!F864)),"")</f>
        <v/>
      </c>
      <c r="I864" t="str">
        <f>IF('Customers Raw data'!F864&lt;&gt;"",MONTH(DATEVALUE('Customers Raw data'!F864)),"")</f>
        <v/>
      </c>
      <c r="J864">
        <f>YEAR(DATEVALUE('Customers Raw data'!B864))</f>
        <v>2024</v>
      </c>
      <c r="K864">
        <f>MONTH(DATEVALUE('Customers Raw data'!B864))</f>
        <v>5</v>
      </c>
      <c r="L864">
        <f ca="1">IF('Customers Raw data'!F864&lt;&gt;"",DATEDIF(DATEVALUE('Customers Raw data'!B864),DATEVALUE('Customers Raw data'!F864),"M"),DATEDIF(DATEVALUE('Customers Raw data'!B864),TODAY(),"M"))</f>
        <v>22</v>
      </c>
      <c r="M864">
        <f t="shared" ca="1" si="65"/>
        <v>1100</v>
      </c>
      <c r="N864">
        <f t="shared" si="66"/>
        <v>1</v>
      </c>
      <c r="O864">
        <f t="shared" ca="1" si="67"/>
        <v>0</v>
      </c>
      <c r="P864">
        <f t="shared" si="68"/>
        <v>0</v>
      </c>
      <c r="Q864" t="e">
        <f t="shared" si="69"/>
        <v>#VALUE!</v>
      </c>
    </row>
    <row r="865" spans="1:17" ht="15" customHeight="1" x14ac:dyDescent="0.25">
      <c r="A865">
        <f>'Customers Raw data'!A865</f>
        <v>1864</v>
      </c>
      <c r="B865" t="str">
        <f>'Customers Raw data'!B865</f>
        <v>2024-08-04</v>
      </c>
      <c r="C865" t="str">
        <f>'Customers Raw data'!C865</f>
        <v>Pro</v>
      </c>
      <c r="D865">
        <f>'Customers Raw data'!D865</f>
        <v>200</v>
      </c>
      <c r="E865">
        <f>'Customers Raw data'!E865</f>
        <v>100</v>
      </c>
      <c r="F865">
        <f>'Customers Raw data'!F865</f>
        <v>0</v>
      </c>
      <c r="G865">
        <f>IF('Customers Raw data'!F865&lt;&gt;"",1,0)</f>
        <v>0</v>
      </c>
      <c r="H865" t="str">
        <f>IF('Customers Raw data'!F865&lt;&gt;"",YEAR(DATEVALUE('Customers Raw data'!F865)),"")</f>
        <v/>
      </c>
      <c r="I865" t="str">
        <f>IF('Customers Raw data'!F865&lt;&gt;"",MONTH(DATEVALUE('Customers Raw data'!F865)),"")</f>
        <v/>
      </c>
      <c r="J865">
        <f>YEAR(DATEVALUE('Customers Raw data'!B865))</f>
        <v>2024</v>
      </c>
      <c r="K865">
        <f>MONTH(DATEVALUE('Customers Raw data'!B865))</f>
        <v>8</v>
      </c>
      <c r="L865">
        <f ca="1">IF('Customers Raw data'!F865&lt;&gt;"",DATEDIF(DATEVALUE('Customers Raw data'!B865),DATEVALUE('Customers Raw data'!F865),"M"),DATEDIF(DATEVALUE('Customers Raw data'!B865),TODAY(),"M"))</f>
        <v>20</v>
      </c>
      <c r="M865">
        <f t="shared" ca="1" si="65"/>
        <v>4000</v>
      </c>
      <c r="N865">
        <f t="shared" si="66"/>
        <v>2</v>
      </c>
      <c r="O865">
        <f t="shared" ca="1" si="67"/>
        <v>0</v>
      </c>
      <c r="P865">
        <f t="shared" si="68"/>
        <v>0</v>
      </c>
      <c r="Q865" t="e">
        <f t="shared" si="69"/>
        <v>#VALUE!</v>
      </c>
    </row>
    <row r="866" spans="1:17" ht="15" customHeight="1" x14ac:dyDescent="0.25">
      <c r="A866">
        <f>'Customers Raw data'!A866</f>
        <v>1865</v>
      </c>
      <c r="B866" t="str">
        <f>'Customers Raw data'!B866</f>
        <v>2024-04-08</v>
      </c>
      <c r="C866" t="str">
        <f>'Customers Raw data'!C866</f>
        <v>Pro</v>
      </c>
      <c r="D866">
        <f>'Customers Raw data'!D866</f>
        <v>200</v>
      </c>
      <c r="E866">
        <f>'Customers Raw data'!E866</f>
        <v>100</v>
      </c>
      <c r="F866">
        <f>'Customers Raw data'!F866</f>
        <v>0</v>
      </c>
      <c r="G866">
        <f>IF('Customers Raw data'!F866&lt;&gt;"",1,0)</f>
        <v>0</v>
      </c>
      <c r="H866" t="str">
        <f>IF('Customers Raw data'!F866&lt;&gt;"",YEAR(DATEVALUE('Customers Raw data'!F866)),"")</f>
        <v/>
      </c>
      <c r="I866" t="str">
        <f>IF('Customers Raw data'!F866&lt;&gt;"",MONTH(DATEVALUE('Customers Raw data'!F866)),"")</f>
        <v/>
      </c>
      <c r="J866">
        <f>YEAR(DATEVALUE('Customers Raw data'!B866))</f>
        <v>2024</v>
      </c>
      <c r="K866">
        <f>MONTH(DATEVALUE('Customers Raw data'!B866))</f>
        <v>4</v>
      </c>
      <c r="L866">
        <f ca="1">IF('Customers Raw data'!F866&lt;&gt;"",DATEDIF(DATEVALUE('Customers Raw data'!B866),DATEVALUE('Customers Raw data'!F866),"M"),DATEDIF(DATEVALUE('Customers Raw data'!B866),TODAY(),"M"))</f>
        <v>23</v>
      </c>
      <c r="M866">
        <f t="shared" ca="1" si="65"/>
        <v>4600</v>
      </c>
      <c r="N866">
        <f t="shared" si="66"/>
        <v>2</v>
      </c>
      <c r="O866">
        <f t="shared" ca="1" si="67"/>
        <v>0</v>
      </c>
      <c r="P866">
        <f t="shared" si="68"/>
        <v>0</v>
      </c>
      <c r="Q866" t="e">
        <f t="shared" si="69"/>
        <v>#VALUE!</v>
      </c>
    </row>
    <row r="867" spans="1:17" ht="15" customHeight="1" x14ac:dyDescent="0.25">
      <c r="A867">
        <f>'Customers Raw data'!A867</f>
        <v>1866</v>
      </c>
      <c r="B867" t="str">
        <f>'Customers Raw data'!B867</f>
        <v>2024-07-30</v>
      </c>
      <c r="C867" t="str">
        <f>'Customers Raw data'!C867</f>
        <v>Pro</v>
      </c>
      <c r="D867">
        <f>'Customers Raw data'!D867</f>
        <v>200</v>
      </c>
      <c r="E867">
        <f>'Customers Raw data'!E867</f>
        <v>100</v>
      </c>
      <c r="F867">
        <f>'Customers Raw data'!F867</f>
        <v>0</v>
      </c>
      <c r="G867">
        <f>IF('Customers Raw data'!F867&lt;&gt;"",1,0)</f>
        <v>0</v>
      </c>
      <c r="H867" t="str">
        <f>IF('Customers Raw data'!F867&lt;&gt;"",YEAR(DATEVALUE('Customers Raw data'!F867)),"")</f>
        <v/>
      </c>
      <c r="I867" t="str">
        <f>IF('Customers Raw data'!F867&lt;&gt;"",MONTH(DATEVALUE('Customers Raw data'!F867)),"")</f>
        <v/>
      </c>
      <c r="J867">
        <f>YEAR(DATEVALUE('Customers Raw data'!B867))</f>
        <v>2024</v>
      </c>
      <c r="K867">
        <f>MONTH(DATEVALUE('Customers Raw data'!B867))</f>
        <v>7</v>
      </c>
      <c r="L867">
        <f ca="1">IF('Customers Raw data'!F867&lt;&gt;"",DATEDIF(DATEVALUE('Customers Raw data'!B867),DATEVALUE('Customers Raw data'!F867),"M"),DATEDIF(DATEVALUE('Customers Raw data'!B867),TODAY(),"M"))</f>
        <v>20</v>
      </c>
      <c r="M867">
        <f t="shared" ca="1" si="65"/>
        <v>4000</v>
      </c>
      <c r="N867">
        <f t="shared" si="66"/>
        <v>2</v>
      </c>
      <c r="O867">
        <f t="shared" ca="1" si="67"/>
        <v>0</v>
      </c>
      <c r="P867">
        <f t="shared" si="68"/>
        <v>0</v>
      </c>
      <c r="Q867" t="e">
        <f t="shared" si="69"/>
        <v>#VALUE!</v>
      </c>
    </row>
    <row r="868" spans="1:17" ht="15" customHeight="1" x14ac:dyDescent="0.25">
      <c r="A868">
        <f>'Customers Raw data'!A868</f>
        <v>1867</v>
      </c>
      <c r="B868" t="str">
        <f>'Customers Raw data'!B868</f>
        <v>2024-05-04</v>
      </c>
      <c r="C868" t="str">
        <f>'Customers Raw data'!C868</f>
        <v>Pro</v>
      </c>
      <c r="D868">
        <f>'Customers Raw data'!D868</f>
        <v>200</v>
      </c>
      <c r="E868">
        <f>'Customers Raw data'!E868</f>
        <v>100</v>
      </c>
      <c r="F868">
        <f>'Customers Raw data'!F868</f>
        <v>0</v>
      </c>
      <c r="G868">
        <f>IF('Customers Raw data'!F868&lt;&gt;"",1,0)</f>
        <v>0</v>
      </c>
      <c r="H868" t="str">
        <f>IF('Customers Raw data'!F868&lt;&gt;"",YEAR(DATEVALUE('Customers Raw data'!F868)),"")</f>
        <v/>
      </c>
      <c r="I868" t="str">
        <f>IF('Customers Raw data'!F868&lt;&gt;"",MONTH(DATEVALUE('Customers Raw data'!F868)),"")</f>
        <v/>
      </c>
      <c r="J868">
        <f>YEAR(DATEVALUE('Customers Raw data'!B868))</f>
        <v>2024</v>
      </c>
      <c r="K868">
        <f>MONTH(DATEVALUE('Customers Raw data'!B868))</f>
        <v>5</v>
      </c>
      <c r="L868">
        <f ca="1">IF('Customers Raw data'!F868&lt;&gt;"",DATEDIF(DATEVALUE('Customers Raw data'!B868),DATEVALUE('Customers Raw data'!F868),"M"),DATEDIF(DATEVALUE('Customers Raw data'!B868),TODAY(),"M"))</f>
        <v>23</v>
      </c>
      <c r="M868">
        <f t="shared" ca="1" si="65"/>
        <v>4600</v>
      </c>
      <c r="N868">
        <f t="shared" si="66"/>
        <v>2</v>
      </c>
      <c r="O868">
        <f t="shared" ca="1" si="67"/>
        <v>0</v>
      </c>
      <c r="P868">
        <f t="shared" si="68"/>
        <v>0</v>
      </c>
      <c r="Q868" t="e">
        <f t="shared" si="69"/>
        <v>#VALUE!</v>
      </c>
    </row>
    <row r="869" spans="1:17" ht="15" customHeight="1" x14ac:dyDescent="0.25">
      <c r="A869">
        <f>'Customers Raw data'!A869</f>
        <v>1868</v>
      </c>
      <c r="B869" t="str">
        <f>'Customers Raw data'!B869</f>
        <v>2025-06-22</v>
      </c>
      <c r="C869" t="str">
        <f>'Customers Raw data'!C869</f>
        <v>Pro</v>
      </c>
      <c r="D869">
        <f>'Customers Raw data'!D869</f>
        <v>200</v>
      </c>
      <c r="E869">
        <f>'Customers Raw data'!E869</f>
        <v>100</v>
      </c>
      <c r="F869">
        <f>'Customers Raw data'!F869</f>
        <v>0</v>
      </c>
      <c r="G869">
        <f>IF('Customers Raw data'!F869&lt;&gt;"",1,0)</f>
        <v>0</v>
      </c>
      <c r="H869" t="str">
        <f>IF('Customers Raw data'!F869&lt;&gt;"",YEAR(DATEVALUE('Customers Raw data'!F869)),"")</f>
        <v/>
      </c>
      <c r="I869" t="str">
        <f>IF('Customers Raw data'!F869&lt;&gt;"",MONTH(DATEVALUE('Customers Raw data'!F869)),"")</f>
        <v/>
      </c>
      <c r="J869">
        <f>YEAR(DATEVALUE('Customers Raw data'!B869))</f>
        <v>2025</v>
      </c>
      <c r="K869">
        <f>MONTH(DATEVALUE('Customers Raw data'!B869))</f>
        <v>6</v>
      </c>
      <c r="L869">
        <f ca="1">IF('Customers Raw data'!F869&lt;&gt;"",DATEDIF(DATEVALUE('Customers Raw data'!B869),DATEVALUE('Customers Raw data'!F869),"M"),DATEDIF(DATEVALUE('Customers Raw data'!B869),TODAY(),"M"))</f>
        <v>9</v>
      </c>
      <c r="M869">
        <f t="shared" ca="1" si="65"/>
        <v>1800</v>
      </c>
      <c r="N869">
        <f t="shared" si="66"/>
        <v>2</v>
      </c>
      <c r="O869">
        <f t="shared" ca="1" si="67"/>
        <v>0</v>
      </c>
      <c r="P869">
        <f t="shared" si="68"/>
        <v>0</v>
      </c>
      <c r="Q869" t="e">
        <f t="shared" si="69"/>
        <v>#VALUE!</v>
      </c>
    </row>
    <row r="870" spans="1:17" ht="15" customHeight="1" x14ac:dyDescent="0.25">
      <c r="A870">
        <f>'Customers Raw data'!A870</f>
        <v>1869</v>
      </c>
      <c r="B870" t="str">
        <f>'Customers Raw data'!B870</f>
        <v>2024-05-21</v>
      </c>
      <c r="C870" t="str">
        <f>'Customers Raw data'!C870</f>
        <v>Basic</v>
      </c>
      <c r="D870">
        <f>'Customers Raw data'!D870</f>
        <v>50</v>
      </c>
      <c r="E870">
        <f>'Customers Raw data'!E870</f>
        <v>30</v>
      </c>
      <c r="F870">
        <f>'Customers Raw data'!F870</f>
        <v>0</v>
      </c>
      <c r="G870">
        <f>IF('Customers Raw data'!F870&lt;&gt;"",1,0)</f>
        <v>0</v>
      </c>
      <c r="H870" t="str">
        <f>IF('Customers Raw data'!F870&lt;&gt;"",YEAR(DATEVALUE('Customers Raw data'!F870)),"")</f>
        <v/>
      </c>
      <c r="I870" t="str">
        <f>IF('Customers Raw data'!F870&lt;&gt;"",MONTH(DATEVALUE('Customers Raw data'!F870)),"")</f>
        <v/>
      </c>
      <c r="J870">
        <f>YEAR(DATEVALUE('Customers Raw data'!B870))</f>
        <v>2024</v>
      </c>
      <c r="K870">
        <f>MONTH(DATEVALUE('Customers Raw data'!B870))</f>
        <v>5</v>
      </c>
      <c r="L870">
        <f ca="1">IF('Customers Raw data'!F870&lt;&gt;"",DATEDIF(DATEVALUE('Customers Raw data'!B870),DATEVALUE('Customers Raw data'!F870),"M"),DATEDIF(DATEVALUE('Customers Raw data'!B870),TODAY(),"M"))</f>
        <v>22</v>
      </c>
      <c r="M870">
        <f t="shared" ca="1" si="65"/>
        <v>1100</v>
      </c>
      <c r="N870">
        <f t="shared" si="66"/>
        <v>1</v>
      </c>
      <c r="O870">
        <f t="shared" ca="1" si="67"/>
        <v>0</v>
      </c>
      <c r="P870">
        <f t="shared" si="68"/>
        <v>0</v>
      </c>
      <c r="Q870" t="e">
        <f t="shared" si="69"/>
        <v>#VALUE!</v>
      </c>
    </row>
    <row r="871" spans="1:17" ht="15" customHeight="1" x14ac:dyDescent="0.25">
      <c r="A871">
        <f>'Customers Raw data'!A871</f>
        <v>1870</v>
      </c>
      <c r="B871" t="str">
        <f>'Customers Raw data'!B871</f>
        <v>2024-07-23</v>
      </c>
      <c r="C871" t="str">
        <f>'Customers Raw data'!C871</f>
        <v>Pro</v>
      </c>
      <c r="D871">
        <f>'Customers Raw data'!D871</f>
        <v>200</v>
      </c>
      <c r="E871">
        <f>'Customers Raw data'!E871</f>
        <v>100</v>
      </c>
      <c r="F871">
        <f>'Customers Raw data'!F871</f>
        <v>0</v>
      </c>
      <c r="G871">
        <f>IF('Customers Raw data'!F871&lt;&gt;"",1,0)</f>
        <v>0</v>
      </c>
      <c r="H871" t="str">
        <f>IF('Customers Raw data'!F871&lt;&gt;"",YEAR(DATEVALUE('Customers Raw data'!F871)),"")</f>
        <v/>
      </c>
      <c r="I871" t="str">
        <f>IF('Customers Raw data'!F871&lt;&gt;"",MONTH(DATEVALUE('Customers Raw data'!F871)),"")</f>
        <v/>
      </c>
      <c r="J871">
        <f>YEAR(DATEVALUE('Customers Raw data'!B871))</f>
        <v>2024</v>
      </c>
      <c r="K871">
        <f>MONTH(DATEVALUE('Customers Raw data'!B871))</f>
        <v>7</v>
      </c>
      <c r="L871">
        <f ca="1">IF('Customers Raw data'!F871&lt;&gt;"",DATEDIF(DATEVALUE('Customers Raw data'!B871),DATEVALUE('Customers Raw data'!F871),"M"),DATEDIF(DATEVALUE('Customers Raw data'!B871),TODAY(),"M"))</f>
        <v>20</v>
      </c>
      <c r="M871">
        <f t="shared" ca="1" si="65"/>
        <v>4000</v>
      </c>
      <c r="N871">
        <f t="shared" si="66"/>
        <v>2</v>
      </c>
      <c r="O871">
        <f t="shared" ca="1" si="67"/>
        <v>0</v>
      </c>
      <c r="P871">
        <f t="shared" si="68"/>
        <v>0</v>
      </c>
      <c r="Q871" t="e">
        <f t="shared" si="69"/>
        <v>#VALUE!</v>
      </c>
    </row>
    <row r="872" spans="1:17" ht="15" customHeight="1" x14ac:dyDescent="0.25">
      <c r="A872">
        <f>'Customers Raw data'!A872</f>
        <v>1871</v>
      </c>
      <c r="B872" t="str">
        <f>'Customers Raw data'!B872</f>
        <v>2025-04-22</v>
      </c>
      <c r="C872" t="str">
        <f>'Customers Raw data'!C872</f>
        <v>Pro</v>
      </c>
      <c r="D872">
        <f>'Customers Raw data'!D872</f>
        <v>200</v>
      </c>
      <c r="E872">
        <f>'Customers Raw data'!E872</f>
        <v>100</v>
      </c>
      <c r="F872">
        <f>'Customers Raw data'!F872</f>
        <v>0</v>
      </c>
      <c r="G872">
        <f>IF('Customers Raw data'!F872&lt;&gt;"",1,0)</f>
        <v>0</v>
      </c>
      <c r="H872" t="str">
        <f>IF('Customers Raw data'!F872&lt;&gt;"",YEAR(DATEVALUE('Customers Raw data'!F872)),"")</f>
        <v/>
      </c>
      <c r="I872" t="str">
        <f>IF('Customers Raw data'!F872&lt;&gt;"",MONTH(DATEVALUE('Customers Raw data'!F872)),"")</f>
        <v/>
      </c>
      <c r="J872">
        <f>YEAR(DATEVALUE('Customers Raw data'!B872))</f>
        <v>2025</v>
      </c>
      <c r="K872">
        <f>MONTH(DATEVALUE('Customers Raw data'!B872))</f>
        <v>4</v>
      </c>
      <c r="L872">
        <f ca="1">IF('Customers Raw data'!F872&lt;&gt;"",DATEDIF(DATEVALUE('Customers Raw data'!B872),DATEVALUE('Customers Raw data'!F872),"M"),DATEDIF(DATEVALUE('Customers Raw data'!B872),TODAY(),"M"))</f>
        <v>11</v>
      </c>
      <c r="M872">
        <f t="shared" ca="1" si="65"/>
        <v>2200</v>
      </c>
      <c r="N872">
        <f t="shared" si="66"/>
        <v>2</v>
      </c>
      <c r="O872">
        <f t="shared" ca="1" si="67"/>
        <v>0</v>
      </c>
      <c r="P872">
        <f t="shared" si="68"/>
        <v>0</v>
      </c>
      <c r="Q872" t="e">
        <f t="shared" si="69"/>
        <v>#VALUE!</v>
      </c>
    </row>
    <row r="873" spans="1:17" ht="15" customHeight="1" x14ac:dyDescent="0.25">
      <c r="A873">
        <f>'Customers Raw data'!A873</f>
        <v>1872</v>
      </c>
      <c r="B873" t="str">
        <f>'Customers Raw data'!B873</f>
        <v>2024-09-23</v>
      </c>
      <c r="C873" t="str">
        <f>'Customers Raw data'!C873</f>
        <v>Basic</v>
      </c>
      <c r="D873">
        <f>'Customers Raw data'!D873</f>
        <v>50</v>
      </c>
      <c r="E873">
        <f>'Customers Raw data'!E873</f>
        <v>30</v>
      </c>
      <c r="F873">
        <f>'Customers Raw data'!F873</f>
        <v>0</v>
      </c>
      <c r="G873">
        <f>IF('Customers Raw data'!F873&lt;&gt;"",1,0)</f>
        <v>0</v>
      </c>
      <c r="H873" t="str">
        <f>IF('Customers Raw data'!F873&lt;&gt;"",YEAR(DATEVALUE('Customers Raw data'!F873)),"")</f>
        <v/>
      </c>
      <c r="I873" t="str">
        <f>IF('Customers Raw data'!F873&lt;&gt;"",MONTH(DATEVALUE('Customers Raw data'!F873)),"")</f>
        <v/>
      </c>
      <c r="J873">
        <f>YEAR(DATEVALUE('Customers Raw data'!B873))</f>
        <v>2024</v>
      </c>
      <c r="K873">
        <f>MONTH(DATEVALUE('Customers Raw data'!B873))</f>
        <v>9</v>
      </c>
      <c r="L873">
        <f ca="1">IF('Customers Raw data'!F873&lt;&gt;"",DATEDIF(DATEVALUE('Customers Raw data'!B873),DATEVALUE('Customers Raw data'!F873),"M"),DATEDIF(DATEVALUE('Customers Raw data'!B873),TODAY(),"M"))</f>
        <v>18</v>
      </c>
      <c r="M873">
        <f t="shared" ca="1" si="65"/>
        <v>900</v>
      </c>
      <c r="N873">
        <f t="shared" si="66"/>
        <v>1</v>
      </c>
      <c r="O873">
        <f t="shared" ca="1" si="67"/>
        <v>0</v>
      </c>
      <c r="P873">
        <f t="shared" si="68"/>
        <v>0</v>
      </c>
      <c r="Q873" t="e">
        <f t="shared" si="69"/>
        <v>#VALUE!</v>
      </c>
    </row>
    <row r="874" spans="1:17" ht="15" customHeight="1" x14ac:dyDescent="0.25">
      <c r="A874">
        <f>'Customers Raw data'!A874</f>
        <v>1873</v>
      </c>
      <c r="B874" t="str">
        <f>'Customers Raw data'!B874</f>
        <v>2024-02-24</v>
      </c>
      <c r="C874" t="str">
        <f>'Customers Raw data'!C874</f>
        <v>Basic</v>
      </c>
      <c r="D874">
        <f>'Customers Raw data'!D874</f>
        <v>50</v>
      </c>
      <c r="E874">
        <f>'Customers Raw data'!E874</f>
        <v>30</v>
      </c>
      <c r="F874">
        <f>'Customers Raw data'!F874</f>
        <v>0</v>
      </c>
      <c r="G874">
        <f>IF('Customers Raw data'!F874&lt;&gt;"",1,0)</f>
        <v>0</v>
      </c>
      <c r="H874" t="str">
        <f>IF('Customers Raw data'!F874&lt;&gt;"",YEAR(DATEVALUE('Customers Raw data'!F874)),"")</f>
        <v/>
      </c>
      <c r="I874" t="str">
        <f>IF('Customers Raw data'!F874&lt;&gt;"",MONTH(DATEVALUE('Customers Raw data'!F874)),"")</f>
        <v/>
      </c>
      <c r="J874">
        <f>YEAR(DATEVALUE('Customers Raw data'!B874))</f>
        <v>2024</v>
      </c>
      <c r="K874">
        <f>MONTH(DATEVALUE('Customers Raw data'!B874))</f>
        <v>2</v>
      </c>
      <c r="L874">
        <f ca="1">IF('Customers Raw data'!F874&lt;&gt;"",DATEDIF(DATEVALUE('Customers Raw data'!B874),DATEVALUE('Customers Raw data'!F874),"M"),DATEDIF(DATEVALUE('Customers Raw data'!B874),TODAY(),"M"))</f>
        <v>25</v>
      </c>
      <c r="M874">
        <f t="shared" ca="1" si="65"/>
        <v>1250</v>
      </c>
      <c r="N874">
        <f t="shared" si="66"/>
        <v>1</v>
      </c>
      <c r="O874">
        <f t="shared" ca="1" si="67"/>
        <v>0</v>
      </c>
      <c r="P874">
        <f t="shared" si="68"/>
        <v>0</v>
      </c>
      <c r="Q874" t="e">
        <f t="shared" si="69"/>
        <v>#VALUE!</v>
      </c>
    </row>
    <row r="875" spans="1:17" ht="15" customHeight="1" x14ac:dyDescent="0.25">
      <c r="A875">
        <f>'Customers Raw data'!A875</f>
        <v>1874</v>
      </c>
      <c r="B875" t="str">
        <f>'Customers Raw data'!B875</f>
        <v>2025-01-05</v>
      </c>
      <c r="C875" t="str">
        <f>'Customers Raw data'!C875</f>
        <v>Basic</v>
      </c>
      <c r="D875">
        <f>'Customers Raw data'!D875</f>
        <v>50</v>
      </c>
      <c r="E875">
        <f>'Customers Raw data'!E875</f>
        <v>30</v>
      </c>
      <c r="F875">
        <f>'Customers Raw data'!F875</f>
        <v>0</v>
      </c>
      <c r="G875">
        <f>IF('Customers Raw data'!F875&lt;&gt;"",1,0)</f>
        <v>0</v>
      </c>
      <c r="H875" t="str">
        <f>IF('Customers Raw data'!F875&lt;&gt;"",YEAR(DATEVALUE('Customers Raw data'!F875)),"")</f>
        <v/>
      </c>
      <c r="I875" t="str">
        <f>IF('Customers Raw data'!F875&lt;&gt;"",MONTH(DATEVALUE('Customers Raw data'!F875)),"")</f>
        <v/>
      </c>
      <c r="J875">
        <f>YEAR(DATEVALUE('Customers Raw data'!B875))</f>
        <v>2025</v>
      </c>
      <c r="K875">
        <f>MONTH(DATEVALUE('Customers Raw data'!B875))</f>
        <v>1</v>
      </c>
      <c r="L875">
        <f ca="1">IF('Customers Raw data'!F875&lt;&gt;"",DATEDIF(DATEVALUE('Customers Raw data'!B875),DATEVALUE('Customers Raw data'!F875),"M"),DATEDIF(DATEVALUE('Customers Raw data'!B875),TODAY(),"M"))</f>
        <v>15</v>
      </c>
      <c r="M875">
        <f t="shared" ca="1" si="65"/>
        <v>750</v>
      </c>
      <c r="N875">
        <f t="shared" si="66"/>
        <v>1</v>
      </c>
      <c r="O875">
        <f t="shared" ca="1" si="67"/>
        <v>0</v>
      </c>
      <c r="P875">
        <f t="shared" si="68"/>
        <v>0</v>
      </c>
      <c r="Q875" t="e">
        <f t="shared" si="69"/>
        <v>#VALUE!</v>
      </c>
    </row>
    <row r="876" spans="1:17" ht="15" customHeight="1" x14ac:dyDescent="0.25">
      <c r="A876">
        <f>'Customers Raw data'!A876</f>
        <v>1875</v>
      </c>
      <c r="B876" t="str">
        <f>'Customers Raw data'!B876</f>
        <v>2024-02-05</v>
      </c>
      <c r="C876" t="str">
        <f>'Customers Raw data'!C876</f>
        <v>Pro</v>
      </c>
      <c r="D876">
        <f>'Customers Raw data'!D876</f>
        <v>200</v>
      </c>
      <c r="E876">
        <f>'Customers Raw data'!E876</f>
        <v>100</v>
      </c>
      <c r="F876">
        <f>'Customers Raw data'!F876</f>
        <v>0</v>
      </c>
      <c r="G876">
        <f>IF('Customers Raw data'!F876&lt;&gt;"",1,0)</f>
        <v>0</v>
      </c>
      <c r="H876" t="str">
        <f>IF('Customers Raw data'!F876&lt;&gt;"",YEAR(DATEVALUE('Customers Raw data'!F876)),"")</f>
        <v/>
      </c>
      <c r="I876" t="str">
        <f>IF('Customers Raw data'!F876&lt;&gt;"",MONTH(DATEVALUE('Customers Raw data'!F876)),"")</f>
        <v/>
      </c>
      <c r="J876">
        <f>YEAR(DATEVALUE('Customers Raw data'!B876))</f>
        <v>2024</v>
      </c>
      <c r="K876">
        <f>MONTH(DATEVALUE('Customers Raw data'!B876))</f>
        <v>2</v>
      </c>
      <c r="L876">
        <f ca="1">IF('Customers Raw data'!F876&lt;&gt;"",DATEDIF(DATEVALUE('Customers Raw data'!B876),DATEVALUE('Customers Raw data'!F876),"M"),DATEDIF(DATEVALUE('Customers Raw data'!B876),TODAY(),"M"))</f>
        <v>26</v>
      </c>
      <c r="M876">
        <f t="shared" ca="1" si="65"/>
        <v>5200</v>
      </c>
      <c r="N876">
        <f t="shared" si="66"/>
        <v>2</v>
      </c>
      <c r="O876">
        <f t="shared" ca="1" si="67"/>
        <v>0</v>
      </c>
      <c r="P876">
        <f t="shared" si="68"/>
        <v>0</v>
      </c>
      <c r="Q876" t="e">
        <f t="shared" si="69"/>
        <v>#VALUE!</v>
      </c>
    </row>
    <row r="877" spans="1:17" ht="15" customHeight="1" x14ac:dyDescent="0.25">
      <c r="A877">
        <f>'Customers Raw data'!A877</f>
        <v>1876</v>
      </c>
      <c r="B877" t="str">
        <f>'Customers Raw data'!B877</f>
        <v>2024-12-05</v>
      </c>
      <c r="C877" t="str">
        <f>'Customers Raw data'!C877</f>
        <v>Basic</v>
      </c>
      <c r="D877">
        <f>'Customers Raw data'!D877</f>
        <v>50</v>
      </c>
      <c r="E877">
        <f>'Customers Raw data'!E877</f>
        <v>30</v>
      </c>
      <c r="F877" t="str">
        <f>'Customers Raw data'!F877</f>
        <v>2025-05-13</v>
      </c>
      <c r="G877">
        <f>IF('Customers Raw data'!F877&lt;&gt;"",1,0)</f>
        <v>1</v>
      </c>
      <c r="H877">
        <f>IF('Customers Raw data'!F877&lt;&gt;"",YEAR(DATEVALUE('Customers Raw data'!F877)),"")</f>
        <v>2025</v>
      </c>
      <c r="I877">
        <f>IF('Customers Raw data'!F877&lt;&gt;"",MONTH(DATEVALUE('Customers Raw data'!F877)),"")</f>
        <v>5</v>
      </c>
      <c r="J877">
        <f>YEAR(DATEVALUE('Customers Raw data'!B877))</f>
        <v>2024</v>
      </c>
      <c r="K877">
        <f>MONTH(DATEVALUE('Customers Raw data'!B877))</f>
        <v>12</v>
      </c>
      <c r="L877">
        <f ca="1">IF('Customers Raw data'!F877&lt;&gt;"",DATEDIF(DATEVALUE('Customers Raw data'!B877),DATEVALUE('Customers Raw data'!F877),"M"),DATEDIF(DATEVALUE('Customers Raw data'!B877),TODAY(),"M"))</f>
        <v>5</v>
      </c>
      <c r="M877">
        <f t="shared" ca="1" si="65"/>
        <v>250</v>
      </c>
      <c r="N877">
        <f t="shared" si="66"/>
        <v>1</v>
      </c>
      <c r="O877">
        <f t="shared" ca="1" si="67"/>
        <v>1</v>
      </c>
      <c r="P877">
        <f t="shared" si="68"/>
        <v>50</v>
      </c>
      <c r="Q877" t="str">
        <f t="shared" si="69"/>
        <v>2025-05</v>
      </c>
    </row>
    <row r="878" spans="1:17" ht="15" customHeight="1" x14ac:dyDescent="0.25">
      <c r="A878">
        <f>'Customers Raw data'!A878</f>
        <v>1877</v>
      </c>
      <c r="B878" t="str">
        <f>'Customers Raw data'!B878</f>
        <v>2025-01-28</v>
      </c>
      <c r="C878" t="str">
        <f>'Customers Raw data'!C878</f>
        <v>Pro</v>
      </c>
      <c r="D878">
        <f>'Customers Raw data'!D878</f>
        <v>200</v>
      </c>
      <c r="E878">
        <f>'Customers Raw data'!E878</f>
        <v>100</v>
      </c>
      <c r="F878">
        <f>'Customers Raw data'!F878</f>
        <v>0</v>
      </c>
      <c r="G878">
        <f>IF('Customers Raw data'!F878&lt;&gt;"",1,0)</f>
        <v>0</v>
      </c>
      <c r="H878" t="str">
        <f>IF('Customers Raw data'!F878&lt;&gt;"",YEAR(DATEVALUE('Customers Raw data'!F878)),"")</f>
        <v/>
      </c>
      <c r="I878" t="str">
        <f>IF('Customers Raw data'!F878&lt;&gt;"",MONTH(DATEVALUE('Customers Raw data'!F878)),"")</f>
        <v/>
      </c>
      <c r="J878">
        <f>YEAR(DATEVALUE('Customers Raw data'!B878))</f>
        <v>2025</v>
      </c>
      <c r="K878">
        <f>MONTH(DATEVALUE('Customers Raw data'!B878))</f>
        <v>1</v>
      </c>
      <c r="L878">
        <f ca="1">IF('Customers Raw data'!F878&lt;&gt;"",DATEDIF(DATEVALUE('Customers Raw data'!B878),DATEVALUE('Customers Raw data'!F878),"M"),DATEDIF(DATEVALUE('Customers Raw data'!B878),TODAY(),"M"))</f>
        <v>14</v>
      </c>
      <c r="M878">
        <f t="shared" ca="1" si="65"/>
        <v>2800</v>
      </c>
      <c r="N878">
        <f t="shared" si="66"/>
        <v>2</v>
      </c>
      <c r="O878">
        <f t="shared" ca="1" si="67"/>
        <v>0</v>
      </c>
      <c r="P878">
        <f t="shared" si="68"/>
        <v>0</v>
      </c>
      <c r="Q878" t="e">
        <f t="shared" si="69"/>
        <v>#VALUE!</v>
      </c>
    </row>
    <row r="879" spans="1:17" ht="15" customHeight="1" x14ac:dyDescent="0.25">
      <c r="A879">
        <f>'Customers Raw data'!A879</f>
        <v>1878</v>
      </c>
      <c r="B879" t="str">
        <f>'Customers Raw data'!B879</f>
        <v>2024-11-26</v>
      </c>
      <c r="C879" t="str">
        <f>'Customers Raw data'!C879</f>
        <v>Pro</v>
      </c>
      <c r="D879">
        <f>'Customers Raw data'!D879</f>
        <v>200</v>
      </c>
      <c r="E879">
        <f>'Customers Raw data'!E879</f>
        <v>100</v>
      </c>
      <c r="F879">
        <f>'Customers Raw data'!F879</f>
        <v>0</v>
      </c>
      <c r="G879">
        <f>IF('Customers Raw data'!F879&lt;&gt;"",1,0)</f>
        <v>0</v>
      </c>
      <c r="H879" t="str">
        <f>IF('Customers Raw data'!F879&lt;&gt;"",YEAR(DATEVALUE('Customers Raw data'!F879)),"")</f>
        <v/>
      </c>
      <c r="I879" t="str">
        <f>IF('Customers Raw data'!F879&lt;&gt;"",MONTH(DATEVALUE('Customers Raw data'!F879)),"")</f>
        <v/>
      </c>
      <c r="J879">
        <f>YEAR(DATEVALUE('Customers Raw data'!B879))</f>
        <v>2024</v>
      </c>
      <c r="K879">
        <f>MONTH(DATEVALUE('Customers Raw data'!B879))</f>
        <v>11</v>
      </c>
      <c r="L879">
        <f ca="1">IF('Customers Raw data'!F879&lt;&gt;"",DATEDIF(DATEVALUE('Customers Raw data'!B879),DATEVALUE('Customers Raw data'!F879),"M"),DATEDIF(DATEVALUE('Customers Raw data'!B879),TODAY(),"M"))</f>
        <v>16</v>
      </c>
      <c r="M879">
        <f t="shared" ca="1" si="65"/>
        <v>3200</v>
      </c>
      <c r="N879">
        <f t="shared" si="66"/>
        <v>2</v>
      </c>
      <c r="O879">
        <f t="shared" ca="1" si="67"/>
        <v>0</v>
      </c>
      <c r="P879">
        <f t="shared" si="68"/>
        <v>0</v>
      </c>
      <c r="Q879" t="e">
        <f t="shared" si="69"/>
        <v>#VALUE!</v>
      </c>
    </row>
    <row r="880" spans="1:17" ht="15" customHeight="1" x14ac:dyDescent="0.25">
      <c r="A880">
        <f>'Customers Raw data'!A880</f>
        <v>1879</v>
      </c>
      <c r="B880" t="str">
        <f>'Customers Raw data'!B880</f>
        <v>2024-11-13</v>
      </c>
      <c r="C880" t="str">
        <f>'Customers Raw data'!C880</f>
        <v>Basic</v>
      </c>
      <c r="D880">
        <f>'Customers Raw data'!D880</f>
        <v>50</v>
      </c>
      <c r="E880">
        <f>'Customers Raw data'!E880</f>
        <v>30</v>
      </c>
      <c r="F880">
        <f>'Customers Raw data'!F880</f>
        <v>0</v>
      </c>
      <c r="G880">
        <f>IF('Customers Raw data'!F880&lt;&gt;"",1,0)</f>
        <v>0</v>
      </c>
      <c r="H880" t="str">
        <f>IF('Customers Raw data'!F880&lt;&gt;"",YEAR(DATEVALUE('Customers Raw data'!F880)),"")</f>
        <v/>
      </c>
      <c r="I880" t="str">
        <f>IF('Customers Raw data'!F880&lt;&gt;"",MONTH(DATEVALUE('Customers Raw data'!F880)),"")</f>
        <v/>
      </c>
      <c r="J880">
        <f>YEAR(DATEVALUE('Customers Raw data'!B880))</f>
        <v>2024</v>
      </c>
      <c r="K880">
        <f>MONTH(DATEVALUE('Customers Raw data'!B880))</f>
        <v>11</v>
      </c>
      <c r="L880">
        <f ca="1">IF('Customers Raw data'!F880&lt;&gt;"",DATEDIF(DATEVALUE('Customers Raw data'!B880),DATEVALUE('Customers Raw data'!F880),"M"),DATEDIF(DATEVALUE('Customers Raw data'!B880),TODAY(),"M"))</f>
        <v>16</v>
      </c>
      <c r="M880">
        <f t="shared" ca="1" si="65"/>
        <v>800</v>
      </c>
      <c r="N880">
        <f t="shared" si="66"/>
        <v>1</v>
      </c>
      <c r="O880">
        <f t="shared" ca="1" si="67"/>
        <v>0</v>
      </c>
      <c r="P880">
        <f t="shared" si="68"/>
        <v>0</v>
      </c>
      <c r="Q880" t="e">
        <f t="shared" si="69"/>
        <v>#VALUE!</v>
      </c>
    </row>
    <row r="881" spans="1:17" ht="15" customHeight="1" x14ac:dyDescent="0.25">
      <c r="A881">
        <f>'Customers Raw data'!A881</f>
        <v>1880</v>
      </c>
      <c r="B881" t="str">
        <f>'Customers Raw data'!B881</f>
        <v>2025-03-09</v>
      </c>
      <c r="C881" t="str">
        <f>'Customers Raw data'!C881</f>
        <v>Pro</v>
      </c>
      <c r="D881">
        <f>'Customers Raw data'!D881</f>
        <v>200</v>
      </c>
      <c r="E881">
        <f>'Customers Raw data'!E881</f>
        <v>100</v>
      </c>
      <c r="F881">
        <f>'Customers Raw data'!F881</f>
        <v>0</v>
      </c>
      <c r="G881">
        <f>IF('Customers Raw data'!F881&lt;&gt;"",1,0)</f>
        <v>0</v>
      </c>
      <c r="H881" t="str">
        <f>IF('Customers Raw data'!F881&lt;&gt;"",YEAR(DATEVALUE('Customers Raw data'!F881)),"")</f>
        <v/>
      </c>
      <c r="I881" t="str">
        <f>IF('Customers Raw data'!F881&lt;&gt;"",MONTH(DATEVALUE('Customers Raw data'!F881)),"")</f>
        <v/>
      </c>
      <c r="J881">
        <f>YEAR(DATEVALUE('Customers Raw data'!B881))</f>
        <v>2025</v>
      </c>
      <c r="K881">
        <f>MONTH(DATEVALUE('Customers Raw data'!B881))</f>
        <v>3</v>
      </c>
      <c r="L881">
        <f ca="1">IF('Customers Raw data'!F881&lt;&gt;"",DATEDIF(DATEVALUE('Customers Raw data'!B881),DATEVALUE('Customers Raw data'!F881),"M"),DATEDIF(DATEVALUE('Customers Raw data'!B881),TODAY(),"M"))</f>
        <v>12</v>
      </c>
      <c r="M881">
        <f t="shared" ca="1" si="65"/>
        <v>2400</v>
      </c>
      <c r="N881">
        <f t="shared" si="66"/>
        <v>2</v>
      </c>
      <c r="O881">
        <f t="shared" ca="1" si="67"/>
        <v>0</v>
      </c>
      <c r="P881">
        <f t="shared" si="68"/>
        <v>0</v>
      </c>
      <c r="Q881" t="e">
        <f t="shared" si="69"/>
        <v>#VALUE!</v>
      </c>
    </row>
    <row r="882" spans="1:17" ht="15" customHeight="1" x14ac:dyDescent="0.25">
      <c r="A882">
        <f>'Customers Raw data'!A882</f>
        <v>1881</v>
      </c>
      <c r="B882" t="str">
        <f>'Customers Raw data'!B882</f>
        <v>2024-11-19</v>
      </c>
      <c r="C882" t="str">
        <f>'Customers Raw data'!C882</f>
        <v>Basic</v>
      </c>
      <c r="D882">
        <f>'Customers Raw data'!D882</f>
        <v>50</v>
      </c>
      <c r="E882">
        <f>'Customers Raw data'!E882</f>
        <v>30</v>
      </c>
      <c r="F882">
        <f>'Customers Raw data'!F882</f>
        <v>0</v>
      </c>
      <c r="G882">
        <f>IF('Customers Raw data'!F882&lt;&gt;"",1,0)</f>
        <v>0</v>
      </c>
      <c r="H882" t="str">
        <f>IF('Customers Raw data'!F882&lt;&gt;"",YEAR(DATEVALUE('Customers Raw data'!F882)),"")</f>
        <v/>
      </c>
      <c r="I882" t="str">
        <f>IF('Customers Raw data'!F882&lt;&gt;"",MONTH(DATEVALUE('Customers Raw data'!F882)),"")</f>
        <v/>
      </c>
      <c r="J882">
        <f>YEAR(DATEVALUE('Customers Raw data'!B882))</f>
        <v>2024</v>
      </c>
      <c r="K882">
        <f>MONTH(DATEVALUE('Customers Raw data'!B882))</f>
        <v>11</v>
      </c>
      <c r="L882">
        <f ca="1">IF('Customers Raw data'!F882&lt;&gt;"",DATEDIF(DATEVALUE('Customers Raw data'!B882),DATEVALUE('Customers Raw data'!F882),"M"),DATEDIF(DATEVALUE('Customers Raw data'!B882),TODAY(),"M"))</f>
        <v>16</v>
      </c>
      <c r="M882">
        <f t="shared" ca="1" si="65"/>
        <v>800</v>
      </c>
      <c r="N882">
        <f t="shared" si="66"/>
        <v>1</v>
      </c>
      <c r="O882">
        <f t="shared" ca="1" si="67"/>
        <v>0</v>
      </c>
      <c r="P882">
        <f t="shared" si="68"/>
        <v>0</v>
      </c>
      <c r="Q882" t="e">
        <f t="shared" si="69"/>
        <v>#VALUE!</v>
      </c>
    </row>
    <row r="883" spans="1:17" ht="15" customHeight="1" x14ac:dyDescent="0.25">
      <c r="A883">
        <f>'Customers Raw data'!A883</f>
        <v>1882</v>
      </c>
      <c r="B883" t="str">
        <f>'Customers Raw data'!B883</f>
        <v>2024-08-10</v>
      </c>
      <c r="C883" t="str">
        <f>'Customers Raw data'!C883</f>
        <v>Enterprise</v>
      </c>
      <c r="D883">
        <f>'Customers Raw data'!D883</f>
        <v>500</v>
      </c>
      <c r="E883">
        <f>'Customers Raw data'!E883</f>
        <v>200</v>
      </c>
      <c r="F883">
        <f>'Customers Raw data'!F883</f>
        <v>0</v>
      </c>
      <c r="G883">
        <f>IF('Customers Raw data'!F883&lt;&gt;"",1,0)</f>
        <v>0</v>
      </c>
      <c r="H883" t="str">
        <f>IF('Customers Raw data'!F883&lt;&gt;"",YEAR(DATEVALUE('Customers Raw data'!F883)),"")</f>
        <v/>
      </c>
      <c r="I883" t="str">
        <f>IF('Customers Raw data'!F883&lt;&gt;"",MONTH(DATEVALUE('Customers Raw data'!F883)),"")</f>
        <v/>
      </c>
      <c r="J883">
        <f>YEAR(DATEVALUE('Customers Raw data'!B883))</f>
        <v>2024</v>
      </c>
      <c r="K883">
        <f>MONTH(DATEVALUE('Customers Raw data'!B883))</f>
        <v>8</v>
      </c>
      <c r="L883">
        <f ca="1">IF('Customers Raw data'!F883&lt;&gt;"",DATEDIF(DATEVALUE('Customers Raw data'!B883),DATEVALUE('Customers Raw data'!F883),"M"),DATEDIF(DATEVALUE('Customers Raw data'!B883),TODAY(),"M"))</f>
        <v>19</v>
      </c>
      <c r="M883">
        <f t="shared" ca="1" si="65"/>
        <v>9500</v>
      </c>
      <c r="N883">
        <f t="shared" si="66"/>
        <v>3</v>
      </c>
      <c r="O883">
        <f t="shared" ca="1" si="67"/>
        <v>0</v>
      </c>
      <c r="P883">
        <f t="shared" si="68"/>
        <v>0</v>
      </c>
      <c r="Q883" t="e">
        <f t="shared" si="69"/>
        <v>#VALUE!</v>
      </c>
    </row>
    <row r="884" spans="1:17" ht="15" customHeight="1" x14ac:dyDescent="0.25">
      <c r="A884">
        <f>'Customers Raw data'!A884</f>
        <v>1883</v>
      </c>
      <c r="B884" t="str">
        <f>'Customers Raw data'!B884</f>
        <v>2025-02-16</v>
      </c>
      <c r="C884" t="str">
        <f>'Customers Raw data'!C884</f>
        <v>Basic</v>
      </c>
      <c r="D884">
        <f>'Customers Raw data'!D884</f>
        <v>50</v>
      </c>
      <c r="E884">
        <f>'Customers Raw data'!E884</f>
        <v>30</v>
      </c>
      <c r="F884" t="str">
        <f>'Customers Raw data'!F884</f>
        <v>2025-04-07</v>
      </c>
      <c r="G884">
        <f>IF('Customers Raw data'!F884&lt;&gt;"",1,0)</f>
        <v>1</v>
      </c>
      <c r="H884">
        <f>IF('Customers Raw data'!F884&lt;&gt;"",YEAR(DATEVALUE('Customers Raw data'!F884)),"")</f>
        <v>2025</v>
      </c>
      <c r="I884">
        <f>IF('Customers Raw data'!F884&lt;&gt;"",MONTH(DATEVALUE('Customers Raw data'!F884)),"")</f>
        <v>4</v>
      </c>
      <c r="J884">
        <f>YEAR(DATEVALUE('Customers Raw data'!B884))</f>
        <v>2025</v>
      </c>
      <c r="K884">
        <f>MONTH(DATEVALUE('Customers Raw data'!B884))</f>
        <v>2</v>
      </c>
      <c r="L884">
        <f ca="1">IF('Customers Raw data'!F884&lt;&gt;"",DATEDIF(DATEVALUE('Customers Raw data'!B884),DATEVALUE('Customers Raw data'!F884),"M"),DATEDIF(DATEVALUE('Customers Raw data'!B884),TODAY(),"M"))</f>
        <v>1</v>
      </c>
      <c r="M884">
        <f t="shared" ca="1" si="65"/>
        <v>50</v>
      </c>
      <c r="N884">
        <f t="shared" si="66"/>
        <v>1</v>
      </c>
      <c r="O884">
        <f t="shared" ca="1" si="67"/>
        <v>1</v>
      </c>
      <c r="P884">
        <f t="shared" si="68"/>
        <v>50</v>
      </c>
      <c r="Q884" t="str">
        <f t="shared" si="69"/>
        <v>2025-04</v>
      </c>
    </row>
    <row r="885" spans="1:17" ht="15" customHeight="1" x14ac:dyDescent="0.25">
      <c r="A885">
        <f>'Customers Raw data'!A885</f>
        <v>1884</v>
      </c>
      <c r="B885" t="str">
        <f>'Customers Raw data'!B885</f>
        <v>2024-12-20</v>
      </c>
      <c r="C885" t="str">
        <f>'Customers Raw data'!C885</f>
        <v>Pro</v>
      </c>
      <c r="D885">
        <f>'Customers Raw data'!D885</f>
        <v>200</v>
      </c>
      <c r="E885">
        <f>'Customers Raw data'!E885</f>
        <v>100</v>
      </c>
      <c r="F885">
        <f>'Customers Raw data'!F885</f>
        <v>0</v>
      </c>
      <c r="G885">
        <f>IF('Customers Raw data'!F885&lt;&gt;"",1,0)</f>
        <v>0</v>
      </c>
      <c r="H885" t="str">
        <f>IF('Customers Raw data'!F885&lt;&gt;"",YEAR(DATEVALUE('Customers Raw data'!F885)),"")</f>
        <v/>
      </c>
      <c r="I885" t="str">
        <f>IF('Customers Raw data'!F885&lt;&gt;"",MONTH(DATEVALUE('Customers Raw data'!F885)),"")</f>
        <v/>
      </c>
      <c r="J885">
        <f>YEAR(DATEVALUE('Customers Raw data'!B885))</f>
        <v>2024</v>
      </c>
      <c r="K885">
        <f>MONTH(DATEVALUE('Customers Raw data'!B885))</f>
        <v>12</v>
      </c>
      <c r="L885">
        <f ca="1">IF('Customers Raw data'!F885&lt;&gt;"",DATEDIF(DATEVALUE('Customers Raw data'!B885),DATEVALUE('Customers Raw data'!F885),"M"),DATEDIF(DATEVALUE('Customers Raw data'!B885),TODAY(),"M"))</f>
        <v>15</v>
      </c>
      <c r="M885">
        <f t="shared" ca="1" si="65"/>
        <v>3000</v>
      </c>
      <c r="N885">
        <f t="shared" si="66"/>
        <v>2</v>
      </c>
      <c r="O885">
        <f t="shared" ca="1" si="67"/>
        <v>0</v>
      </c>
      <c r="P885">
        <f t="shared" si="68"/>
        <v>0</v>
      </c>
      <c r="Q885" t="e">
        <f t="shared" si="69"/>
        <v>#VALUE!</v>
      </c>
    </row>
    <row r="886" spans="1:17" ht="15" customHeight="1" x14ac:dyDescent="0.25">
      <c r="A886">
        <f>'Customers Raw data'!A886</f>
        <v>1885</v>
      </c>
      <c r="B886" t="str">
        <f>'Customers Raw data'!B886</f>
        <v>2024-06-26</v>
      </c>
      <c r="C886" t="str">
        <f>'Customers Raw data'!C886</f>
        <v>Pro</v>
      </c>
      <c r="D886">
        <f>'Customers Raw data'!D886</f>
        <v>200</v>
      </c>
      <c r="E886">
        <f>'Customers Raw data'!E886</f>
        <v>100</v>
      </c>
      <c r="F886">
        <f>'Customers Raw data'!F886</f>
        <v>0</v>
      </c>
      <c r="G886">
        <f>IF('Customers Raw data'!F886&lt;&gt;"",1,0)</f>
        <v>0</v>
      </c>
      <c r="H886" t="str">
        <f>IF('Customers Raw data'!F886&lt;&gt;"",YEAR(DATEVALUE('Customers Raw data'!F886)),"")</f>
        <v/>
      </c>
      <c r="I886" t="str">
        <f>IF('Customers Raw data'!F886&lt;&gt;"",MONTH(DATEVALUE('Customers Raw data'!F886)),"")</f>
        <v/>
      </c>
      <c r="J886">
        <f>YEAR(DATEVALUE('Customers Raw data'!B886))</f>
        <v>2024</v>
      </c>
      <c r="K886">
        <f>MONTH(DATEVALUE('Customers Raw data'!B886))</f>
        <v>6</v>
      </c>
      <c r="L886">
        <f ca="1">IF('Customers Raw data'!F886&lt;&gt;"",DATEDIF(DATEVALUE('Customers Raw data'!B886),DATEVALUE('Customers Raw data'!F886),"M"),DATEDIF(DATEVALUE('Customers Raw data'!B886),TODAY(),"M"))</f>
        <v>21</v>
      </c>
      <c r="M886">
        <f t="shared" ca="1" si="65"/>
        <v>4200</v>
      </c>
      <c r="N886">
        <f t="shared" si="66"/>
        <v>2</v>
      </c>
      <c r="O886">
        <f t="shared" ca="1" si="67"/>
        <v>0</v>
      </c>
      <c r="P886">
        <f t="shared" si="68"/>
        <v>0</v>
      </c>
      <c r="Q886" t="e">
        <f t="shared" si="69"/>
        <v>#VALUE!</v>
      </c>
    </row>
    <row r="887" spans="1:17" ht="15" customHeight="1" x14ac:dyDescent="0.25">
      <c r="A887">
        <f>'Customers Raw data'!A887</f>
        <v>1886</v>
      </c>
      <c r="B887" t="str">
        <f>'Customers Raw data'!B887</f>
        <v>2025-01-30</v>
      </c>
      <c r="C887" t="str">
        <f>'Customers Raw data'!C887</f>
        <v>Basic</v>
      </c>
      <c r="D887">
        <f>'Customers Raw data'!D887</f>
        <v>50</v>
      </c>
      <c r="E887">
        <f>'Customers Raw data'!E887</f>
        <v>30</v>
      </c>
      <c r="F887">
        <f>'Customers Raw data'!F887</f>
        <v>0</v>
      </c>
      <c r="G887">
        <f>IF('Customers Raw data'!F887&lt;&gt;"",1,0)</f>
        <v>0</v>
      </c>
      <c r="H887" t="str">
        <f>IF('Customers Raw data'!F887&lt;&gt;"",YEAR(DATEVALUE('Customers Raw data'!F887)),"")</f>
        <v/>
      </c>
      <c r="I887" t="str">
        <f>IF('Customers Raw data'!F887&lt;&gt;"",MONTH(DATEVALUE('Customers Raw data'!F887)),"")</f>
        <v/>
      </c>
      <c r="J887">
        <f>YEAR(DATEVALUE('Customers Raw data'!B887))</f>
        <v>2025</v>
      </c>
      <c r="K887">
        <f>MONTH(DATEVALUE('Customers Raw data'!B887))</f>
        <v>1</v>
      </c>
      <c r="L887">
        <f ca="1">IF('Customers Raw data'!F887&lt;&gt;"",DATEDIF(DATEVALUE('Customers Raw data'!B887),DATEVALUE('Customers Raw data'!F887),"M"),DATEDIF(DATEVALUE('Customers Raw data'!B887),TODAY(),"M"))</f>
        <v>14</v>
      </c>
      <c r="M887">
        <f t="shared" ca="1" si="65"/>
        <v>700</v>
      </c>
      <c r="N887">
        <f t="shared" si="66"/>
        <v>1</v>
      </c>
      <c r="O887">
        <f t="shared" ca="1" si="67"/>
        <v>0</v>
      </c>
      <c r="P887">
        <f t="shared" si="68"/>
        <v>0</v>
      </c>
      <c r="Q887" t="e">
        <f t="shared" si="69"/>
        <v>#VALUE!</v>
      </c>
    </row>
    <row r="888" spans="1:17" ht="15" customHeight="1" x14ac:dyDescent="0.25">
      <c r="A888">
        <f>'Customers Raw data'!A888</f>
        <v>1887</v>
      </c>
      <c r="B888" t="str">
        <f>'Customers Raw data'!B888</f>
        <v>2024-06-20</v>
      </c>
      <c r="C888" t="str">
        <f>'Customers Raw data'!C888</f>
        <v>Basic</v>
      </c>
      <c r="D888">
        <f>'Customers Raw data'!D888</f>
        <v>50</v>
      </c>
      <c r="E888">
        <f>'Customers Raw data'!E888</f>
        <v>30</v>
      </c>
      <c r="F888">
        <f>'Customers Raw data'!F888</f>
        <v>0</v>
      </c>
      <c r="G888">
        <f>IF('Customers Raw data'!F888&lt;&gt;"",1,0)</f>
        <v>0</v>
      </c>
      <c r="H888" t="str">
        <f>IF('Customers Raw data'!F888&lt;&gt;"",YEAR(DATEVALUE('Customers Raw data'!F888)),"")</f>
        <v/>
      </c>
      <c r="I888" t="str">
        <f>IF('Customers Raw data'!F888&lt;&gt;"",MONTH(DATEVALUE('Customers Raw data'!F888)),"")</f>
        <v/>
      </c>
      <c r="J888">
        <f>YEAR(DATEVALUE('Customers Raw data'!B888))</f>
        <v>2024</v>
      </c>
      <c r="K888">
        <f>MONTH(DATEVALUE('Customers Raw data'!B888))</f>
        <v>6</v>
      </c>
      <c r="L888">
        <f ca="1">IF('Customers Raw data'!F888&lt;&gt;"",DATEDIF(DATEVALUE('Customers Raw data'!B888),DATEVALUE('Customers Raw data'!F888),"M"),DATEDIF(DATEVALUE('Customers Raw data'!B888),TODAY(),"M"))</f>
        <v>21</v>
      </c>
      <c r="M888">
        <f t="shared" ca="1" si="65"/>
        <v>1050</v>
      </c>
      <c r="N888">
        <f t="shared" si="66"/>
        <v>1</v>
      </c>
      <c r="O888">
        <f t="shared" ca="1" si="67"/>
        <v>0</v>
      </c>
      <c r="P888">
        <f t="shared" si="68"/>
        <v>0</v>
      </c>
      <c r="Q888" t="e">
        <f t="shared" si="69"/>
        <v>#VALUE!</v>
      </c>
    </row>
    <row r="889" spans="1:17" ht="15" customHeight="1" x14ac:dyDescent="0.25">
      <c r="A889">
        <f>'Customers Raw data'!A889</f>
        <v>1888</v>
      </c>
      <c r="B889" t="str">
        <f>'Customers Raw data'!B889</f>
        <v>2025-01-01</v>
      </c>
      <c r="C889" t="str">
        <f>'Customers Raw data'!C889</f>
        <v>Pro</v>
      </c>
      <c r="D889">
        <f>'Customers Raw data'!D889</f>
        <v>200</v>
      </c>
      <c r="E889">
        <f>'Customers Raw data'!E889</f>
        <v>100</v>
      </c>
      <c r="F889">
        <f>'Customers Raw data'!F889</f>
        <v>0</v>
      </c>
      <c r="G889">
        <f>IF('Customers Raw data'!F889&lt;&gt;"",1,0)</f>
        <v>0</v>
      </c>
      <c r="H889" t="str">
        <f>IF('Customers Raw data'!F889&lt;&gt;"",YEAR(DATEVALUE('Customers Raw data'!F889)),"")</f>
        <v/>
      </c>
      <c r="I889" t="str">
        <f>IF('Customers Raw data'!F889&lt;&gt;"",MONTH(DATEVALUE('Customers Raw data'!F889)),"")</f>
        <v/>
      </c>
      <c r="J889">
        <f>YEAR(DATEVALUE('Customers Raw data'!B889))</f>
        <v>2025</v>
      </c>
      <c r="K889">
        <f>MONTH(DATEVALUE('Customers Raw data'!B889))</f>
        <v>1</v>
      </c>
      <c r="L889">
        <f ca="1">IF('Customers Raw data'!F889&lt;&gt;"",DATEDIF(DATEVALUE('Customers Raw data'!B889),DATEVALUE('Customers Raw data'!F889),"M"),DATEDIF(DATEVALUE('Customers Raw data'!B889),TODAY(),"M"))</f>
        <v>15</v>
      </c>
      <c r="M889">
        <f t="shared" ca="1" si="65"/>
        <v>3000</v>
      </c>
      <c r="N889">
        <f t="shared" si="66"/>
        <v>2</v>
      </c>
      <c r="O889">
        <f t="shared" ca="1" si="67"/>
        <v>0</v>
      </c>
      <c r="P889">
        <f t="shared" si="68"/>
        <v>0</v>
      </c>
      <c r="Q889" t="e">
        <f t="shared" si="69"/>
        <v>#VALUE!</v>
      </c>
    </row>
    <row r="890" spans="1:17" ht="15" customHeight="1" x14ac:dyDescent="0.25">
      <c r="A890">
        <f>'Customers Raw data'!A890</f>
        <v>1889</v>
      </c>
      <c r="B890" t="str">
        <f>'Customers Raw data'!B890</f>
        <v>2024-01-15</v>
      </c>
      <c r="C890" t="str">
        <f>'Customers Raw data'!C890</f>
        <v>Basic</v>
      </c>
      <c r="D890">
        <f>'Customers Raw data'!D890</f>
        <v>50</v>
      </c>
      <c r="E890">
        <f>'Customers Raw data'!E890</f>
        <v>30</v>
      </c>
      <c r="F890" t="str">
        <f>'Customers Raw data'!F890</f>
        <v>2024-10-29</v>
      </c>
      <c r="G890">
        <f>IF('Customers Raw data'!F890&lt;&gt;"",1,0)</f>
        <v>1</v>
      </c>
      <c r="H890">
        <f>IF('Customers Raw data'!F890&lt;&gt;"",YEAR(DATEVALUE('Customers Raw data'!F890)),"")</f>
        <v>2024</v>
      </c>
      <c r="I890">
        <f>IF('Customers Raw data'!F890&lt;&gt;"",MONTH(DATEVALUE('Customers Raw data'!F890)),"")</f>
        <v>10</v>
      </c>
      <c r="J890">
        <f>YEAR(DATEVALUE('Customers Raw data'!B890))</f>
        <v>2024</v>
      </c>
      <c r="K890">
        <f>MONTH(DATEVALUE('Customers Raw data'!B890))</f>
        <v>1</v>
      </c>
      <c r="L890">
        <f ca="1">IF('Customers Raw data'!F890&lt;&gt;"",DATEDIF(DATEVALUE('Customers Raw data'!B890),DATEVALUE('Customers Raw data'!F890),"M"),DATEDIF(DATEVALUE('Customers Raw data'!B890),TODAY(),"M"))</f>
        <v>9</v>
      </c>
      <c r="M890">
        <f t="shared" ca="1" si="65"/>
        <v>450</v>
      </c>
      <c r="N890">
        <f t="shared" si="66"/>
        <v>1</v>
      </c>
      <c r="O890">
        <f t="shared" ca="1" si="67"/>
        <v>0</v>
      </c>
      <c r="P890">
        <f t="shared" si="68"/>
        <v>50</v>
      </c>
      <c r="Q890" t="str">
        <f t="shared" si="69"/>
        <v>2024-10</v>
      </c>
    </row>
    <row r="891" spans="1:17" ht="15" customHeight="1" x14ac:dyDescent="0.25">
      <c r="A891">
        <f>'Customers Raw data'!A891</f>
        <v>1890</v>
      </c>
      <c r="B891" t="str">
        <f>'Customers Raw data'!B891</f>
        <v>2024-11-24</v>
      </c>
      <c r="C891" t="str">
        <f>'Customers Raw data'!C891</f>
        <v>Pro</v>
      </c>
      <c r="D891">
        <f>'Customers Raw data'!D891</f>
        <v>200</v>
      </c>
      <c r="E891">
        <f>'Customers Raw data'!E891</f>
        <v>100</v>
      </c>
      <c r="F891">
        <f>'Customers Raw data'!F891</f>
        <v>0</v>
      </c>
      <c r="G891">
        <f>IF('Customers Raw data'!F891&lt;&gt;"",1,0)</f>
        <v>0</v>
      </c>
      <c r="H891" t="str">
        <f>IF('Customers Raw data'!F891&lt;&gt;"",YEAR(DATEVALUE('Customers Raw data'!F891)),"")</f>
        <v/>
      </c>
      <c r="I891" t="str">
        <f>IF('Customers Raw data'!F891&lt;&gt;"",MONTH(DATEVALUE('Customers Raw data'!F891)),"")</f>
        <v/>
      </c>
      <c r="J891">
        <f>YEAR(DATEVALUE('Customers Raw data'!B891))</f>
        <v>2024</v>
      </c>
      <c r="K891">
        <f>MONTH(DATEVALUE('Customers Raw data'!B891))</f>
        <v>11</v>
      </c>
      <c r="L891">
        <f ca="1">IF('Customers Raw data'!F891&lt;&gt;"",DATEDIF(DATEVALUE('Customers Raw data'!B891),DATEVALUE('Customers Raw data'!F891),"M"),DATEDIF(DATEVALUE('Customers Raw data'!B891),TODAY(),"M"))</f>
        <v>16</v>
      </c>
      <c r="M891">
        <f t="shared" ca="1" si="65"/>
        <v>3200</v>
      </c>
      <c r="N891">
        <f t="shared" si="66"/>
        <v>2</v>
      </c>
      <c r="O891">
        <f t="shared" ca="1" si="67"/>
        <v>0</v>
      </c>
      <c r="P891">
        <f t="shared" si="68"/>
        <v>0</v>
      </c>
      <c r="Q891" t="e">
        <f t="shared" si="69"/>
        <v>#VALUE!</v>
      </c>
    </row>
    <row r="892" spans="1:17" ht="15" customHeight="1" x14ac:dyDescent="0.25">
      <c r="A892">
        <f>'Customers Raw data'!A892</f>
        <v>1891</v>
      </c>
      <c r="B892" t="str">
        <f>'Customers Raw data'!B892</f>
        <v>2025-03-30</v>
      </c>
      <c r="C892" t="str">
        <f>'Customers Raw data'!C892</f>
        <v>Basic</v>
      </c>
      <c r="D892">
        <f>'Customers Raw data'!D892</f>
        <v>50</v>
      </c>
      <c r="E892">
        <f>'Customers Raw data'!E892</f>
        <v>30</v>
      </c>
      <c r="F892">
        <f>'Customers Raw data'!F892</f>
        <v>0</v>
      </c>
      <c r="G892">
        <f>IF('Customers Raw data'!F892&lt;&gt;"",1,0)</f>
        <v>0</v>
      </c>
      <c r="H892" t="str">
        <f>IF('Customers Raw data'!F892&lt;&gt;"",YEAR(DATEVALUE('Customers Raw data'!F892)),"")</f>
        <v/>
      </c>
      <c r="I892" t="str">
        <f>IF('Customers Raw data'!F892&lt;&gt;"",MONTH(DATEVALUE('Customers Raw data'!F892)),"")</f>
        <v/>
      </c>
      <c r="J892">
        <f>YEAR(DATEVALUE('Customers Raw data'!B892))</f>
        <v>2025</v>
      </c>
      <c r="K892">
        <f>MONTH(DATEVALUE('Customers Raw data'!B892))</f>
        <v>3</v>
      </c>
      <c r="L892">
        <f ca="1">IF('Customers Raw data'!F892&lt;&gt;"",DATEDIF(DATEVALUE('Customers Raw data'!B892),DATEVALUE('Customers Raw data'!F892),"M"),DATEDIF(DATEVALUE('Customers Raw data'!B892),TODAY(),"M"))</f>
        <v>12</v>
      </c>
      <c r="M892">
        <f t="shared" ca="1" si="65"/>
        <v>600</v>
      </c>
      <c r="N892">
        <f t="shared" si="66"/>
        <v>1</v>
      </c>
      <c r="O892">
        <f t="shared" ca="1" si="67"/>
        <v>0</v>
      </c>
      <c r="P892">
        <f t="shared" si="68"/>
        <v>0</v>
      </c>
      <c r="Q892" t="e">
        <f t="shared" si="69"/>
        <v>#VALUE!</v>
      </c>
    </row>
    <row r="893" spans="1:17" ht="15" customHeight="1" x14ac:dyDescent="0.25">
      <c r="A893">
        <f>'Customers Raw data'!A893</f>
        <v>1892</v>
      </c>
      <c r="B893" t="str">
        <f>'Customers Raw data'!B893</f>
        <v>2025-06-11</v>
      </c>
      <c r="C893" t="str">
        <f>'Customers Raw data'!C893</f>
        <v>Basic</v>
      </c>
      <c r="D893">
        <f>'Customers Raw data'!D893</f>
        <v>50</v>
      </c>
      <c r="E893">
        <f>'Customers Raw data'!E893</f>
        <v>30</v>
      </c>
      <c r="F893">
        <f>'Customers Raw data'!F893</f>
        <v>0</v>
      </c>
      <c r="G893">
        <f>IF('Customers Raw data'!F893&lt;&gt;"",1,0)</f>
        <v>0</v>
      </c>
      <c r="H893" t="str">
        <f>IF('Customers Raw data'!F893&lt;&gt;"",YEAR(DATEVALUE('Customers Raw data'!F893)),"")</f>
        <v/>
      </c>
      <c r="I893" t="str">
        <f>IF('Customers Raw data'!F893&lt;&gt;"",MONTH(DATEVALUE('Customers Raw data'!F893)),"")</f>
        <v/>
      </c>
      <c r="J893">
        <f>YEAR(DATEVALUE('Customers Raw data'!B893))</f>
        <v>2025</v>
      </c>
      <c r="K893">
        <f>MONTH(DATEVALUE('Customers Raw data'!B893))</f>
        <v>6</v>
      </c>
      <c r="L893">
        <f ca="1">IF('Customers Raw data'!F893&lt;&gt;"",DATEDIF(DATEVALUE('Customers Raw data'!B893),DATEVALUE('Customers Raw data'!F893),"M"),DATEDIF(DATEVALUE('Customers Raw data'!B893),TODAY(),"M"))</f>
        <v>9</v>
      </c>
      <c r="M893">
        <f t="shared" ca="1" si="65"/>
        <v>450</v>
      </c>
      <c r="N893">
        <f t="shared" si="66"/>
        <v>1</v>
      </c>
      <c r="O893">
        <f t="shared" ca="1" si="67"/>
        <v>0</v>
      </c>
      <c r="P893">
        <f t="shared" si="68"/>
        <v>0</v>
      </c>
      <c r="Q893" t="e">
        <f t="shared" si="69"/>
        <v>#VALUE!</v>
      </c>
    </row>
    <row r="894" spans="1:17" ht="15" customHeight="1" x14ac:dyDescent="0.25">
      <c r="A894">
        <f>'Customers Raw data'!A894</f>
        <v>1893</v>
      </c>
      <c r="B894" t="str">
        <f>'Customers Raw data'!B894</f>
        <v>2024-07-25</v>
      </c>
      <c r="C894" t="str">
        <f>'Customers Raw data'!C894</f>
        <v>Basic</v>
      </c>
      <c r="D894">
        <f>'Customers Raw data'!D894</f>
        <v>50</v>
      </c>
      <c r="E894">
        <f>'Customers Raw data'!E894</f>
        <v>30</v>
      </c>
      <c r="F894">
        <f>'Customers Raw data'!F894</f>
        <v>0</v>
      </c>
      <c r="G894">
        <f>IF('Customers Raw data'!F894&lt;&gt;"",1,0)</f>
        <v>0</v>
      </c>
      <c r="H894" t="str">
        <f>IF('Customers Raw data'!F894&lt;&gt;"",YEAR(DATEVALUE('Customers Raw data'!F894)),"")</f>
        <v/>
      </c>
      <c r="I894" t="str">
        <f>IF('Customers Raw data'!F894&lt;&gt;"",MONTH(DATEVALUE('Customers Raw data'!F894)),"")</f>
        <v/>
      </c>
      <c r="J894">
        <f>YEAR(DATEVALUE('Customers Raw data'!B894))</f>
        <v>2024</v>
      </c>
      <c r="K894">
        <f>MONTH(DATEVALUE('Customers Raw data'!B894))</f>
        <v>7</v>
      </c>
      <c r="L894">
        <f ca="1">IF('Customers Raw data'!F894&lt;&gt;"",DATEDIF(DATEVALUE('Customers Raw data'!B894),DATEVALUE('Customers Raw data'!F894),"M"),DATEDIF(DATEVALUE('Customers Raw data'!B894),TODAY(),"M"))</f>
        <v>20</v>
      </c>
      <c r="M894">
        <f t="shared" ca="1" si="65"/>
        <v>1000</v>
      </c>
      <c r="N894">
        <f t="shared" si="66"/>
        <v>1</v>
      </c>
      <c r="O894">
        <f t="shared" ca="1" si="67"/>
        <v>0</v>
      </c>
      <c r="P894">
        <f t="shared" si="68"/>
        <v>0</v>
      </c>
      <c r="Q894" t="e">
        <f t="shared" si="69"/>
        <v>#VALUE!</v>
      </c>
    </row>
    <row r="895" spans="1:17" ht="15" customHeight="1" x14ac:dyDescent="0.25">
      <c r="A895">
        <f>'Customers Raw data'!A895</f>
        <v>1894</v>
      </c>
      <c r="B895" t="str">
        <f>'Customers Raw data'!B895</f>
        <v>2024-09-13</v>
      </c>
      <c r="C895" t="str">
        <f>'Customers Raw data'!C895</f>
        <v>Basic</v>
      </c>
      <c r="D895">
        <f>'Customers Raw data'!D895</f>
        <v>50</v>
      </c>
      <c r="E895">
        <f>'Customers Raw data'!E895</f>
        <v>30</v>
      </c>
      <c r="F895">
        <f>'Customers Raw data'!F895</f>
        <v>0</v>
      </c>
      <c r="G895">
        <f>IF('Customers Raw data'!F895&lt;&gt;"",1,0)</f>
        <v>0</v>
      </c>
      <c r="H895" t="str">
        <f>IF('Customers Raw data'!F895&lt;&gt;"",YEAR(DATEVALUE('Customers Raw data'!F895)),"")</f>
        <v/>
      </c>
      <c r="I895" t="str">
        <f>IF('Customers Raw data'!F895&lt;&gt;"",MONTH(DATEVALUE('Customers Raw data'!F895)),"")</f>
        <v/>
      </c>
      <c r="J895">
        <f>YEAR(DATEVALUE('Customers Raw data'!B895))</f>
        <v>2024</v>
      </c>
      <c r="K895">
        <f>MONTH(DATEVALUE('Customers Raw data'!B895))</f>
        <v>9</v>
      </c>
      <c r="L895">
        <f ca="1">IF('Customers Raw data'!F895&lt;&gt;"",DATEDIF(DATEVALUE('Customers Raw data'!B895),DATEVALUE('Customers Raw data'!F895),"M"),DATEDIF(DATEVALUE('Customers Raw data'!B895),TODAY(),"M"))</f>
        <v>18</v>
      </c>
      <c r="M895">
        <f t="shared" ca="1" si="65"/>
        <v>900</v>
      </c>
      <c r="N895">
        <f t="shared" si="66"/>
        <v>1</v>
      </c>
      <c r="O895">
        <f t="shared" ca="1" si="67"/>
        <v>0</v>
      </c>
      <c r="P895">
        <f t="shared" si="68"/>
        <v>0</v>
      </c>
      <c r="Q895" t="e">
        <f t="shared" si="69"/>
        <v>#VALUE!</v>
      </c>
    </row>
    <row r="896" spans="1:17" ht="15" customHeight="1" x14ac:dyDescent="0.25">
      <c r="A896">
        <f>'Customers Raw data'!A896</f>
        <v>1895</v>
      </c>
      <c r="B896" t="str">
        <f>'Customers Raw data'!B896</f>
        <v>2024-10-24</v>
      </c>
      <c r="C896" t="str">
        <f>'Customers Raw data'!C896</f>
        <v>Pro</v>
      </c>
      <c r="D896">
        <f>'Customers Raw data'!D896</f>
        <v>200</v>
      </c>
      <c r="E896">
        <f>'Customers Raw data'!E896</f>
        <v>100</v>
      </c>
      <c r="F896">
        <f>'Customers Raw data'!F896</f>
        <v>0</v>
      </c>
      <c r="G896">
        <f>IF('Customers Raw data'!F896&lt;&gt;"",1,0)</f>
        <v>0</v>
      </c>
      <c r="H896" t="str">
        <f>IF('Customers Raw data'!F896&lt;&gt;"",YEAR(DATEVALUE('Customers Raw data'!F896)),"")</f>
        <v/>
      </c>
      <c r="I896" t="str">
        <f>IF('Customers Raw data'!F896&lt;&gt;"",MONTH(DATEVALUE('Customers Raw data'!F896)),"")</f>
        <v/>
      </c>
      <c r="J896">
        <f>YEAR(DATEVALUE('Customers Raw data'!B896))</f>
        <v>2024</v>
      </c>
      <c r="K896">
        <f>MONTH(DATEVALUE('Customers Raw data'!B896))</f>
        <v>10</v>
      </c>
      <c r="L896">
        <f ca="1">IF('Customers Raw data'!F896&lt;&gt;"",DATEDIF(DATEVALUE('Customers Raw data'!B896),DATEVALUE('Customers Raw data'!F896),"M"),DATEDIF(DATEVALUE('Customers Raw data'!B896),TODAY(),"M"))</f>
        <v>17</v>
      </c>
      <c r="M896">
        <f t="shared" ca="1" si="65"/>
        <v>3400</v>
      </c>
      <c r="N896">
        <f t="shared" si="66"/>
        <v>2</v>
      </c>
      <c r="O896">
        <f t="shared" ca="1" si="67"/>
        <v>0</v>
      </c>
      <c r="P896">
        <f t="shared" si="68"/>
        <v>0</v>
      </c>
      <c r="Q896" t="e">
        <f t="shared" si="69"/>
        <v>#VALUE!</v>
      </c>
    </row>
    <row r="897" spans="1:17" ht="15" customHeight="1" x14ac:dyDescent="0.25">
      <c r="A897">
        <f>'Customers Raw data'!A897</f>
        <v>1896</v>
      </c>
      <c r="B897" t="str">
        <f>'Customers Raw data'!B897</f>
        <v>2025-03-01</v>
      </c>
      <c r="C897" t="str">
        <f>'Customers Raw data'!C897</f>
        <v>Basic</v>
      </c>
      <c r="D897">
        <f>'Customers Raw data'!D897</f>
        <v>50</v>
      </c>
      <c r="E897">
        <f>'Customers Raw data'!E897</f>
        <v>30</v>
      </c>
      <c r="F897" t="str">
        <f>'Customers Raw data'!F897</f>
        <v>2025-06-07</v>
      </c>
      <c r="G897">
        <f>IF('Customers Raw data'!F897&lt;&gt;"",1,0)</f>
        <v>1</v>
      </c>
      <c r="H897">
        <f>IF('Customers Raw data'!F897&lt;&gt;"",YEAR(DATEVALUE('Customers Raw data'!F897)),"")</f>
        <v>2025</v>
      </c>
      <c r="I897">
        <f>IF('Customers Raw data'!F897&lt;&gt;"",MONTH(DATEVALUE('Customers Raw data'!F897)),"")</f>
        <v>6</v>
      </c>
      <c r="J897">
        <f>YEAR(DATEVALUE('Customers Raw data'!B897))</f>
        <v>2025</v>
      </c>
      <c r="K897">
        <f>MONTH(DATEVALUE('Customers Raw data'!B897))</f>
        <v>3</v>
      </c>
      <c r="L897">
        <f ca="1">IF('Customers Raw data'!F897&lt;&gt;"",DATEDIF(DATEVALUE('Customers Raw data'!B897),DATEVALUE('Customers Raw data'!F897),"M"),DATEDIF(DATEVALUE('Customers Raw data'!B897),TODAY(),"M"))</f>
        <v>3</v>
      </c>
      <c r="M897">
        <f t="shared" ca="1" si="65"/>
        <v>150</v>
      </c>
      <c r="N897">
        <f t="shared" si="66"/>
        <v>1</v>
      </c>
      <c r="O897">
        <f t="shared" ca="1" si="67"/>
        <v>1</v>
      </c>
      <c r="P897">
        <f t="shared" si="68"/>
        <v>50</v>
      </c>
      <c r="Q897" t="str">
        <f t="shared" si="69"/>
        <v>2025-06</v>
      </c>
    </row>
    <row r="898" spans="1:17" ht="15" customHeight="1" x14ac:dyDescent="0.25">
      <c r="A898">
        <f>'Customers Raw data'!A898</f>
        <v>1897</v>
      </c>
      <c r="B898" t="str">
        <f>'Customers Raw data'!B898</f>
        <v>2024-08-14</v>
      </c>
      <c r="C898" t="str">
        <f>'Customers Raw data'!C898</f>
        <v>Basic</v>
      </c>
      <c r="D898">
        <f>'Customers Raw data'!D898</f>
        <v>50</v>
      </c>
      <c r="E898">
        <f>'Customers Raw data'!E898</f>
        <v>30</v>
      </c>
      <c r="F898">
        <f>'Customers Raw data'!F898</f>
        <v>0</v>
      </c>
      <c r="G898">
        <f>IF('Customers Raw data'!F898&lt;&gt;"",1,0)</f>
        <v>0</v>
      </c>
      <c r="H898" t="str">
        <f>IF('Customers Raw data'!F898&lt;&gt;"",YEAR(DATEVALUE('Customers Raw data'!F898)),"")</f>
        <v/>
      </c>
      <c r="I898" t="str">
        <f>IF('Customers Raw data'!F898&lt;&gt;"",MONTH(DATEVALUE('Customers Raw data'!F898)),"")</f>
        <v/>
      </c>
      <c r="J898">
        <f>YEAR(DATEVALUE('Customers Raw data'!B898))</f>
        <v>2024</v>
      </c>
      <c r="K898">
        <f>MONTH(DATEVALUE('Customers Raw data'!B898))</f>
        <v>8</v>
      </c>
      <c r="L898">
        <f ca="1">IF('Customers Raw data'!F898&lt;&gt;"",DATEDIF(DATEVALUE('Customers Raw data'!B898),DATEVALUE('Customers Raw data'!F898),"M"),DATEDIF(DATEVALUE('Customers Raw data'!B898),TODAY(),"M"))</f>
        <v>19</v>
      </c>
      <c r="M898">
        <f t="shared" ref="M898:M961" ca="1" si="70">D898*L898</f>
        <v>950</v>
      </c>
      <c r="N898">
        <f t="shared" ref="N898:N961" si="71">IF(C898="Basic",1,IF(C898="Pro",2,IF(C898="Enterprise",3,0)))</f>
        <v>1</v>
      </c>
      <c r="O898">
        <f t="shared" ref="O898:O961" ca="1" si="72">IF(AND(G898=1,L898&lt;6),1,0)</f>
        <v>0</v>
      </c>
      <c r="P898">
        <f t="shared" ref="P898:P961" si="73">IF(G898=1,D898,0)</f>
        <v>0</v>
      </c>
      <c r="Q898" t="e">
        <f t="shared" ref="Q898:Q961" si="74">IF(F898&lt;&gt;"",TEXT(DATEVALUE(F898),"YYYY-MM"),"")</f>
        <v>#VALUE!</v>
      </c>
    </row>
    <row r="899" spans="1:17" ht="15" customHeight="1" x14ac:dyDescent="0.25">
      <c r="A899">
        <f>'Customers Raw data'!A899</f>
        <v>1898</v>
      </c>
      <c r="B899" t="str">
        <f>'Customers Raw data'!B899</f>
        <v>2025-01-04</v>
      </c>
      <c r="C899" t="str">
        <f>'Customers Raw data'!C899</f>
        <v>Basic</v>
      </c>
      <c r="D899">
        <f>'Customers Raw data'!D899</f>
        <v>50</v>
      </c>
      <c r="E899">
        <f>'Customers Raw data'!E899</f>
        <v>30</v>
      </c>
      <c r="F899">
        <f>'Customers Raw data'!F899</f>
        <v>0</v>
      </c>
      <c r="G899">
        <f>IF('Customers Raw data'!F899&lt;&gt;"",1,0)</f>
        <v>0</v>
      </c>
      <c r="H899" t="str">
        <f>IF('Customers Raw data'!F899&lt;&gt;"",YEAR(DATEVALUE('Customers Raw data'!F899)),"")</f>
        <v/>
      </c>
      <c r="I899" t="str">
        <f>IF('Customers Raw data'!F899&lt;&gt;"",MONTH(DATEVALUE('Customers Raw data'!F899)),"")</f>
        <v/>
      </c>
      <c r="J899">
        <f>YEAR(DATEVALUE('Customers Raw data'!B899))</f>
        <v>2025</v>
      </c>
      <c r="K899">
        <f>MONTH(DATEVALUE('Customers Raw data'!B899))</f>
        <v>1</v>
      </c>
      <c r="L899">
        <f ca="1">IF('Customers Raw data'!F899&lt;&gt;"",DATEDIF(DATEVALUE('Customers Raw data'!B899),DATEVALUE('Customers Raw data'!F899),"M"),DATEDIF(DATEVALUE('Customers Raw data'!B899),TODAY(),"M"))</f>
        <v>15</v>
      </c>
      <c r="M899">
        <f t="shared" ca="1" si="70"/>
        <v>750</v>
      </c>
      <c r="N899">
        <f t="shared" si="71"/>
        <v>1</v>
      </c>
      <c r="O899">
        <f t="shared" ca="1" si="72"/>
        <v>0</v>
      </c>
      <c r="P899">
        <f t="shared" si="73"/>
        <v>0</v>
      </c>
      <c r="Q899" t="e">
        <f t="shared" si="74"/>
        <v>#VALUE!</v>
      </c>
    </row>
    <row r="900" spans="1:17" ht="15" customHeight="1" x14ac:dyDescent="0.25">
      <c r="A900">
        <f>'Customers Raw data'!A900</f>
        <v>1899</v>
      </c>
      <c r="B900" t="str">
        <f>'Customers Raw data'!B900</f>
        <v>2024-01-29</v>
      </c>
      <c r="C900" t="str">
        <f>'Customers Raw data'!C900</f>
        <v>Pro</v>
      </c>
      <c r="D900">
        <f>'Customers Raw data'!D900</f>
        <v>200</v>
      </c>
      <c r="E900">
        <f>'Customers Raw data'!E900</f>
        <v>100</v>
      </c>
      <c r="F900" t="str">
        <f>'Customers Raw data'!F900</f>
        <v>2025-01-24</v>
      </c>
      <c r="G900">
        <f>IF('Customers Raw data'!F900&lt;&gt;"",1,0)</f>
        <v>1</v>
      </c>
      <c r="H900">
        <f>IF('Customers Raw data'!F900&lt;&gt;"",YEAR(DATEVALUE('Customers Raw data'!F900)),"")</f>
        <v>2025</v>
      </c>
      <c r="I900">
        <f>IF('Customers Raw data'!F900&lt;&gt;"",MONTH(DATEVALUE('Customers Raw data'!F900)),"")</f>
        <v>1</v>
      </c>
      <c r="J900">
        <f>YEAR(DATEVALUE('Customers Raw data'!B900))</f>
        <v>2024</v>
      </c>
      <c r="K900">
        <f>MONTH(DATEVALUE('Customers Raw data'!B900))</f>
        <v>1</v>
      </c>
      <c r="L900">
        <f ca="1">IF('Customers Raw data'!F900&lt;&gt;"",DATEDIF(DATEVALUE('Customers Raw data'!B900),DATEVALUE('Customers Raw data'!F900),"M"),DATEDIF(DATEVALUE('Customers Raw data'!B900),TODAY(),"M"))</f>
        <v>11</v>
      </c>
      <c r="M900">
        <f t="shared" ca="1" si="70"/>
        <v>2200</v>
      </c>
      <c r="N900">
        <f t="shared" si="71"/>
        <v>2</v>
      </c>
      <c r="O900">
        <f t="shared" ca="1" si="72"/>
        <v>0</v>
      </c>
      <c r="P900">
        <f t="shared" si="73"/>
        <v>200</v>
      </c>
      <c r="Q900" t="str">
        <f t="shared" si="74"/>
        <v>2025-01</v>
      </c>
    </row>
    <row r="901" spans="1:17" ht="15" customHeight="1" x14ac:dyDescent="0.25">
      <c r="A901">
        <f>'Customers Raw data'!A901</f>
        <v>1900</v>
      </c>
      <c r="B901" t="str">
        <f>'Customers Raw data'!B901</f>
        <v>2025-03-13</v>
      </c>
      <c r="C901" t="str">
        <f>'Customers Raw data'!C901</f>
        <v>Basic</v>
      </c>
      <c r="D901">
        <f>'Customers Raw data'!D901</f>
        <v>50</v>
      </c>
      <c r="E901">
        <f>'Customers Raw data'!E901</f>
        <v>30</v>
      </c>
      <c r="F901" t="str">
        <f>'Customers Raw data'!F901</f>
        <v>2025-05-05</v>
      </c>
      <c r="G901">
        <f>IF('Customers Raw data'!F901&lt;&gt;"",1,0)</f>
        <v>1</v>
      </c>
      <c r="H901">
        <f>IF('Customers Raw data'!F901&lt;&gt;"",YEAR(DATEVALUE('Customers Raw data'!F901)),"")</f>
        <v>2025</v>
      </c>
      <c r="I901">
        <f>IF('Customers Raw data'!F901&lt;&gt;"",MONTH(DATEVALUE('Customers Raw data'!F901)),"")</f>
        <v>5</v>
      </c>
      <c r="J901">
        <f>YEAR(DATEVALUE('Customers Raw data'!B901))</f>
        <v>2025</v>
      </c>
      <c r="K901">
        <f>MONTH(DATEVALUE('Customers Raw data'!B901))</f>
        <v>3</v>
      </c>
      <c r="L901">
        <f ca="1">IF('Customers Raw data'!F901&lt;&gt;"",DATEDIF(DATEVALUE('Customers Raw data'!B901),DATEVALUE('Customers Raw data'!F901),"M"),DATEDIF(DATEVALUE('Customers Raw data'!B901),TODAY(),"M"))</f>
        <v>1</v>
      </c>
      <c r="M901">
        <f t="shared" ca="1" si="70"/>
        <v>50</v>
      </c>
      <c r="N901">
        <f t="shared" si="71"/>
        <v>1</v>
      </c>
      <c r="O901">
        <f t="shared" ca="1" si="72"/>
        <v>1</v>
      </c>
      <c r="P901">
        <f t="shared" si="73"/>
        <v>50</v>
      </c>
      <c r="Q901" t="str">
        <f t="shared" si="74"/>
        <v>2025-05</v>
      </c>
    </row>
    <row r="902" spans="1:17" ht="15" customHeight="1" x14ac:dyDescent="0.25">
      <c r="A902">
        <f>'Customers Raw data'!A902</f>
        <v>1901</v>
      </c>
      <c r="B902" t="str">
        <f>'Customers Raw data'!B902</f>
        <v>2025-03-17</v>
      </c>
      <c r="C902" t="str">
        <f>'Customers Raw data'!C902</f>
        <v>Enterprise</v>
      </c>
      <c r="D902">
        <f>'Customers Raw data'!D902</f>
        <v>500</v>
      </c>
      <c r="E902">
        <f>'Customers Raw data'!E902</f>
        <v>200</v>
      </c>
      <c r="F902">
        <f>'Customers Raw data'!F902</f>
        <v>0</v>
      </c>
      <c r="G902">
        <f>IF('Customers Raw data'!F902&lt;&gt;"",1,0)</f>
        <v>0</v>
      </c>
      <c r="H902" t="str">
        <f>IF('Customers Raw data'!F902&lt;&gt;"",YEAR(DATEVALUE('Customers Raw data'!F902)),"")</f>
        <v/>
      </c>
      <c r="I902" t="str">
        <f>IF('Customers Raw data'!F902&lt;&gt;"",MONTH(DATEVALUE('Customers Raw data'!F902)),"")</f>
        <v/>
      </c>
      <c r="J902">
        <f>YEAR(DATEVALUE('Customers Raw data'!B902))</f>
        <v>2025</v>
      </c>
      <c r="K902">
        <f>MONTH(DATEVALUE('Customers Raw data'!B902))</f>
        <v>3</v>
      </c>
      <c r="L902">
        <f ca="1">IF('Customers Raw data'!F902&lt;&gt;"",DATEDIF(DATEVALUE('Customers Raw data'!B902),DATEVALUE('Customers Raw data'!F902),"M"),DATEDIF(DATEVALUE('Customers Raw data'!B902),TODAY(),"M"))</f>
        <v>12</v>
      </c>
      <c r="M902">
        <f t="shared" ca="1" si="70"/>
        <v>6000</v>
      </c>
      <c r="N902">
        <f t="shared" si="71"/>
        <v>3</v>
      </c>
      <c r="O902">
        <f t="shared" ca="1" si="72"/>
        <v>0</v>
      </c>
      <c r="P902">
        <f t="shared" si="73"/>
        <v>0</v>
      </c>
      <c r="Q902" t="e">
        <f t="shared" si="74"/>
        <v>#VALUE!</v>
      </c>
    </row>
    <row r="903" spans="1:17" ht="15" customHeight="1" x14ac:dyDescent="0.25">
      <c r="A903">
        <f>'Customers Raw data'!A903</f>
        <v>1902</v>
      </c>
      <c r="B903" t="str">
        <f>'Customers Raw data'!B903</f>
        <v>2024-07-20</v>
      </c>
      <c r="C903" t="str">
        <f>'Customers Raw data'!C903</f>
        <v>Enterprise</v>
      </c>
      <c r="D903">
        <f>'Customers Raw data'!D903</f>
        <v>500</v>
      </c>
      <c r="E903">
        <f>'Customers Raw data'!E903</f>
        <v>200</v>
      </c>
      <c r="F903">
        <f>'Customers Raw data'!F903</f>
        <v>0</v>
      </c>
      <c r="G903">
        <f>IF('Customers Raw data'!F903&lt;&gt;"",1,0)</f>
        <v>0</v>
      </c>
      <c r="H903" t="str">
        <f>IF('Customers Raw data'!F903&lt;&gt;"",YEAR(DATEVALUE('Customers Raw data'!F903)),"")</f>
        <v/>
      </c>
      <c r="I903" t="str">
        <f>IF('Customers Raw data'!F903&lt;&gt;"",MONTH(DATEVALUE('Customers Raw data'!F903)),"")</f>
        <v/>
      </c>
      <c r="J903">
        <f>YEAR(DATEVALUE('Customers Raw data'!B903))</f>
        <v>2024</v>
      </c>
      <c r="K903">
        <f>MONTH(DATEVALUE('Customers Raw data'!B903))</f>
        <v>7</v>
      </c>
      <c r="L903">
        <f ca="1">IF('Customers Raw data'!F903&lt;&gt;"",DATEDIF(DATEVALUE('Customers Raw data'!B903),DATEVALUE('Customers Raw data'!F903),"M"),DATEDIF(DATEVALUE('Customers Raw data'!B903),TODAY(),"M"))</f>
        <v>20</v>
      </c>
      <c r="M903">
        <f t="shared" ca="1" si="70"/>
        <v>10000</v>
      </c>
      <c r="N903">
        <f t="shared" si="71"/>
        <v>3</v>
      </c>
      <c r="O903">
        <f t="shared" ca="1" si="72"/>
        <v>0</v>
      </c>
      <c r="P903">
        <f t="shared" si="73"/>
        <v>0</v>
      </c>
      <c r="Q903" t="e">
        <f t="shared" si="74"/>
        <v>#VALUE!</v>
      </c>
    </row>
    <row r="904" spans="1:17" ht="15" customHeight="1" x14ac:dyDescent="0.25">
      <c r="A904">
        <f>'Customers Raw data'!A904</f>
        <v>1903</v>
      </c>
      <c r="B904" t="str">
        <f>'Customers Raw data'!B904</f>
        <v>2024-07-22</v>
      </c>
      <c r="C904" t="str">
        <f>'Customers Raw data'!C904</f>
        <v>Basic</v>
      </c>
      <c r="D904">
        <f>'Customers Raw data'!D904</f>
        <v>50</v>
      </c>
      <c r="E904">
        <f>'Customers Raw data'!E904</f>
        <v>30</v>
      </c>
      <c r="F904">
        <f>'Customers Raw data'!F904</f>
        <v>0</v>
      </c>
      <c r="G904">
        <f>IF('Customers Raw data'!F904&lt;&gt;"",1,0)</f>
        <v>0</v>
      </c>
      <c r="H904" t="str">
        <f>IF('Customers Raw data'!F904&lt;&gt;"",YEAR(DATEVALUE('Customers Raw data'!F904)),"")</f>
        <v/>
      </c>
      <c r="I904" t="str">
        <f>IF('Customers Raw data'!F904&lt;&gt;"",MONTH(DATEVALUE('Customers Raw data'!F904)),"")</f>
        <v/>
      </c>
      <c r="J904">
        <f>YEAR(DATEVALUE('Customers Raw data'!B904))</f>
        <v>2024</v>
      </c>
      <c r="K904">
        <f>MONTH(DATEVALUE('Customers Raw data'!B904))</f>
        <v>7</v>
      </c>
      <c r="L904">
        <f ca="1">IF('Customers Raw data'!F904&lt;&gt;"",DATEDIF(DATEVALUE('Customers Raw data'!B904),DATEVALUE('Customers Raw data'!F904),"M"),DATEDIF(DATEVALUE('Customers Raw data'!B904),TODAY(),"M"))</f>
        <v>20</v>
      </c>
      <c r="M904">
        <f t="shared" ca="1" si="70"/>
        <v>1000</v>
      </c>
      <c r="N904">
        <f t="shared" si="71"/>
        <v>1</v>
      </c>
      <c r="O904">
        <f t="shared" ca="1" si="72"/>
        <v>0</v>
      </c>
      <c r="P904">
        <f t="shared" si="73"/>
        <v>0</v>
      </c>
      <c r="Q904" t="e">
        <f t="shared" si="74"/>
        <v>#VALUE!</v>
      </c>
    </row>
    <row r="905" spans="1:17" ht="15" customHeight="1" x14ac:dyDescent="0.25">
      <c r="A905">
        <f>'Customers Raw data'!A905</f>
        <v>1904</v>
      </c>
      <c r="B905" t="str">
        <f>'Customers Raw data'!B905</f>
        <v>2024-07-30</v>
      </c>
      <c r="C905" t="str">
        <f>'Customers Raw data'!C905</f>
        <v>Basic</v>
      </c>
      <c r="D905">
        <f>'Customers Raw data'!D905</f>
        <v>50</v>
      </c>
      <c r="E905">
        <f>'Customers Raw data'!E905</f>
        <v>30</v>
      </c>
      <c r="F905">
        <f>'Customers Raw data'!F905</f>
        <v>0</v>
      </c>
      <c r="G905">
        <f>IF('Customers Raw data'!F905&lt;&gt;"",1,0)</f>
        <v>0</v>
      </c>
      <c r="H905" t="str">
        <f>IF('Customers Raw data'!F905&lt;&gt;"",YEAR(DATEVALUE('Customers Raw data'!F905)),"")</f>
        <v/>
      </c>
      <c r="I905" t="str">
        <f>IF('Customers Raw data'!F905&lt;&gt;"",MONTH(DATEVALUE('Customers Raw data'!F905)),"")</f>
        <v/>
      </c>
      <c r="J905">
        <f>YEAR(DATEVALUE('Customers Raw data'!B905))</f>
        <v>2024</v>
      </c>
      <c r="K905">
        <f>MONTH(DATEVALUE('Customers Raw data'!B905))</f>
        <v>7</v>
      </c>
      <c r="L905">
        <f ca="1">IF('Customers Raw data'!F905&lt;&gt;"",DATEDIF(DATEVALUE('Customers Raw data'!B905),DATEVALUE('Customers Raw data'!F905),"M"),DATEDIF(DATEVALUE('Customers Raw data'!B905),TODAY(),"M"))</f>
        <v>20</v>
      </c>
      <c r="M905">
        <f t="shared" ca="1" si="70"/>
        <v>1000</v>
      </c>
      <c r="N905">
        <f t="shared" si="71"/>
        <v>1</v>
      </c>
      <c r="O905">
        <f t="shared" ca="1" si="72"/>
        <v>0</v>
      </c>
      <c r="P905">
        <f t="shared" si="73"/>
        <v>0</v>
      </c>
      <c r="Q905" t="e">
        <f t="shared" si="74"/>
        <v>#VALUE!</v>
      </c>
    </row>
    <row r="906" spans="1:17" ht="15" customHeight="1" x14ac:dyDescent="0.25">
      <c r="A906">
        <f>'Customers Raw data'!A906</f>
        <v>1905</v>
      </c>
      <c r="B906" t="str">
        <f>'Customers Raw data'!B906</f>
        <v>2024-11-06</v>
      </c>
      <c r="C906" t="str">
        <f>'Customers Raw data'!C906</f>
        <v>Enterprise</v>
      </c>
      <c r="D906">
        <f>'Customers Raw data'!D906</f>
        <v>500</v>
      </c>
      <c r="E906">
        <f>'Customers Raw data'!E906</f>
        <v>200</v>
      </c>
      <c r="F906">
        <f>'Customers Raw data'!F906</f>
        <v>0</v>
      </c>
      <c r="G906">
        <f>IF('Customers Raw data'!F906&lt;&gt;"",1,0)</f>
        <v>0</v>
      </c>
      <c r="H906" t="str">
        <f>IF('Customers Raw data'!F906&lt;&gt;"",YEAR(DATEVALUE('Customers Raw data'!F906)),"")</f>
        <v/>
      </c>
      <c r="I906" t="str">
        <f>IF('Customers Raw data'!F906&lt;&gt;"",MONTH(DATEVALUE('Customers Raw data'!F906)),"")</f>
        <v/>
      </c>
      <c r="J906">
        <f>YEAR(DATEVALUE('Customers Raw data'!B906))</f>
        <v>2024</v>
      </c>
      <c r="K906">
        <f>MONTH(DATEVALUE('Customers Raw data'!B906))</f>
        <v>11</v>
      </c>
      <c r="L906">
        <f ca="1">IF('Customers Raw data'!F906&lt;&gt;"",DATEDIF(DATEVALUE('Customers Raw data'!B906),DATEVALUE('Customers Raw data'!F906),"M"),DATEDIF(DATEVALUE('Customers Raw data'!B906),TODAY(),"M"))</f>
        <v>17</v>
      </c>
      <c r="M906">
        <f t="shared" ca="1" si="70"/>
        <v>8500</v>
      </c>
      <c r="N906">
        <f t="shared" si="71"/>
        <v>3</v>
      </c>
      <c r="O906">
        <f t="shared" ca="1" si="72"/>
        <v>0</v>
      </c>
      <c r="P906">
        <f t="shared" si="73"/>
        <v>0</v>
      </c>
      <c r="Q906" t="e">
        <f t="shared" si="74"/>
        <v>#VALUE!</v>
      </c>
    </row>
    <row r="907" spans="1:17" ht="15" customHeight="1" x14ac:dyDescent="0.25">
      <c r="A907">
        <f>'Customers Raw data'!A907</f>
        <v>1906</v>
      </c>
      <c r="B907" t="str">
        <f>'Customers Raw data'!B907</f>
        <v>2024-09-06</v>
      </c>
      <c r="C907" t="str">
        <f>'Customers Raw data'!C907</f>
        <v>Enterprise</v>
      </c>
      <c r="D907">
        <f>'Customers Raw data'!D907</f>
        <v>500</v>
      </c>
      <c r="E907">
        <f>'Customers Raw data'!E907</f>
        <v>200</v>
      </c>
      <c r="F907">
        <f>'Customers Raw data'!F907</f>
        <v>0</v>
      </c>
      <c r="G907">
        <f>IF('Customers Raw data'!F907&lt;&gt;"",1,0)</f>
        <v>0</v>
      </c>
      <c r="H907" t="str">
        <f>IF('Customers Raw data'!F907&lt;&gt;"",YEAR(DATEVALUE('Customers Raw data'!F907)),"")</f>
        <v/>
      </c>
      <c r="I907" t="str">
        <f>IF('Customers Raw data'!F907&lt;&gt;"",MONTH(DATEVALUE('Customers Raw data'!F907)),"")</f>
        <v/>
      </c>
      <c r="J907">
        <f>YEAR(DATEVALUE('Customers Raw data'!B907))</f>
        <v>2024</v>
      </c>
      <c r="K907">
        <f>MONTH(DATEVALUE('Customers Raw data'!B907))</f>
        <v>9</v>
      </c>
      <c r="L907">
        <f ca="1">IF('Customers Raw data'!F907&lt;&gt;"",DATEDIF(DATEVALUE('Customers Raw data'!B907),DATEVALUE('Customers Raw data'!F907),"M"),DATEDIF(DATEVALUE('Customers Raw data'!B907),TODAY(),"M"))</f>
        <v>19</v>
      </c>
      <c r="M907">
        <f t="shared" ca="1" si="70"/>
        <v>9500</v>
      </c>
      <c r="N907">
        <f t="shared" si="71"/>
        <v>3</v>
      </c>
      <c r="O907">
        <f t="shared" ca="1" si="72"/>
        <v>0</v>
      </c>
      <c r="P907">
        <f t="shared" si="73"/>
        <v>0</v>
      </c>
      <c r="Q907" t="e">
        <f t="shared" si="74"/>
        <v>#VALUE!</v>
      </c>
    </row>
    <row r="908" spans="1:17" ht="15" customHeight="1" x14ac:dyDescent="0.25">
      <c r="A908">
        <f>'Customers Raw data'!A908</f>
        <v>1907</v>
      </c>
      <c r="B908" t="str">
        <f>'Customers Raw data'!B908</f>
        <v>2024-11-26</v>
      </c>
      <c r="C908" t="str">
        <f>'Customers Raw data'!C908</f>
        <v>Basic</v>
      </c>
      <c r="D908">
        <f>'Customers Raw data'!D908</f>
        <v>50</v>
      </c>
      <c r="E908">
        <f>'Customers Raw data'!E908</f>
        <v>30</v>
      </c>
      <c r="F908">
        <f>'Customers Raw data'!F908</f>
        <v>0</v>
      </c>
      <c r="G908">
        <f>IF('Customers Raw data'!F908&lt;&gt;"",1,0)</f>
        <v>0</v>
      </c>
      <c r="H908" t="str">
        <f>IF('Customers Raw data'!F908&lt;&gt;"",YEAR(DATEVALUE('Customers Raw data'!F908)),"")</f>
        <v/>
      </c>
      <c r="I908" t="str">
        <f>IF('Customers Raw data'!F908&lt;&gt;"",MONTH(DATEVALUE('Customers Raw data'!F908)),"")</f>
        <v/>
      </c>
      <c r="J908">
        <f>YEAR(DATEVALUE('Customers Raw data'!B908))</f>
        <v>2024</v>
      </c>
      <c r="K908">
        <f>MONTH(DATEVALUE('Customers Raw data'!B908))</f>
        <v>11</v>
      </c>
      <c r="L908">
        <f ca="1">IF('Customers Raw data'!F908&lt;&gt;"",DATEDIF(DATEVALUE('Customers Raw data'!B908),DATEVALUE('Customers Raw data'!F908),"M"),DATEDIF(DATEVALUE('Customers Raw data'!B908),TODAY(),"M"))</f>
        <v>16</v>
      </c>
      <c r="M908">
        <f t="shared" ca="1" si="70"/>
        <v>800</v>
      </c>
      <c r="N908">
        <f t="shared" si="71"/>
        <v>1</v>
      </c>
      <c r="O908">
        <f t="shared" ca="1" si="72"/>
        <v>0</v>
      </c>
      <c r="P908">
        <f t="shared" si="73"/>
        <v>0</v>
      </c>
      <c r="Q908" t="e">
        <f t="shared" si="74"/>
        <v>#VALUE!</v>
      </c>
    </row>
    <row r="909" spans="1:17" ht="15" customHeight="1" x14ac:dyDescent="0.25">
      <c r="A909">
        <f>'Customers Raw data'!A909</f>
        <v>1908</v>
      </c>
      <c r="B909" t="str">
        <f>'Customers Raw data'!B909</f>
        <v>2025-06-29</v>
      </c>
      <c r="C909" t="str">
        <f>'Customers Raw data'!C909</f>
        <v>Enterprise</v>
      </c>
      <c r="D909">
        <f>'Customers Raw data'!D909</f>
        <v>500</v>
      </c>
      <c r="E909">
        <f>'Customers Raw data'!E909</f>
        <v>200</v>
      </c>
      <c r="F909">
        <f>'Customers Raw data'!F909</f>
        <v>0</v>
      </c>
      <c r="G909">
        <f>IF('Customers Raw data'!F909&lt;&gt;"",1,0)</f>
        <v>0</v>
      </c>
      <c r="H909" t="str">
        <f>IF('Customers Raw data'!F909&lt;&gt;"",YEAR(DATEVALUE('Customers Raw data'!F909)),"")</f>
        <v/>
      </c>
      <c r="I909" t="str">
        <f>IF('Customers Raw data'!F909&lt;&gt;"",MONTH(DATEVALUE('Customers Raw data'!F909)),"")</f>
        <v/>
      </c>
      <c r="J909">
        <f>YEAR(DATEVALUE('Customers Raw data'!B909))</f>
        <v>2025</v>
      </c>
      <c r="K909">
        <f>MONTH(DATEVALUE('Customers Raw data'!B909))</f>
        <v>6</v>
      </c>
      <c r="L909">
        <f ca="1">IF('Customers Raw data'!F909&lt;&gt;"",DATEDIF(DATEVALUE('Customers Raw data'!B909),DATEVALUE('Customers Raw data'!F909),"M"),DATEDIF(DATEVALUE('Customers Raw data'!B909),TODAY(),"M"))</f>
        <v>9</v>
      </c>
      <c r="M909">
        <f t="shared" ca="1" si="70"/>
        <v>4500</v>
      </c>
      <c r="N909">
        <f t="shared" si="71"/>
        <v>3</v>
      </c>
      <c r="O909">
        <f t="shared" ca="1" si="72"/>
        <v>0</v>
      </c>
      <c r="P909">
        <f t="shared" si="73"/>
        <v>0</v>
      </c>
      <c r="Q909" t="e">
        <f t="shared" si="74"/>
        <v>#VALUE!</v>
      </c>
    </row>
    <row r="910" spans="1:17" ht="15" customHeight="1" x14ac:dyDescent="0.25">
      <c r="A910">
        <f>'Customers Raw data'!A910</f>
        <v>1909</v>
      </c>
      <c r="B910" t="str">
        <f>'Customers Raw data'!B910</f>
        <v>2024-10-07</v>
      </c>
      <c r="C910" t="str">
        <f>'Customers Raw data'!C910</f>
        <v>Pro</v>
      </c>
      <c r="D910">
        <f>'Customers Raw data'!D910</f>
        <v>200</v>
      </c>
      <c r="E910">
        <f>'Customers Raw data'!E910</f>
        <v>100</v>
      </c>
      <c r="F910">
        <f>'Customers Raw data'!F910</f>
        <v>0</v>
      </c>
      <c r="G910">
        <f>IF('Customers Raw data'!F910&lt;&gt;"",1,0)</f>
        <v>0</v>
      </c>
      <c r="H910" t="str">
        <f>IF('Customers Raw data'!F910&lt;&gt;"",YEAR(DATEVALUE('Customers Raw data'!F910)),"")</f>
        <v/>
      </c>
      <c r="I910" t="str">
        <f>IF('Customers Raw data'!F910&lt;&gt;"",MONTH(DATEVALUE('Customers Raw data'!F910)),"")</f>
        <v/>
      </c>
      <c r="J910">
        <f>YEAR(DATEVALUE('Customers Raw data'!B910))</f>
        <v>2024</v>
      </c>
      <c r="K910">
        <f>MONTH(DATEVALUE('Customers Raw data'!B910))</f>
        <v>10</v>
      </c>
      <c r="L910">
        <f ca="1">IF('Customers Raw data'!F910&lt;&gt;"",DATEDIF(DATEVALUE('Customers Raw data'!B910),DATEVALUE('Customers Raw data'!F910),"M"),DATEDIF(DATEVALUE('Customers Raw data'!B910),TODAY(),"M"))</f>
        <v>18</v>
      </c>
      <c r="M910">
        <f t="shared" ca="1" si="70"/>
        <v>3600</v>
      </c>
      <c r="N910">
        <f t="shared" si="71"/>
        <v>2</v>
      </c>
      <c r="O910">
        <f t="shared" ca="1" si="72"/>
        <v>0</v>
      </c>
      <c r="P910">
        <f t="shared" si="73"/>
        <v>0</v>
      </c>
      <c r="Q910" t="e">
        <f t="shared" si="74"/>
        <v>#VALUE!</v>
      </c>
    </row>
    <row r="911" spans="1:17" ht="15" customHeight="1" x14ac:dyDescent="0.25">
      <c r="A911">
        <f>'Customers Raw data'!A911</f>
        <v>1910</v>
      </c>
      <c r="B911" t="str">
        <f>'Customers Raw data'!B911</f>
        <v>2024-03-16</v>
      </c>
      <c r="C911" t="str">
        <f>'Customers Raw data'!C911</f>
        <v>Pro</v>
      </c>
      <c r="D911">
        <f>'Customers Raw data'!D911</f>
        <v>200</v>
      </c>
      <c r="E911">
        <f>'Customers Raw data'!E911</f>
        <v>100</v>
      </c>
      <c r="F911">
        <f>'Customers Raw data'!F911</f>
        <v>0</v>
      </c>
      <c r="G911">
        <f>IF('Customers Raw data'!F911&lt;&gt;"",1,0)</f>
        <v>0</v>
      </c>
      <c r="H911" t="str">
        <f>IF('Customers Raw data'!F911&lt;&gt;"",YEAR(DATEVALUE('Customers Raw data'!F911)),"")</f>
        <v/>
      </c>
      <c r="I911" t="str">
        <f>IF('Customers Raw data'!F911&lt;&gt;"",MONTH(DATEVALUE('Customers Raw data'!F911)),"")</f>
        <v/>
      </c>
      <c r="J911">
        <f>YEAR(DATEVALUE('Customers Raw data'!B911))</f>
        <v>2024</v>
      </c>
      <c r="K911">
        <f>MONTH(DATEVALUE('Customers Raw data'!B911))</f>
        <v>3</v>
      </c>
      <c r="L911">
        <f ca="1">IF('Customers Raw data'!F911&lt;&gt;"",DATEDIF(DATEVALUE('Customers Raw data'!B911),DATEVALUE('Customers Raw data'!F911),"M"),DATEDIF(DATEVALUE('Customers Raw data'!B911),TODAY(),"M"))</f>
        <v>24</v>
      </c>
      <c r="M911">
        <f t="shared" ca="1" si="70"/>
        <v>4800</v>
      </c>
      <c r="N911">
        <f t="shared" si="71"/>
        <v>2</v>
      </c>
      <c r="O911">
        <f t="shared" ca="1" si="72"/>
        <v>0</v>
      </c>
      <c r="P911">
        <f t="shared" si="73"/>
        <v>0</v>
      </c>
      <c r="Q911" t="e">
        <f t="shared" si="74"/>
        <v>#VALUE!</v>
      </c>
    </row>
    <row r="912" spans="1:17" ht="15" customHeight="1" x14ac:dyDescent="0.25">
      <c r="A912">
        <f>'Customers Raw data'!A912</f>
        <v>1911</v>
      </c>
      <c r="B912" t="str">
        <f>'Customers Raw data'!B912</f>
        <v>2024-11-15</v>
      </c>
      <c r="C912" t="str">
        <f>'Customers Raw data'!C912</f>
        <v>Pro</v>
      </c>
      <c r="D912">
        <f>'Customers Raw data'!D912</f>
        <v>200</v>
      </c>
      <c r="E912">
        <f>'Customers Raw data'!E912</f>
        <v>100</v>
      </c>
      <c r="F912">
        <f>'Customers Raw data'!F912</f>
        <v>0</v>
      </c>
      <c r="G912">
        <f>IF('Customers Raw data'!F912&lt;&gt;"",1,0)</f>
        <v>0</v>
      </c>
      <c r="H912" t="str">
        <f>IF('Customers Raw data'!F912&lt;&gt;"",YEAR(DATEVALUE('Customers Raw data'!F912)),"")</f>
        <v/>
      </c>
      <c r="I912" t="str">
        <f>IF('Customers Raw data'!F912&lt;&gt;"",MONTH(DATEVALUE('Customers Raw data'!F912)),"")</f>
        <v/>
      </c>
      <c r="J912">
        <f>YEAR(DATEVALUE('Customers Raw data'!B912))</f>
        <v>2024</v>
      </c>
      <c r="K912">
        <f>MONTH(DATEVALUE('Customers Raw data'!B912))</f>
        <v>11</v>
      </c>
      <c r="L912">
        <f ca="1">IF('Customers Raw data'!F912&lt;&gt;"",DATEDIF(DATEVALUE('Customers Raw data'!B912),DATEVALUE('Customers Raw data'!F912),"M"),DATEDIF(DATEVALUE('Customers Raw data'!B912),TODAY(),"M"))</f>
        <v>16</v>
      </c>
      <c r="M912">
        <f t="shared" ca="1" si="70"/>
        <v>3200</v>
      </c>
      <c r="N912">
        <f t="shared" si="71"/>
        <v>2</v>
      </c>
      <c r="O912">
        <f t="shared" ca="1" si="72"/>
        <v>0</v>
      </c>
      <c r="P912">
        <f t="shared" si="73"/>
        <v>0</v>
      </c>
      <c r="Q912" t="e">
        <f t="shared" si="74"/>
        <v>#VALUE!</v>
      </c>
    </row>
    <row r="913" spans="1:17" ht="15" customHeight="1" x14ac:dyDescent="0.25">
      <c r="A913">
        <f>'Customers Raw data'!A913</f>
        <v>1912</v>
      </c>
      <c r="B913" t="str">
        <f>'Customers Raw data'!B913</f>
        <v>2024-09-20</v>
      </c>
      <c r="C913" t="str">
        <f>'Customers Raw data'!C913</f>
        <v>Basic</v>
      </c>
      <c r="D913">
        <f>'Customers Raw data'!D913</f>
        <v>50</v>
      </c>
      <c r="E913">
        <f>'Customers Raw data'!E913</f>
        <v>30</v>
      </c>
      <c r="F913">
        <f>'Customers Raw data'!F913</f>
        <v>0</v>
      </c>
      <c r="G913">
        <f>IF('Customers Raw data'!F913&lt;&gt;"",1,0)</f>
        <v>0</v>
      </c>
      <c r="H913" t="str">
        <f>IF('Customers Raw data'!F913&lt;&gt;"",YEAR(DATEVALUE('Customers Raw data'!F913)),"")</f>
        <v/>
      </c>
      <c r="I913" t="str">
        <f>IF('Customers Raw data'!F913&lt;&gt;"",MONTH(DATEVALUE('Customers Raw data'!F913)),"")</f>
        <v/>
      </c>
      <c r="J913">
        <f>YEAR(DATEVALUE('Customers Raw data'!B913))</f>
        <v>2024</v>
      </c>
      <c r="K913">
        <f>MONTH(DATEVALUE('Customers Raw data'!B913))</f>
        <v>9</v>
      </c>
      <c r="L913">
        <f ca="1">IF('Customers Raw data'!F913&lt;&gt;"",DATEDIF(DATEVALUE('Customers Raw data'!B913),DATEVALUE('Customers Raw data'!F913),"M"),DATEDIF(DATEVALUE('Customers Raw data'!B913),TODAY(),"M"))</f>
        <v>18</v>
      </c>
      <c r="M913">
        <f t="shared" ca="1" si="70"/>
        <v>900</v>
      </c>
      <c r="N913">
        <f t="shared" si="71"/>
        <v>1</v>
      </c>
      <c r="O913">
        <f t="shared" ca="1" si="72"/>
        <v>0</v>
      </c>
      <c r="P913">
        <f t="shared" si="73"/>
        <v>0</v>
      </c>
      <c r="Q913" t="e">
        <f t="shared" si="74"/>
        <v>#VALUE!</v>
      </c>
    </row>
    <row r="914" spans="1:17" ht="15" customHeight="1" x14ac:dyDescent="0.25">
      <c r="A914">
        <f>'Customers Raw data'!A914</f>
        <v>1913</v>
      </c>
      <c r="B914" t="str">
        <f>'Customers Raw data'!B914</f>
        <v>2024-03-24</v>
      </c>
      <c r="C914" t="str">
        <f>'Customers Raw data'!C914</f>
        <v>Enterprise</v>
      </c>
      <c r="D914">
        <f>'Customers Raw data'!D914</f>
        <v>500</v>
      </c>
      <c r="E914">
        <f>'Customers Raw data'!E914</f>
        <v>200</v>
      </c>
      <c r="F914">
        <f>'Customers Raw data'!F914</f>
        <v>0</v>
      </c>
      <c r="G914">
        <f>IF('Customers Raw data'!F914&lt;&gt;"",1,0)</f>
        <v>0</v>
      </c>
      <c r="H914" t="str">
        <f>IF('Customers Raw data'!F914&lt;&gt;"",YEAR(DATEVALUE('Customers Raw data'!F914)),"")</f>
        <v/>
      </c>
      <c r="I914" t="str">
        <f>IF('Customers Raw data'!F914&lt;&gt;"",MONTH(DATEVALUE('Customers Raw data'!F914)),"")</f>
        <v/>
      </c>
      <c r="J914">
        <f>YEAR(DATEVALUE('Customers Raw data'!B914))</f>
        <v>2024</v>
      </c>
      <c r="K914">
        <f>MONTH(DATEVALUE('Customers Raw data'!B914))</f>
        <v>3</v>
      </c>
      <c r="L914">
        <f ca="1">IF('Customers Raw data'!F914&lt;&gt;"",DATEDIF(DATEVALUE('Customers Raw data'!B914),DATEVALUE('Customers Raw data'!F914),"M"),DATEDIF(DATEVALUE('Customers Raw data'!B914),TODAY(),"M"))</f>
        <v>24</v>
      </c>
      <c r="M914">
        <f t="shared" ca="1" si="70"/>
        <v>12000</v>
      </c>
      <c r="N914">
        <f t="shared" si="71"/>
        <v>3</v>
      </c>
      <c r="O914">
        <f t="shared" ca="1" si="72"/>
        <v>0</v>
      </c>
      <c r="P914">
        <f t="shared" si="73"/>
        <v>0</v>
      </c>
      <c r="Q914" t="e">
        <f t="shared" si="74"/>
        <v>#VALUE!</v>
      </c>
    </row>
    <row r="915" spans="1:17" ht="15" customHeight="1" x14ac:dyDescent="0.25">
      <c r="A915">
        <f>'Customers Raw data'!A915</f>
        <v>1914</v>
      </c>
      <c r="B915" t="str">
        <f>'Customers Raw data'!B915</f>
        <v>2025-05-31</v>
      </c>
      <c r="C915" t="str">
        <f>'Customers Raw data'!C915</f>
        <v>Enterprise</v>
      </c>
      <c r="D915">
        <f>'Customers Raw data'!D915</f>
        <v>500</v>
      </c>
      <c r="E915">
        <f>'Customers Raw data'!E915</f>
        <v>200</v>
      </c>
      <c r="F915">
        <f>'Customers Raw data'!F915</f>
        <v>0</v>
      </c>
      <c r="G915">
        <f>IF('Customers Raw data'!F915&lt;&gt;"",1,0)</f>
        <v>0</v>
      </c>
      <c r="H915" t="str">
        <f>IF('Customers Raw data'!F915&lt;&gt;"",YEAR(DATEVALUE('Customers Raw data'!F915)),"")</f>
        <v/>
      </c>
      <c r="I915" t="str">
        <f>IF('Customers Raw data'!F915&lt;&gt;"",MONTH(DATEVALUE('Customers Raw data'!F915)),"")</f>
        <v/>
      </c>
      <c r="J915">
        <f>YEAR(DATEVALUE('Customers Raw data'!B915))</f>
        <v>2025</v>
      </c>
      <c r="K915">
        <f>MONTH(DATEVALUE('Customers Raw data'!B915))</f>
        <v>5</v>
      </c>
      <c r="L915">
        <f ca="1">IF('Customers Raw data'!F915&lt;&gt;"",DATEDIF(DATEVALUE('Customers Raw data'!B915),DATEVALUE('Customers Raw data'!F915),"M"),DATEDIF(DATEVALUE('Customers Raw data'!B915),TODAY(),"M"))</f>
        <v>10</v>
      </c>
      <c r="M915">
        <f t="shared" ca="1" si="70"/>
        <v>5000</v>
      </c>
      <c r="N915">
        <f t="shared" si="71"/>
        <v>3</v>
      </c>
      <c r="O915">
        <f t="shared" ca="1" si="72"/>
        <v>0</v>
      </c>
      <c r="P915">
        <f t="shared" si="73"/>
        <v>0</v>
      </c>
      <c r="Q915" t="e">
        <f t="shared" si="74"/>
        <v>#VALUE!</v>
      </c>
    </row>
    <row r="916" spans="1:17" ht="15" customHeight="1" x14ac:dyDescent="0.25">
      <c r="A916">
        <f>'Customers Raw data'!A916</f>
        <v>1915</v>
      </c>
      <c r="B916" t="str">
        <f>'Customers Raw data'!B916</f>
        <v>2024-11-27</v>
      </c>
      <c r="C916" t="str">
        <f>'Customers Raw data'!C916</f>
        <v>Pro</v>
      </c>
      <c r="D916">
        <f>'Customers Raw data'!D916</f>
        <v>200</v>
      </c>
      <c r="E916">
        <f>'Customers Raw data'!E916</f>
        <v>100</v>
      </c>
      <c r="F916">
        <f>'Customers Raw data'!F916</f>
        <v>0</v>
      </c>
      <c r="G916">
        <f>IF('Customers Raw data'!F916&lt;&gt;"",1,0)</f>
        <v>0</v>
      </c>
      <c r="H916" t="str">
        <f>IF('Customers Raw data'!F916&lt;&gt;"",YEAR(DATEVALUE('Customers Raw data'!F916)),"")</f>
        <v/>
      </c>
      <c r="I916" t="str">
        <f>IF('Customers Raw data'!F916&lt;&gt;"",MONTH(DATEVALUE('Customers Raw data'!F916)),"")</f>
        <v/>
      </c>
      <c r="J916">
        <f>YEAR(DATEVALUE('Customers Raw data'!B916))</f>
        <v>2024</v>
      </c>
      <c r="K916">
        <f>MONTH(DATEVALUE('Customers Raw data'!B916))</f>
        <v>11</v>
      </c>
      <c r="L916">
        <f ca="1">IF('Customers Raw data'!F916&lt;&gt;"",DATEDIF(DATEVALUE('Customers Raw data'!B916),DATEVALUE('Customers Raw data'!F916),"M"),DATEDIF(DATEVALUE('Customers Raw data'!B916),TODAY(),"M"))</f>
        <v>16</v>
      </c>
      <c r="M916">
        <f t="shared" ca="1" si="70"/>
        <v>3200</v>
      </c>
      <c r="N916">
        <f t="shared" si="71"/>
        <v>2</v>
      </c>
      <c r="O916">
        <f t="shared" ca="1" si="72"/>
        <v>0</v>
      </c>
      <c r="P916">
        <f t="shared" si="73"/>
        <v>0</v>
      </c>
      <c r="Q916" t="e">
        <f t="shared" si="74"/>
        <v>#VALUE!</v>
      </c>
    </row>
    <row r="917" spans="1:17" ht="15" customHeight="1" x14ac:dyDescent="0.25">
      <c r="A917">
        <f>'Customers Raw data'!A917</f>
        <v>1916</v>
      </c>
      <c r="B917" t="str">
        <f>'Customers Raw data'!B917</f>
        <v>2024-10-27</v>
      </c>
      <c r="C917" t="str">
        <f>'Customers Raw data'!C917</f>
        <v>Basic</v>
      </c>
      <c r="D917">
        <f>'Customers Raw data'!D917</f>
        <v>50</v>
      </c>
      <c r="E917">
        <f>'Customers Raw data'!E917</f>
        <v>30</v>
      </c>
      <c r="F917">
        <f>'Customers Raw data'!F917</f>
        <v>0</v>
      </c>
      <c r="G917">
        <f>IF('Customers Raw data'!F917&lt;&gt;"",1,0)</f>
        <v>0</v>
      </c>
      <c r="H917" t="str">
        <f>IF('Customers Raw data'!F917&lt;&gt;"",YEAR(DATEVALUE('Customers Raw data'!F917)),"")</f>
        <v/>
      </c>
      <c r="I917" t="str">
        <f>IF('Customers Raw data'!F917&lt;&gt;"",MONTH(DATEVALUE('Customers Raw data'!F917)),"")</f>
        <v/>
      </c>
      <c r="J917">
        <f>YEAR(DATEVALUE('Customers Raw data'!B917))</f>
        <v>2024</v>
      </c>
      <c r="K917">
        <f>MONTH(DATEVALUE('Customers Raw data'!B917))</f>
        <v>10</v>
      </c>
      <c r="L917">
        <f ca="1">IF('Customers Raw data'!F917&lt;&gt;"",DATEDIF(DATEVALUE('Customers Raw data'!B917),DATEVALUE('Customers Raw data'!F917),"M"),DATEDIF(DATEVALUE('Customers Raw data'!B917),TODAY(),"M"))</f>
        <v>17</v>
      </c>
      <c r="M917">
        <f t="shared" ca="1" si="70"/>
        <v>850</v>
      </c>
      <c r="N917">
        <f t="shared" si="71"/>
        <v>1</v>
      </c>
      <c r="O917">
        <f t="shared" ca="1" si="72"/>
        <v>0</v>
      </c>
      <c r="P917">
        <f t="shared" si="73"/>
        <v>0</v>
      </c>
      <c r="Q917" t="e">
        <f t="shared" si="74"/>
        <v>#VALUE!</v>
      </c>
    </row>
    <row r="918" spans="1:17" ht="15" customHeight="1" x14ac:dyDescent="0.25">
      <c r="A918">
        <f>'Customers Raw data'!A918</f>
        <v>1917</v>
      </c>
      <c r="B918" t="str">
        <f>'Customers Raw data'!B918</f>
        <v>2025-02-09</v>
      </c>
      <c r="C918" t="str">
        <f>'Customers Raw data'!C918</f>
        <v>Basic</v>
      </c>
      <c r="D918">
        <f>'Customers Raw data'!D918</f>
        <v>50</v>
      </c>
      <c r="E918">
        <f>'Customers Raw data'!E918</f>
        <v>30</v>
      </c>
      <c r="F918">
        <f>'Customers Raw data'!F918</f>
        <v>0</v>
      </c>
      <c r="G918">
        <f>IF('Customers Raw data'!F918&lt;&gt;"",1,0)</f>
        <v>0</v>
      </c>
      <c r="H918" t="str">
        <f>IF('Customers Raw data'!F918&lt;&gt;"",YEAR(DATEVALUE('Customers Raw data'!F918)),"")</f>
        <v/>
      </c>
      <c r="I918" t="str">
        <f>IF('Customers Raw data'!F918&lt;&gt;"",MONTH(DATEVALUE('Customers Raw data'!F918)),"")</f>
        <v/>
      </c>
      <c r="J918">
        <f>YEAR(DATEVALUE('Customers Raw data'!B918))</f>
        <v>2025</v>
      </c>
      <c r="K918">
        <f>MONTH(DATEVALUE('Customers Raw data'!B918))</f>
        <v>2</v>
      </c>
      <c r="L918">
        <f ca="1">IF('Customers Raw data'!F918&lt;&gt;"",DATEDIF(DATEVALUE('Customers Raw data'!B918),DATEVALUE('Customers Raw data'!F918),"M"),DATEDIF(DATEVALUE('Customers Raw data'!B918),TODAY(),"M"))</f>
        <v>13</v>
      </c>
      <c r="M918">
        <f t="shared" ca="1" si="70"/>
        <v>650</v>
      </c>
      <c r="N918">
        <f t="shared" si="71"/>
        <v>1</v>
      </c>
      <c r="O918">
        <f t="shared" ca="1" si="72"/>
        <v>0</v>
      </c>
      <c r="P918">
        <f t="shared" si="73"/>
        <v>0</v>
      </c>
      <c r="Q918" t="e">
        <f t="shared" si="74"/>
        <v>#VALUE!</v>
      </c>
    </row>
    <row r="919" spans="1:17" ht="15" customHeight="1" x14ac:dyDescent="0.25">
      <c r="A919">
        <f>'Customers Raw data'!A919</f>
        <v>1918</v>
      </c>
      <c r="B919" t="str">
        <f>'Customers Raw data'!B919</f>
        <v>2024-06-22</v>
      </c>
      <c r="C919" t="str">
        <f>'Customers Raw data'!C919</f>
        <v>Pro</v>
      </c>
      <c r="D919">
        <f>'Customers Raw data'!D919</f>
        <v>200</v>
      </c>
      <c r="E919">
        <f>'Customers Raw data'!E919</f>
        <v>100</v>
      </c>
      <c r="F919" t="str">
        <f>'Customers Raw data'!F919</f>
        <v>2024-12-13</v>
      </c>
      <c r="G919">
        <f>IF('Customers Raw data'!F919&lt;&gt;"",1,0)</f>
        <v>1</v>
      </c>
      <c r="H919">
        <f>IF('Customers Raw data'!F919&lt;&gt;"",YEAR(DATEVALUE('Customers Raw data'!F919)),"")</f>
        <v>2024</v>
      </c>
      <c r="I919">
        <f>IF('Customers Raw data'!F919&lt;&gt;"",MONTH(DATEVALUE('Customers Raw data'!F919)),"")</f>
        <v>12</v>
      </c>
      <c r="J919">
        <f>YEAR(DATEVALUE('Customers Raw data'!B919))</f>
        <v>2024</v>
      </c>
      <c r="K919">
        <f>MONTH(DATEVALUE('Customers Raw data'!B919))</f>
        <v>6</v>
      </c>
      <c r="L919">
        <f ca="1">IF('Customers Raw data'!F919&lt;&gt;"",DATEDIF(DATEVALUE('Customers Raw data'!B919),DATEVALUE('Customers Raw data'!F919),"M"),DATEDIF(DATEVALUE('Customers Raw data'!B919),TODAY(),"M"))</f>
        <v>5</v>
      </c>
      <c r="M919">
        <f t="shared" ca="1" si="70"/>
        <v>1000</v>
      </c>
      <c r="N919">
        <f t="shared" si="71"/>
        <v>2</v>
      </c>
      <c r="O919">
        <f t="shared" ca="1" si="72"/>
        <v>1</v>
      </c>
      <c r="P919">
        <f t="shared" si="73"/>
        <v>200</v>
      </c>
      <c r="Q919" t="str">
        <f t="shared" si="74"/>
        <v>2024-12</v>
      </c>
    </row>
    <row r="920" spans="1:17" ht="15" customHeight="1" x14ac:dyDescent="0.25">
      <c r="A920">
        <f>'Customers Raw data'!A920</f>
        <v>1919</v>
      </c>
      <c r="B920" t="str">
        <f>'Customers Raw data'!B920</f>
        <v>2024-03-09</v>
      </c>
      <c r="C920" t="str">
        <f>'Customers Raw data'!C920</f>
        <v>Basic</v>
      </c>
      <c r="D920">
        <f>'Customers Raw data'!D920</f>
        <v>50</v>
      </c>
      <c r="E920">
        <f>'Customers Raw data'!E920</f>
        <v>30</v>
      </c>
      <c r="F920">
        <f>'Customers Raw data'!F920</f>
        <v>0</v>
      </c>
      <c r="G920">
        <f>IF('Customers Raw data'!F920&lt;&gt;"",1,0)</f>
        <v>0</v>
      </c>
      <c r="H920" t="str">
        <f>IF('Customers Raw data'!F920&lt;&gt;"",YEAR(DATEVALUE('Customers Raw data'!F920)),"")</f>
        <v/>
      </c>
      <c r="I920" t="str">
        <f>IF('Customers Raw data'!F920&lt;&gt;"",MONTH(DATEVALUE('Customers Raw data'!F920)),"")</f>
        <v/>
      </c>
      <c r="J920">
        <f>YEAR(DATEVALUE('Customers Raw data'!B920))</f>
        <v>2024</v>
      </c>
      <c r="K920">
        <f>MONTH(DATEVALUE('Customers Raw data'!B920))</f>
        <v>3</v>
      </c>
      <c r="L920">
        <f ca="1">IF('Customers Raw data'!F920&lt;&gt;"",DATEDIF(DATEVALUE('Customers Raw data'!B920),DATEVALUE('Customers Raw data'!F920),"M"),DATEDIF(DATEVALUE('Customers Raw data'!B920),TODAY(),"M"))</f>
        <v>24</v>
      </c>
      <c r="M920">
        <f t="shared" ca="1" si="70"/>
        <v>1200</v>
      </c>
      <c r="N920">
        <f t="shared" si="71"/>
        <v>1</v>
      </c>
      <c r="O920">
        <f t="shared" ca="1" si="72"/>
        <v>0</v>
      </c>
      <c r="P920">
        <f t="shared" si="73"/>
        <v>0</v>
      </c>
      <c r="Q920" t="e">
        <f t="shared" si="74"/>
        <v>#VALUE!</v>
      </c>
    </row>
    <row r="921" spans="1:17" ht="15" customHeight="1" x14ac:dyDescent="0.25">
      <c r="A921">
        <f>'Customers Raw data'!A921</f>
        <v>1920</v>
      </c>
      <c r="B921" t="str">
        <f>'Customers Raw data'!B921</f>
        <v>2024-04-11</v>
      </c>
      <c r="C921" t="str">
        <f>'Customers Raw data'!C921</f>
        <v>Pro</v>
      </c>
      <c r="D921">
        <f>'Customers Raw data'!D921</f>
        <v>200</v>
      </c>
      <c r="E921">
        <f>'Customers Raw data'!E921</f>
        <v>100</v>
      </c>
      <c r="F921">
        <f>'Customers Raw data'!F921</f>
        <v>0</v>
      </c>
      <c r="G921">
        <f>IF('Customers Raw data'!F921&lt;&gt;"",1,0)</f>
        <v>0</v>
      </c>
      <c r="H921" t="str">
        <f>IF('Customers Raw data'!F921&lt;&gt;"",YEAR(DATEVALUE('Customers Raw data'!F921)),"")</f>
        <v/>
      </c>
      <c r="I921" t="str">
        <f>IF('Customers Raw data'!F921&lt;&gt;"",MONTH(DATEVALUE('Customers Raw data'!F921)),"")</f>
        <v/>
      </c>
      <c r="J921">
        <f>YEAR(DATEVALUE('Customers Raw data'!B921))</f>
        <v>2024</v>
      </c>
      <c r="K921">
        <f>MONTH(DATEVALUE('Customers Raw data'!B921))</f>
        <v>4</v>
      </c>
      <c r="L921">
        <f ca="1">IF('Customers Raw data'!F921&lt;&gt;"",DATEDIF(DATEVALUE('Customers Raw data'!B921),DATEVALUE('Customers Raw data'!F921),"M"),DATEDIF(DATEVALUE('Customers Raw data'!B921),TODAY(),"M"))</f>
        <v>23</v>
      </c>
      <c r="M921">
        <f t="shared" ca="1" si="70"/>
        <v>4600</v>
      </c>
      <c r="N921">
        <f t="shared" si="71"/>
        <v>2</v>
      </c>
      <c r="O921">
        <f t="shared" ca="1" si="72"/>
        <v>0</v>
      </c>
      <c r="P921">
        <f t="shared" si="73"/>
        <v>0</v>
      </c>
      <c r="Q921" t="e">
        <f t="shared" si="74"/>
        <v>#VALUE!</v>
      </c>
    </row>
    <row r="922" spans="1:17" ht="15" customHeight="1" x14ac:dyDescent="0.25">
      <c r="A922">
        <f>'Customers Raw data'!A922</f>
        <v>1921</v>
      </c>
      <c r="B922" t="str">
        <f>'Customers Raw data'!B922</f>
        <v>2024-10-29</v>
      </c>
      <c r="C922" t="str">
        <f>'Customers Raw data'!C922</f>
        <v>Enterprise</v>
      </c>
      <c r="D922">
        <f>'Customers Raw data'!D922</f>
        <v>500</v>
      </c>
      <c r="E922">
        <f>'Customers Raw data'!E922</f>
        <v>200</v>
      </c>
      <c r="F922">
        <f>'Customers Raw data'!F922</f>
        <v>0</v>
      </c>
      <c r="G922">
        <f>IF('Customers Raw data'!F922&lt;&gt;"",1,0)</f>
        <v>0</v>
      </c>
      <c r="H922" t="str">
        <f>IF('Customers Raw data'!F922&lt;&gt;"",YEAR(DATEVALUE('Customers Raw data'!F922)),"")</f>
        <v/>
      </c>
      <c r="I922" t="str">
        <f>IF('Customers Raw data'!F922&lt;&gt;"",MONTH(DATEVALUE('Customers Raw data'!F922)),"")</f>
        <v/>
      </c>
      <c r="J922">
        <f>YEAR(DATEVALUE('Customers Raw data'!B922))</f>
        <v>2024</v>
      </c>
      <c r="K922">
        <f>MONTH(DATEVALUE('Customers Raw data'!B922))</f>
        <v>10</v>
      </c>
      <c r="L922">
        <f ca="1">IF('Customers Raw data'!F922&lt;&gt;"",DATEDIF(DATEVALUE('Customers Raw data'!B922),DATEVALUE('Customers Raw data'!F922),"M"),DATEDIF(DATEVALUE('Customers Raw data'!B922),TODAY(),"M"))</f>
        <v>17</v>
      </c>
      <c r="M922">
        <f t="shared" ca="1" si="70"/>
        <v>8500</v>
      </c>
      <c r="N922">
        <f t="shared" si="71"/>
        <v>3</v>
      </c>
      <c r="O922">
        <f t="shared" ca="1" si="72"/>
        <v>0</v>
      </c>
      <c r="P922">
        <f t="shared" si="73"/>
        <v>0</v>
      </c>
      <c r="Q922" t="e">
        <f t="shared" si="74"/>
        <v>#VALUE!</v>
      </c>
    </row>
    <row r="923" spans="1:17" ht="15" customHeight="1" x14ac:dyDescent="0.25">
      <c r="A923">
        <f>'Customers Raw data'!A923</f>
        <v>1922</v>
      </c>
      <c r="B923" t="str">
        <f>'Customers Raw data'!B923</f>
        <v>2024-05-16</v>
      </c>
      <c r="C923" t="str">
        <f>'Customers Raw data'!C923</f>
        <v>Enterprise</v>
      </c>
      <c r="D923">
        <f>'Customers Raw data'!D923</f>
        <v>500</v>
      </c>
      <c r="E923">
        <f>'Customers Raw data'!E923</f>
        <v>200</v>
      </c>
      <c r="F923">
        <f>'Customers Raw data'!F923</f>
        <v>0</v>
      </c>
      <c r="G923">
        <f>IF('Customers Raw data'!F923&lt;&gt;"",1,0)</f>
        <v>0</v>
      </c>
      <c r="H923" t="str">
        <f>IF('Customers Raw data'!F923&lt;&gt;"",YEAR(DATEVALUE('Customers Raw data'!F923)),"")</f>
        <v/>
      </c>
      <c r="I923" t="str">
        <f>IF('Customers Raw data'!F923&lt;&gt;"",MONTH(DATEVALUE('Customers Raw data'!F923)),"")</f>
        <v/>
      </c>
      <c r="J923">
        <f>YEAR(DATEVALUE('Customers Raw data'!B923))</f>
        <v>2024</v>
      </c>
      <c r="K923">
        <f>MONTH(DATEVALUE('Customers Raw data'!B923))</f>
        <v>5</v>
      </c>
      <c r="L923">
        <f ca="1">IF('Customers Raw data'!F923&lt;&gt;"",DATEDIF(DATEVALUE('Customers Raw data'!B923),DATEVALUE('Customers Raw data'!F923),"M"),DATEDIF(DATEVALUE('Customers Raw data'!B923),TODAY(),"M"))</f>
        <v>22</v>
      </c>
      <c r="M923">
        <f t="shared" ca="1" si="70"/>
        <v>11000</v>
      </c>
      <c r="N923">
        <f t="shared" si="71"/>
        <v>3</v>
      </c>
      <c r="O923">
        <f t="shared" ca="1" si="72"/>
        <v>0</v>
      </c>
      <c r="P923">
        <f t="shared" si="73"/>
        <v>0</v>
      </c>
      <c r="Q923" t="e">
        <f t="shared" si="74"/>
        <v>#VALUE!</v>
      </c>
    </row>
    <row r="924" spans="1:17" ht="15" customHeight="1" x14ac:dyDescent="0.25">
      <c r="A924">
        <f>'Customers Raw data'!A924</f>
        <v>1923</v>
      </c>
      <c r="B924" t="str">
        <f>'Customers Raw data'!B924</f>
        <v>2025-06-23</v>
      </c>
      <c r="C924" t="str">
        <f>'Customers Raw data'!C924</f>
        <v>Basic</v>
      </c>
      <c r="D924">
        <f>'Customers Raw data'!D924</f>
        <v>50</v>
      </c>
      <c r="E924">
        <f>'Customers Raw data'!E924</f>
        <v>30</v>
      </c>
      <c r="F924">
        <f>'Customers Raw data'!F924</f>
        <v>0</v>
      </c>
      <c r="G924">
        <f>IF('Customers Raw data'!F924&lt;&gt;"",1,0)</f>
        <v>0</v>
      </c>
      <c r="H924" t="str">
        <f>IF('Customers Raw data'!F924&lt;&gt;"",YEAR(DATEVALUE('Customers Raw data'!F924)),"")</f>
        <v/>
      </c>
      <c r="I924" t="str">
        <f>IF('Customers Raw data'!F924&lt;&gt;"",MONTH(DATEVALUE('Customers Raw data'!F924)),"")</f>
        <v/>
      </c>
      <c r="J924">
        <f>YEAR(DATEVALUE('Customers Raw data'!B924))</f>
        <v>2025</v>
      </c>
      <c r="K924">
        <f>MONTH(DATEVALUE('Customers Raw data'!B924))</f>
        <v>6</v>
      </c>
      <c r="L924">
        <f ca="1">IF('Customers Raw data'!F924&lt;&gt;"",DATEDIF(DATEVALUE('Customers Raw data'!B924),DATEVALUE('Customers Raw data'!F924),"M"),DATEDIF(DATEVALUE('Customers Raw data'!B924),TODAY(),"M"))</f>
        <v>9</v>
      </c>
      <c r="M924">
        <f t="shared" ca="1" si="70"/>
        <v>450</v>
      </c>
      <c r="N924">
        <f t="shared" si="71"/>
        <v>1</v>
      </c>
      <c r="O924">
        <f t="shared" ca="1" si="72"/>
        <v>0</v>
      </c>
      <c r="P924">
        <f t="shared" si="73"/>
        <v>0</v>
      </c>
      <c r="Q924" t="e">
        <f t="shared" si="74"/>
        <v>#VALUE!</v>
      </c>
    </row>
    <row r="925" spans="1:17" ht="15" customHeight="1" x14ac:dyDescent="0.25">
      <c r="A925">
        <f>'Customers Raw data'!A925</f>
        <v>1924</v>
      </c>
      <c r="B925" t="str">
        <f>'Customers Raw data'!B925</f>
        <v>2024-10-26</v>
      </c>
      <c r="C925" t="str">
        <f>'Customers Raw data'!C925</f>
        <v>Basic</v>
      </c>
      <c r="D925">
        <f>'Customers Raw data'!D925</f>
        <v>50</v>
      </c>
      <c r="E925">
        <f>'Customers Raw data'!E925</f>
        <v>30</v>
      </c>
      <c r="F925" t="str">
        <f>'Customers Raw data'!F925</f>
        <v>2025-06-20</v>
      </c>
      <c r="G925">
        <f>IF('Customers Raw data'!F925&lt;&gt;"",1,0)</f>
        <v>1</v>
      </c>
      <c r="H925">
        <f>IF('Customers Raw data'!F925&lt;&gt;"",YEAR(DATEVALUE('Customers Raw data'!F925)),"")</f>
        <v>2025</v>
      </c>
      <c r="I925">
        <f>IF('Customers Raw data'!F925&lt;&gt;"",MONTH(DATEVALUE('Customers Raw data'!F925)),"")</f>
        <v>6</v>
      </c>
      <c r="J925">
        <f>YEAR(DATEVALUE('Customers Raw data'!B925))</f>
        <v>2024</v>
      </c>
      <c r="K925">
        <f>MONTH(DATEVALUE('Customers Raw data'!B925))</f>
        <v>10</v>
      </c>
      <c r="L925">
        <f ca="1">IF('Customers Raw data'!F925&lt;&gt;"",DATEDIF(DATEVALUE('Customers Raw data'!B925),DATEVALUE('Customers Raw data'!F925),"M"),DATEDIF(DATEVALUE('Customers Raw data'!B925),TODAY(),"M"))</f>
        <v>7</v>
      </c>
      <c r="M925">
        <f t="shared" ca="1" si="70"/>
        <v>350</v>
      </c>
      <c r="N925">
        <f t="shared" si="71"/>
        <v>1</v>
      </c>
      <c r="O925">
        <f t="shared" ca="1" si="72"/>
        <v>0</v>
      </c>
      <c r="P925">
        <f t="shared" si="73"/>
        <v>50</v>
      </c>
      <c r="Q925" t="str">
        <f t="shared" si="74"/>
        <v>2025-06</v>
      </c>
    </row>
    <row r="926" spans="1:17" ht="15" customHeight="1" x14ac:dyDescent="0.25">
      <c r="A926">
        <f>'Customers Raw data'!A926</f>
        <v>1925</v>
      </c>
      <c r="B926" t="str">
        <f>'Customers Raw data'!B926</f>
        <v>2024-03-01</v>
      </c>
      <c r="C926" t="str">
        <f>'Customers Raw data'!C926</f>
        <v>Basic</v>
      </c>
      <c r="D926">
        <f>'Customers Raw data'!D926</f>
        <v>50</v>
      </c>
      <c r="E926">
        <f>'Customers Raw data'!E926</f>
        <v>30</v>
      </c>
      <c r="F926">
        <f>'Customers Raw data'!F926</f>
        <v>0</v>
      </c>
      <c r="G926">
        <f>IF('Customers Raw data'!F926&lt;&gt;"",1,0)</f>
        <v>0</v>
      </c>
      <c r="H926" t="str">
        <f>IF('Customers Raw data'!F926&lt;&gt;"",YEAR(DATEVALUE('Customers Raw data'!F926)),"")</f>
        <v/>
      </c>
      <c r="I926" t="str">
        <f>IF('Customers Raw data'!F926&lt;&gt;"",MONTH(DATEVALUE('Customers Raw data'!F926)),"")</f>
        <v/>
      </c>
      <c r="J926">
        <f>YEAR(DATEVALUE('Customers Raw data'!B926))</f>
        <v>2024</v>
      </c>
      <c r="K926">
        <f>MONTH(DATEVALUE('Customers Raw data'!B926))</f>
        <v>3</v>
      </c>
      <c r="L926">
        <f ca="1">IF('Customers Raw data'!F926&lt;&gt;"",DATEDIF(DATEVALUE('Customers Raw data'!B926),DATEVALUE('Customers Raw data'!F926),"M"),DATEDIF(DATEVALUE('Customers Raw data'!B926),TODAY(),"M"))</f>
        <v>25</v>
      </c>
      <c r="M926">
        <f t="shared" ca="1" si="70"/>
        <v>1250</v>
      </c>
      <c r="N926">
        <f t="shared" si="71"/>
        <v>1</v>
      </c>
      <c r="O926">
        <f t="shared" ca="1" si="72"/>
        <v>0</v>
      </c>
      <c r="P926">
        <f t="shared" si="73"/>
        <v>0</v>
      </c>
      <c r="Q926" t="e">
        <f t="shared" si="74"/>
        <v>#VALUE!</v>
      </c>
    </row>
    <row r="927" spans="1:17" ht="15" customHeight="1" x14ac:dyDescent="0.25">
      <c r="A927">
        <f>'Customers Raw data'!A927</f>
        <v>1926</v>
      </c>
      <c r="B927" t="str">
        <f>'Customers Raw data'!B927</f>
        <v>2024-01-07</v>
      </c>
      <c r="C927" t="str">
        <f>'Customers Raw data'!C927</f>
        <v>Enterprise</v>
      </c>
      <c r="D927">
        <f>'Customers Raw data'!D927</f>
        <v>500</v>
      </c>
      <c r="E927">
        <f>'Customers Raw data'!E927</f>
        <v>200</v>
      </c>
      <c r="F927">
        <f>'Customers Raw data'!F927</f>
        <v>0</v>
      </c>
      <c r="G927">
        <f>IF('Customers Raw data'!F927&lt;&gt;"",1,0)</f>
        <v>0</v>
      </c>
      <c r="H927" t="str">
        <f>IF('Customers Raw data'!F927&lt;&gt;"",YEAR(DATEVALUE('Customers Raw data'!F927)),"")</f>
        <v/>
      </c>
      <c r="I927" t="str">
        <f>IF('Customers Raw data'!F927&lt;&gt;"",MONTH(DATEVALUE('Customers Raw data'!F927)),"")</f>
        <v/>
      </c>
      <c r="J927">
        <f>YEAR(DATEVALUE('Customers Raw data'!B927))</f>
        <v>2024</v>
      </c>
      <c r="K927">
        <f>MONTH(DATEVALUE('Customers Raw data'!B927))</f>
        <v>1</v>
      </c>
      <c r="L927">
        <f ca="1">IF('Customers Raw data'!F927&lt;&gt;"",DATEDIF(DATEVALUE('Customers Raw data'!B927),DATEVALUE('Customers Raw data'!F927),"M"),DATEDIF(DATEVALUE('Customers Raw data'!B927),TODAY(),"M"))</f>
        <v>27</v>
      </c>
      <c r="M927">
        <f t="shared" ca="1" si="70"/>
        <v>13500</v>
      </c>
      <c r="N927">
        <f t="shared" si="71"/>
        <v>3</v>
      </c>
      <c r="O927">
        <f t="shared" ca="1" si="72"/>
        <v>0</v>
      </c>
      <c r="P927">
        <f t="shared" si="73"/>
        <v>0</v>
      </c>
      <c r="Q927" t="e">
        <f t="shared" si="74"/>
        <v>#VALUE!</v>
      </c>
    </row>
    <row r="928" spans="1:17" ht="15" customHeight="1" x14ac:dyDescent="0.25">
      <c r="A928">
        <f>'Customers Raw data'!A928</f>
        <v>1927</v>
      </c>
      <c r="B928" t="str">
        <f>'Customers Raw data'!B928</f>
        <v>2024-05-28</v>
      </c>
      <c r="C928" t="str">
        <f>'Customers Raw data'!C928</f>
        <v>Pro</v>
      </c>
      <c r="D928">
        <f>'Customers Raw data'!D928</f>
        <v>200</v>
      </c>
      <c r="E928">
        <f>'Customers Raw data'!E928</f>
        <v>100</v>
      </c>
      <c r="F928">
        <f>'Customers Raw data'!F928</f>
        <v>0</v>
      </c>
      <c r="G928">
        <f>IF('Customers Raw data'!F928&lt;&gt;"",1,0)</f>
        <v>0</v>
      </c>
      <c r="H928" t="str">
        <f>IF('Customers Raw data'!F928&lt;&gt;"",YEAR(DATEVALUE('Customers Raw data'!F928)),"")</f>
        <v/>
      </c>
      <c r="I928" t="str">
        <f>IF('Customers Raw data'!F928&lt;&gt;"",MONTH(DATEVALUE('Customers Raw data'!F928)),"")</f>
        <v/>
      </c>
      <c r="J928">
        <f>YEAR(DATEVALUE('Customers Raw data'!B928))</f>
        <v>2024</v>
      </c>
      <c r="K928">
        <f>MONTH(DATEVALUE('Customers Raw data'!B928))</f>
        <v>5</v>
      </c>
      <c r="L928">
        <f ca="1">IF('Customers Raw data'!F928&lt;&gt;"",DATEDIF(DATEVALUE('Customers Raw data'!B928),DATEVALUE('Customers Raw data'!F928),"M"),DATEDIF(DATEVALUE('Customers Raw data'!B928),TODAY(),"M"))</f>
        <v>22</v>
      </c>
      <c r="M928">
        <f t="shared" ca="1" si="70"/>
        <v>4400</v>
      </c>
      <c r="N928">
        <f t="shared" si="71"/>
        <v>2</v>
      </c>
      <c r="O928">
        <f t="shared" ca="1" si="72"/>
        <v>0</v>
      </c>
      <c r="P928">
        <f t="shared" si="73"/>
        <v>0</v>
      </c>
      <c r="Q928" t="e">
        <f t="shared" si="74"/>
        <v>#VALUE!</v>
      </c>
    </row>
    <row r="929" spans="1:17" ht="15" customHeight="1" x14ac:dyDescent="0.25">
      <c r="A929">
        <f>'Customers Raw data'!A929</f>
        <v>1928</v>
      </c>
      <c r="B929" t="str">
        <f>'Customers Raw data'!B929</f>
        <v>2025-03-07</v>
      </c>
      <c r="C929" t="str">
        <f>'Customers Raw data'!C929</f>
        <v>Basic</v>
      </c>
      <c r="D929">
        <f>'Customers Raw data'!D929</f>
        <v>50</v>
      </c>
      <c r="E929">
        <f>'Customers Raw data'!E929</f>
        <v>30</v>
      </c>
      <c r="F929">
        <f>'Customers Raw data'!F929</f>
        <v>0</v>
      </c>
      <c r="G929">
        <f>IF('Customers Raw data'!F929&lt;&gt;"",1,0)</f>
        <v>0</v>
      </c>
      <c r="H929" t="str">
        <f>IF('Customers Raw data'!F929&lt;&gt;"",YEAR(DATEVALUE('Customers Raw data'!F929)),"")</f>
        <v/>
      </c>
      <c r="I929" t="str">
        <f>IF('Customers Raw data'!F929&lt;&gt;"",MONTH(DATEVALUE('Customers Raw data'!F929)),"")</f>
        <v/>
      </c>
      <c r="J929">
        <f>YEAR(DATEVALUE('Customers Raw data'!B929))</f>
        <v>2025</v>
      </c>
      <c r="K929">
        <f>MONTH(DATEVALUE('Customers Raw data'!B929))</f>
        <v>3</v>
      </c>
      <c r="L929">
        <f ca="1">IF('Customers Raw data'!F929&lt;&gt;"",DATEDIF(DATEVALUE('Customers Raw data'!B929),DATEVALUE('Customers Raw data'!F929),"M"),DATEDIF(DATEVALUE('Customers Raw data'!B929),TODAY(),"M"))</f>
        <v>13</v>
      </c>
      <c r="M929">
        <f t="shared" ca="1" si="70"/>
        <v>650</v>
      </c>
      <c r="N929">
        <f t="shared" si="71"/>
        <v>1</v>
      </c>
      <c r="O929">
        <f t="shared" ca="1" si="72"/>
        <v>0</v>
      </c>
      <c r="P929">
        <f t="shared" si="73"/>
        <v>0</v>
      </c>
      <c r="Q929" t="e">
        <f t="shared" si="74"/>
        <v>#VALUE!</v>
      </c>
    </row>
    <row r="930" spans="1:17" ht="15" customHeight="1" x14ac:dyDescent="0.25">
      <c r="A930">
        <f>'Customers Raw data'!A930</f>
        <v>1929</v>
      </c>
      <c r="B930" t="str">
        <f>'Customers Raw data'!B930</f>
        <v>2024-09-13</v>
      </c>
      <c r="C930" t="str">
        <f>'Customers Raw data'!C930</f>
        <v>Enterprise</v>
      </c>
      <c r="D930">
        <f>'Customers Raw data'!D930</f>
        <v>500</v>
      </c>
      <c r="E930">
        <f>'Customers Raw data'!E930</f>
        <v>200</v>
      </c>
      <c r="F930" t="str">
        <f>'Customers Raw data'!F930</f>
        <v>2024-11-18</v>
      </c>
      <c r="G930">
        <f>IF('Customers Raw data'!F930&lt;&gt;"",1,0)</f>
        <v>1</v>
      </c>
      <c r="H930">
        <f>IF('Customers Raw data'!F930&lt;&gt;"",YEAR(DATEVALUE('Customers Raw data'!F930)),"")</f>
        <v>2024</v>
      </c>
      <c r="I930">
        <f>IF('Customers Raw data'!F930&lt;&gt;"",MONTH(DATEVALUE('Customers Raw data'!F930)),"")</f>
        <v>11</v>
      </c>
      <c r="J930">
        <f>YEAR(DATEVALUE('Customers Raw data'!B930))</f>
        <v>2024</v>
      </c>
      <c r="K930">
        <f>MONTH(DATEVALUE('Customers Raw data'!B930))</f>
        <v>9</v>
      </c>
      <c r="L930">
        <f ca="1">IF('Customers Raw data'!F930&lt;&gt;"",DATEDIF(DATEVALUE('Customers Raw data'!B930),DATEVALUE('Customers Raw data'!F930),"M"),DATEDIF(DATEVALUE('Customers Raw data'!B930),TODAY(),"M"))</f>
        <v>2</v>
      </c>
      <c r="M930">
        <f t="shared" ca="1" si="70"/>
        <v>1000</v>
      </c>
      <c r="N930">
        <f t="shared" si="71"/>
        <v>3</v>
      </c>
      <c r="O930">
        <f t="shared" ca="1" si="72"/>
        <v>1</v>
      </c>
      <c r="P930">
        <f t="shared" si="73"/>
        <v>500</v>
      </c>
      <c r="Q930" t="str">
        <f t="shared" si="74"/>
        <v>2024-11</v>
      </c>
    </row>
    <row r="931" spans="1:17" ht="15" customHeight="1" x14ac:dyDescent="0.25">
      <c r="A931">
        <f>'Customers Raw data'!A931</f>
        <v>1930</v>
      </c>
      <c r="B931" t="str">
        <f>'Customers Raw data'!B931</f>
        <v>2024-11-03</v>
      </c>
      <c r="C931" t="str">
        <f>'Customers Raw data'!C931</f>
        <v>Basic</v>
      </c>
      <c r="D931">
        <f>'Customers Raw data'!D931</f>
        <v>50</v>
      </c>
      <c r="E931">
        <f>'Customers Raw data'!E931</f>
        <v>30</v>
      </c>
      <c r="F931">
        <f>'Customers Raw data'!F931</f>
        <v>0</v>
      </c>
      <c r="G931">
        <f>IF('Customers Raw data'!F931&lt;&gt;"",1,0)</f>
        <v>0</v>
      </c>
      <c r="H931" t="str">
        <f>IF('Customers Raw data'!F931&lt;&gt;"",YEAR(DATEVALUE('Customers Raw data'!F931)),"")</f>
        <v/>
      </c>
      <c r="I931" t="str">
        <f>IF('Customers Raw data'!F931&lt;&gt;"",MONTH(DATEVALUE('Customers Raw data'!F931)),"")</f>
        <v/>
      </c>
      <c r="J931">
        <f>YEAR(DATEVALUE('Customers Raw data'!B931))</f>
        <v>2024</v>
      </c>
      <c r="K931">
        <f>MONTH(DATEVALUE('Customers Raw data'!B931))</f>
        <v>11</v>
      </c>
      <c r="L931">
        <f ca="1">IF('Customers Raw data'!F931&lt;&gt;"",DATEDIF(DATEVALUE('Customers Raw data'!B931),DATEVALUE('Customers Raw data'!F931),"M"),DATEDIF(DATEVALUE('Customers Raw data'!B931),TODAY(),"M"))</f>
        <v>17</v>
      </c>
      <c r="M931">
        <f t="shared" ca="1" si="70"/>
        <v>850</v>
      </c>
      <c r="N931">
        <f t="shared" si="71"/>
        <v>1</v>
      </c>
      <c r="O931">
        <f t="shared" ca="1" si="72"/>
        <v>0</v>
      </c>
      <c r="P931">
        <f t="shared" si="73"/>
        <v>0</v>
      </c>
      <c r="Q931" t="e">
        <f t="shared" si="74"/>
        <v>#VALUE!</v>
      </c>
    </row>
    <row r="932" spans="1:17" ht="15" customHeight="1" x14ac:dyDescent="0.25">
      <c r="A932">
        <f>'Customers Raw data'!A932</f>
        <v>1931</v>
      </c>
      <c r="B932" t="str">
        <f>'Customers Raw data'!B932</f>
        <v>2024-10-28</v>
      </c>
      <c r="C932" t="str">
        <f>'Customers Raw data'!C932</f>
        <v>Basic</v>
      </c>
      <c r="D932">
        <f>'Customers Raw data'!D932</f>
        <v>50</v>
      </c>
      <c r="E932">
        <f>'Customers Raw data'!E932</f>
        <v>30</v>
      </c>
      <c r="F932">
        <f>'Customers Raw data'!F932</f>
        <v>0</v>
      </c>
      <c r="G932">
        <f>IF('Customers Raw data'!F932&lt;&gt;"",1,0)</f>
        <v>0</v>
      </c>
      <c r="H932" t="str">
        <f>IF('Customers Raw data'!F932&lt;&gt;"",YEAR(DATEVALUE('Customers Raw data'!F932)),"")</f>
        <v/>
      </c>
      <c r="I932" t="str">
        <f>IF('Customers Raw data'!F932&lt;&gt;"",MONTH(DATEVALUE('Customers Raw data'!F932)),"")</f>
        <v/>
      </c>
      <c r="J932">
        <f>YEAR(DATEVALUE('Customers Raw data'!B932))</f>
        <v>2024</v>
      </c>
      <c r="K932">
        <f>MONTH(DATEVALUE('Customers Raw data'!B932))</f>
        <v>10</v>
      </c>
      <c r="L932">
        <f ca="1">IF('Customers Raw data'!F932&lt;&gt;"",DATEDIF(DATEVALUE('Customers Raw data'!B932),DATEVALUE('Customers Raw data'!F932),"M"),DATEDIF(DATEVALUE('Customers Raw data'!B932),TODAY(),"M"))</f>
        <v>17</v>
      </c>
      <c r="M932">
        <f t="shared" ca="1" si="70"/>
        <v>850</v>
      </c>
      <c r="N932">
        <f t="shared" si="71"/>
        <v>1</v>
      </c>
      <c r="O932">
        <f t="shared" ca="1" si="72"/>
        <v>0</v>
      </c>
      <c r="P932">
        <f t="shared" si="73"/>
        <v>0</v>
      </c>
      <c r="Q932" t="e">
        <f t="shared" si="74"/>
        <v>#VALUE!</v>
      </c>
    </row>
    <row r="933" spans="1:17" ht="15" customHeight="1" x14ac:dyDescent="0.25">
      <c r="A933">
        <f>'Customers Raw data'!A933</f>
        <v>1932</v>
      </c>
      <c r="B933" t="str">
        <f>'Customers Raw data'!B933</f>
        <v>2024-01-23</v>
      </c>
      <c r="C933" t="str">
        <f>'Customers Raw data'!C933</f>
        <v>Pro</v>
      </c>
      <c r="D933">
        <f>'Customers Raw data'!D933</f>
        <v>200</v>
      </c>
      <c r="E933">
        <f>'Customers Raw data'!E933</f>
        <v>100</v>
      </c>
      <c r="F933">
        <f>'Customers Raw data'!F933</f>
        <v>0</v>
      </c>
      <c r="G933">
        <f>IF('Customers Raw data'!F933&lt;&gt;"",1,0)</f>
        <v>0</v>
      </c>
      <c r="H933" t="str">
        <f>IF('Customers Raw data'!F933&lt;&gt;"",YEAR(DATEVALUE('Customers Raw data'!F933)),"")</f>
        <v/>
      </c>
      <c r="I933" t="str">
        <f>IF('Customers Raw data'!F933&lt;&gt;"",MONTH(DATEVALUE('Customers Raw data'!F933)),"")</f>
        <v/>
      </c>
      <c r="J933">
        <f>YEAR(DATEVALUE('Customers Raw data'!B933))</f>
        <v>2024</v>
      </c>
      <c r="K933">
        <f>MONTH(DATEVALUE('Customers Raw data'!B933))</f>
        <v>1</v>
      </c>
      <c r="L933">
        <f ca="1">IF('Customers Raw data'!F933&lt;&gt;"",DATEDIF(DATEVALUE('Customers Raw data'!B933),DATEVALUE('Customers Raw data'!F933),"M"),DATEDIF(DATEVALUE('Customers Raw data'!B933),TODAY(),"M"))</f>
        <v>26</v>
      </c>
      <c r="M933">
        <f t="shared" ca="1" si="70"/>
        <v>5200</v>
      </c>
      <c r="N933">
        <f t="shared" si="71"/>
        <v>2</v>
      </c>
      <c r="O933">
        <f t="shared" ca="1" si="72"/>
        <v>0</v>
      </c>
      <c r="P933">
        <f t="shared" si="73"/>
        <v>0</v>
      </c>
      <c r="Q933" t="e">
        <f t="shared" si="74"/>
        <v>#VALUE!</v>
      </c>
    </row>
    <row r="934" spans="1:17" ht="15" customHeight="1" x14ac:dyDescent="0.25">
      <c r="A934">
        <f>'Customers Raw data'!A934</f>
        <v>1933</v>
      </c>
      <c r="B934" t="str">
        <f>'Customers Raw data'!B934</f>
        <v>2024-10-30</v>
      </c>
      <c r="C934" t="str">
        <f>'Customers Raw data'!C934</f>
        <v>Basic</v>
      </c>
      <c r="D934">
        <f>'Customers Raw data'!D934</f>
        <v>50</v>
      </c>
      <c r="E934">
        <f>'Customers Raw data'!E934</f>
        <v>30</v>
      </c>
      <c r="F934">
        <f>'Customers Raw data'!F934</f>
        <v>0</v>
      </c>
      <c r="G934">
        <f>IF('Customers Raw data'!F934&lt;&gt;"",1,0)</f>
        <v>0</v>
      </c>
      <c r="H934" t="str">
        <f>IF('Customers Raw data'!F934&lt;&gt;"",YEAR(DATEVALUE('Customers Raw data'!F934)),"")</f>
        <v/>
      </c>
      <c r="I934" t="str">
        <f>IF('Customers Raw data'!F934&lt;&gt;"",MONTH(DATEVALUE('Customers Raw data'!F934)),"")</f>
        <v/>
      </c>
      <c r="J934">
        <f>YEAR(DATEVALUE('Customers Raw data'!B934))</f>
        <v>2024</v>
      </c>
      <c r="K934">
        <f>MONTH(DATEVALUE('Customers Raw data'!B934))</f>
        <v>10</v>
      </c>
      <c r="L934">
        <f ca="1">IF('Customers Raw data'!F934&lt;&gt;"",DATEDIF(DATEVALUE('Customers Raw data'!B934),DATEVALUE('Customers Raw data'!F934),"M"),DATEDIF(DATEVALUE('Customers Raw data'!B934),TODAY(),"M"))</f>
        <v>17</v>
      </c>
      <c r="M934">
        <f t="shared" ca="1" si="70"/>
        <v>850</v>
      </c>
      <c r="N934">
        <f t="shared" si="71"/>
        <v>1</v>
      </c>
      <c r="O934">
        <f t="shared" ca="1" si="72"/>
        <v>0</v>
      </c>
      <c r="P934">
        <f t="shared" si="73"/>
        <v>0</v>
      </c>
      <c r="Q934" t="e">
        <f t="shared" si="74"/>
        <v>#VALUE!</v>
      </c>
    </row>
    <row r="935" spans="1:17" ht="15" customHeight="1" x14ac:dyDescent="0.25">
      <c r="A935">
        <f>'Customers Raw data'!A935</f>
        <v>1934</v>
      </c>
      <c r="B935" t="str">
        <f>'Customers Raw data'!B935</f>
        <v>2025-02-27</v>
      </c>
      <c r="C935" t="str">
        <f>'Customers Raw data'!C935</f>
        <v>Pro</v>
      </c>
      <c r="D935">
        <f>'Customers Raw data'!D935</f>
        <v>200</v>
      </c>
      <c r="E935">
        <f>'Customers Raw data'!E935</f>
        <v>100</v>
      </c>
      <c r="F935">
        <f>'Customers Raw data'!F935</f>
        <v>0</v>
      </c>
      <c r="G935">
        <f>IF('Customers Raw data'!F935&lt;&gt;"",1,0)</f>
        <v>0</v>
      </c>
      <c r="H935" t="str">
        <f>IF('Customers Raw data'!F935&lt;&gt;"",YEAR(DATEVALUE('Customers Raw data'!F935)),"")</f>
        <v/>
      </c>
      <c r="I935" t="str">
        <f>IF('Customers Raw data'!F935&lt;&gt;"",MONTH(DATEVALUE('Customers Raw data'!F935)),"")</f>
        <v/>
      </c>
      <c r="J935">
        <f>YEAR(DATEVALUE('Customers Raw data'!B935))</f>
        <v>2025</v>
      </c>
      <c r="K935">
        <f>MONTH(DATEVALUE('Customers Raw data'!B935))</f>
        <v>2</v>
      </c>
      <c r="L935">
        <f ca="1">IF('Customers Raw data'!F935&lt;&gt;"",DATEDIF(DATEVALUE('Customers Raw data'!B935),DATEVALUE('Customers Raw data'!F935),"M"),DATEDIF(DATEVALUE('Customers Raw data'!B935),TODAY(),"M"))</f>
        <v>13</v>
      </c>
      <c r="M935">
        <f t="shared" ca="1" si="70"/>
        <v>2600</v>
      </c>
      <c r="N935">
        <f t="shared" si="71"/>
        <v>2</v>
      </c>
      <c r="O935">
        <f t="shared" ca="1" si="72"/>
        <v>0</v>
      </c>
      <c r="P935">
        <f t="shared" si="73"/>
        <v>0</v>
      </c>
      <c r="Q935" t="e">
        <f t="shared" si="74"/>
        <v>#VALUE!</v>
      </c>
    </row>
    <row r="936" spans="1:17" ht="15" customHeight="1" x14ac:dyDescent="0.25">
      <c r="A936">
        <f>'Customers Raw data'!A936</f>
        <v>1935</v>
      </c>
      <c r="B936" t="str">
        <f>'Customers Raw data'!B936</f>
        <v>2024-03-19</v>
      </c>
      <c r="C936" t="str">
        <f>'Customers Raw data'!C936</f>
        <v>Pro</v>
      </c>
      <c r="D936">
        <f>'Customers Raw data'!D936</f>
        <v>200</v>
      </c>
      <c r="E936">
        <f>'Customers Raw data'!E936</f>
        <v>100</v>
      </c>
      <c r="F936">
        <f>'Customers Raw data'!F936</f>
        <v>0</v>
      </c>
      <c r="G936">
        <f>IF('Customers Raw data'!F936&lt;&gt;"",1,0)</f>
        <v>0</v>
      </c>
      <c r="H936" t="str">
        <f>IF('Customers Raw data'!F936&lt;&gt;"",YEAR(DATEVALUE('Customers Raw data'!F936)),"")</f>
        <v/>
      </c>
      <c r="I936" t="str">
        <f>IF('Customers Raw data'!F936&lt;&gt;"",MONTH(DATEVALUE('Customers Raw data'!F936)),"")</f>
        <v/>
      </c>
      <c r="J936">
        <f>YEAR(DATEVALUE('Customers Raw data'!B936))</f>
        <v>2024</v>
      </c>
      <c r="K936">
        <f>MONTH(DATEVALUE('Customers Raw data'!B936))</f>
        <v>3</v>
      </c>
      <c r="L936">
        <f ca="1">IF('Customers Raw data'!F936&lt;&gt;"",DATEDIF(DATEVALUE('Customers Raw data'!B936),DATEVALUE('Customers Raw data'!F936),"M"),DATEDIF(DATEVALUE('Customers Raw data'!B936),TODAY(),"M"))</f>
        <v>24</v>
      </c>
      <c r="M936">
        <f t="shared" ca="1" si="70"/>
        <v>4800</v>
      </c>
      <c r="N936">
        <f t="shared" si="71"/>
        <v>2</v>
      </c>
      <c r="O936">
        <f t="shared" ca="1" si="72"/>
        <v>0</v>
      </c>
      <c r="P936">
        <f t="shared" si="73"/>
        <v>0</v>
      </c>
      <c r="Q936" t="e">
        <f t="shared" si="74"/>
        <v>#VALUE!</v>
      </c>
    </row>
    <row r="937" spans="1:17" ht="15" customHeight="1" x14ac:dyDescent="0.25">
      <c r="A937">
        <f>'Customers Raw data'!A937</f>
        <v>1936</v>
      </c>
      <c r="B937" t="str">
        <f>'Customers Raw data'!B937</f>
        <v>2025-01-13</v>
      </c>
      <c r="C937" t="str">
        <f>'Customers Raw data'!C937</f>
        <v>Basic</v>
      </c>
      <c r="D937">
        <f>'Customers Raw data'!D937</f>
        <v>50</v>
      </c>
      <c r="E937">
        <f>'Customers Raw data'!E937</f>
        <v>30</v>
      </c>
      <c r="F937">
        <f>'Customers Raw data'!F937</f>
        <v>0</v>
      </c>
      <c r="G937">
        <f>IF('Customers Raw data'!F937&lt;&gt;"",1,0)</f>
        <v>0</v>
      </c>
      <c r="H937" t="str">
        <f>IF('Customers Raw data'!F937&lt;&gt;"",YEAR(DATEVALUE('Customers Raw data'!F937)),"")</f>
        <v/>
      </c>
      <c r="I937" t="str">
        <f>IF('Customers Raw data'!F937&lt;&gt;"",MONTH(DATEVALUE('Customers Raw data'!F937)),"")</f>
        <v/>
      </c>
      <c r="J937">
        <f>YEAR(DATEVALUE('Customers Raw data'!B937))</f>
        <v>2025</v>
      </c>
      <c r="K937">
        <f>MONTH(DATEVALUE('Customers Raw data'!B937))</f>
        <v>1</v>
      </c>
      <c r="L937">
        <f ca="1">IF('Customers Raw data'!F937&lt;&gt;"",DATEDIF(DATEVALUE('Customers Raw data'!B937),DATEVALUE('Customers Raw data'!F937),"M"),DATEDIF(DATEVALUE('Customers Raw data'!B937),TODAY(),"M"))</f>
        <v>14</v>
      </c>
      <c r="M937">
        <f t="shared" ca="1" si="70"/>
        <v>700</v>
      </c>
      <c r="N937">
        <f t="shared" si="71"/>
        <v>1</v>
      </c>
      <c r="O937">
        <f t="shared" ca="1" si="72"/>
        <v>0</v>
      </c>
      <c r="P937">
        <f t="shared" si="73"/>
        <v>0</v>
      </c>
      <c r="Q937" t="e">
        <f t="shared" si="74"/>
        <v>#VALUE!</v>
      </c>
    </row>
    <row r="938" spans="1:17" ht="15" customHeight="1" x14ac:dyDescent="0.25">
      <c r="A938">
        <f>'Customers Raw data'!A938</f>
        <v>1937</v>
      </c>
      <c r="B938" t="str">
        <f>'Customers Raw data'!B938</f>
        <v>2024-08-17</v>
      </c>
      <c r="C938" t="str">
        <f>'Customers Raw data'!C938</f>
        <v>Enterprise</v>
      </c>
      <c r="D938">
        <f>'Customers Raw data'!D938</f>
        <v>500</v>
      </c>
      <c r="E938">
        <f>'Customers Raw data'!E938</f>
        <v>200</v>
      </c>
      <c r="F938">
        <f>'Customers Raw data'!F938</f>
        <v>0</v>
      </c>
      <c r="G938">
        <f>IF('Customers Raw data'!F938&lt;&gt;"",1,0)</f>
        <v>0</v>
      </c>
      <c r="H938" t="str">
        <f>IF('Customers Raw data'!F938&lt;&gt;"",YEAR(DATEVALUE('Customers Raw data'!F938)),"")</f>
        <v/>
      </c>
      <c r="I938" t="str">
        <f>IF('Customers Raw data'!F938&lt;&gt;"",MONTH(DATEVALUE('Customers Raw data'!F938)),"")</f>
        <v/>
      </c>
      <c r="J938">
        <f>YEAR(DATEVALUE('Customers Raw data'!B938))</f>
        <v>2024</v>
      </c>
      <c r="K938">
        <f>MONTH(DATEVALUE('Customers Raw data'!B938))</f>
        <v>8</v>
      </c>
      <c r="L938">
        <f ca="1">IF('Customers Raw data'!F938&lt;&gt;"",DATEDIF(DATEVALUE('Customers Raw data'!B938),DATEVALUE('Customers Raw data'!F938),"M"),DATEDIF(DATEVALUE('Customers Raw data'!B938),TODAY(),"M"))</f>
        <v>19</v>
      </c>
      <c r="M938">
        <f t="shared" ca="1" si="70"/>
        <v>9500</v>
      </c>
      <c r="N938">
        <f t="shared" si="71"/>
        <v>3</v>
      </c>
      <c r="O938">
        <f t="shared" ca="1" si="72"/>
        <v>0</v>
      </c>
      <c r="P938">
        <f t="shared" si="73"/>
        <v>0</v>
      </c>
      <c r="Q938" t="e">
        <f t="shared" si="74"/>
        <v>#VALUE!</v>
      </c>
    </row>
    <row r="939" spans="1:17" ht="15" customHeight="1" x14ac:dyDescent="0.25">
      <c r="A939">
        <f>'Customers Raw data'!A939</f>
        <v>1938</v>
      </c>
      <c r="B939" t="str">
        <f>'Customers Raw data'!B939</f>
        <v>2024-05-09</v>
      </c>
      <c r="C939" t="str">
        <f>'Customers Raw data'!C939</f>
        <v>Basic</v>
      </c>
      <c r="D939">
        <f>'Customers Raw data'!D939</f>
        <v>50</v>
      </c>
      <c r="E939">
        <f>'Customers Raw data'!E939</f>
        <v>30</v>
      </c>
      <c r="F939">
        <f>'Customers Raw data'!F939</f>
        <v>0</v>
      </c>
      <c r="G939">
        <f>IF('Customers Raw data'!F939&lt;&gt;"",1,0)</f>
        <v>0</v>
      </c>
      <c r="H939" t="str">
        <f>IF('Customers Raw data'!F939&lt;&gt;"",YEAR(DATEVALUE('Customers Raw data'!F939)),"")</f>
        <v/>
      </c>
      <c r="I939" t="str">
        <f>IF('Customers Raw data'!F939&lt;&gt;"",MONTH(DATEVALUE('Customers Raw data'!F939)),"")</f>
        <v/>
      </c>
      <c r="J939">
        <f>YEAR(DATEVALUE('Customers Raw data'!B939))</f>
        <v>2024</v>
      </c>
      <c r="K939">
        <f>MONTH(DATEVALUE('Customers Raw data'!B939))</f>
        <v>5</v>
      </c>
      <c r="L939">
        <f ca="1">IF('Customers Raw data'!F939&lt;&gt;"",DATEDIF(DATEVALUE('Customers Raw data'!B939),DATEVALUE('Customers Raw data'!F939),"M"),DATEDIF(DATEVALUE('Customers Raw data'!B939),TODAY(),"M"))</f>
        <v>22</v>
      </c>
      <c r="M939">
        <f t="shared" ca="1" si="70"/>
        <v>1100</v>
      </c>
      <c r="N939">
        <f t="shared" si="71"/>
        <v>1</v>
      </c>
      <c r="O939">
        <f t="shared" ca="1" si="72"/>
        <v>0</v>
      </c>
      <c r="P939">
        <f t="shared" si="73"/>
        <v>0</v>
      </c>
      <c r="Q939" t="e">
        <f t="shared" si="74"/>
        <v>#VALUE!</v>
      </c>
    </row>
    <row r="940" spans="1:17" ht="15" customHeight="1" x14ac:dyDescent="0.25">
      <c r="A940">
        <f>'Customers Raw data'!A940</f>
        <v>1939</v>
      </c>
      <c r="B940" t="str">
        <f>'Customers Raw data'!B940</f>
        <v>2024-01-22</v>
      </c>
      <c r="C940" t="str">
        <f>'Customers Raw data'!C940</f>
        <v>Basic</v>
      </c>
      <c r="D940">
        <f>'Customers Raw data'!D940</f>
        <v>50</v>
      </c>
      <c r="E940">
        <f>'Customers Raw data'!E940</f>
        <v>30</v>
      </c>
      <c r="F940">
        <f>'Customers Raw data'!F940</f>
        <v>0</v>
      </c>
      <c r="G940">
        <f>IF('Customers Raw data'!F940&lt;&gt;"",1,0)</f>
        <v>0</v>
      </c>
      <c r="H940" t="str">
        <f>IF('Customers Raw data'!F940&lt;&gt;"",YEAR(DATEVALUE('Customers Raw data'!F940)),"")</f>
        <v/>
      </c>
      <c r="I940" t="str">
        <f>IF('Customers Raw data'!F940&lt;&gt;"",MONTH(DATEVALUE('Customers Raw data'!F940)),"")</f>
        <v/>
      </c>
      <c r="J940">
        <f>YEAR(DATEVALUE('Customers Raw data'!B940))</f>
        <v>2024</v>
      </c>
      <c r="K940">
        <f>MONTH(DATEVALUE('Customers Raw data'!B940))</f>
        <v>1</v>
      </c>
      <c r="L940">
        <f ca="1">IF('Customers Raw data'!F940&lt;&gt;"",DATEDIF(DATEVALUE('Customers Raw data'!B940),DATEVALUE('Customers Raw data'!F940),"M"),DATEDIF(DATEVALUE('Customers Raw data'!B940),TODAY(),"M"))</f>
        <v>26</v>
      </c>
      <c r="M940">
        <f t="shared" ca="1" si="70"/>
        <v>1300</v>
      </c>
      <c r="N940">
        <f t="shared" si="71"/>
        <v>1</v>
      </c>
      <c r="O940">
        <f t="shared" ca="1" si="72"/>
        <v>0</v>
      </c>
      <c r="P940">
        <f t="shared" si="73"/>
        <v>0</v>
      </c>
      <c r="Q940" t="e">
        <f t="shared" si="74"/>
        <v>#VALUE!</v>
      </c>
    </row>
    <row r="941" spans="1:17" ht="15" customHeight="1" x14ac:dyDescent="0.25">
      <c r="A941">
        <f>'Customers Raw data'!A941</f>
        <v>1940</v>
      </c>
      <c r="B941" t="str">
        <f>'Customers Raw data'!B941</f>
        <v>2024-05-28</v>
      </c>
      <c r="C941" t="str">
        <f>'Customers Raw data'!C941</f>
        <v>Basic</v>
      </c>
      <c r="D941">
        <f>'Customers Raw data'!D941</f>
        <v>50</v>
      </c>
      <c r="E941">
        <f>'Customers Raw data'!E941</f>
        <v>30</v>
      </c>
      <c r="F941">
        <f>'Customers Raw data'!F941</f>
        <v>0</v>
      </c>
      <c r="G941">
        <f>IF('Customers Raw data'!F941&lt;&gt;"",1,0)</f>
        <v>0</v>
      </c>
      <c r="H941" t="str">
        <f>IF('Customers Raw data'!F941&lt;&gt;"",YEAR(DATEVALUE('Customers Raw data'!F941)),"")</f>
        <v/>
      </c>
      <c r="I941" t="str">
        <f>IF('Customers Raw data'!F941&lt;&gt;"",MONTH(DATEVALUE('Customers Raw data'!F941)),"")</f>
        <v/>
      </c>
      <c r="J941">
        <f>YEAR(DATEVALUE('Customers Raw data'!B941))</f>
        <v>2024</v>
      </c>
      <c r="K941">
        <f>MONTH(DATEVALUE('Customers Raw data'!B941))</f>
        <v>5</v>
      </c>
      <c r="L941">
        <f ca="1">IF('Customers Raw data'!F941&lt;&gt;"",DATEDIF(DATEVALUE('Customers Raw data'!B941),DATEVALUE('Customers Raw data'!F941),"M"),DATEDIF(DATEVALUE('Customers Raw data'!B941),TODAY(),"M"))</f>
        <v>22</v>
      </c>
      <c r="M941">
        <f t="shared" ca="1" si="70"/>
        <v>1100</v>
      </c>
      <c r="N941">
        <f t="shared" si="71"/>
        <v>1</v>
      </c>
      <c r="O941">
        <f t="shared" ca="1" si="72"/>
        <v>0</v>
      </c>
      <c r="P941">
        <f t="shared" si="73"/>
        <v>0</v>
      </c>
      <c r="Q941" t="e">
        <f t="shared" si="74"/>
        <v>#VALUE!</v>
      </c>
    </row>
    <row r="942" spans="1:17" ht="15" customHeight="1" x14ac:dyDescent="0.25">
      <c r="A942">
        <f>'Customers Raw data'!A942</f>
        <v>1941</v>
      </c>
      <c r="B942" t="str">
        <f>'Customers Raw data'!B942</f>
        <v>2025-03-23</v>
      </c>
      <c r="C942" t="str">
        <f>'Customers Raw data'!C942</f>
        <v>Basic</v>
      </c>
      <c r="D942">
        <f>'Customers Raw data'!D942</f>
        <v>50</v>
      </c>
      <c r="E942">
        <f>'Customers Raw data'!E942</f>
        <v>30</v>
      </c>
      <c r="F942">
        <f>'Customers Raw data'!F942</f>
        <v>0</v>
      </c>
      <c r="G942">
        <f>IF('Customers Raw data'!F942&lt;&gt;"",1,0)</f>
        <v>0</v>
      </c>
      <c r="H942" t="str">
        <f>IF('Customers Raw data'!F942&lt;&gt;"",YEAR(DATEVALUE('Customers Raw data'!F942)),"")</f>
        <v/>
      </c>
      <c r="I942" t="str">
        <f>IF('Customers Raw data'!F942&lt;&gt;"",MONTH(DATEVALUE('Customers Raw data'!F942)),"")</f>
        <v/>
      </c>
      <c r="J942">
        <f>YEAR(DATEVALUE('Customers Raw data'!B942))</f>
        <v>2025</v>
      </c>
      <c r="K942">
        <f>MONTH(DATEVALUE('Customers Raw data'!B942))</f>
        <v>3</v>
      </c>
      <c r="L942">
        <f ca="1">IF('Customers Raw data'!F942&lt;&gt;"",DATEDIF(DATEVALUE('Customers Raw data'!B942),DATEVALUE('Customers Raw data'!F942),"M"),DATEDIF(DATEVALUE('Customers Raw data'!B942),TODAY(),"M"))</f>
        <v>12</v>
      </c>
      <c r="M942">
        <f t="shared" ca="1" si="70"/>
        <v>600</v>
      </c>
      <c r="N942">
        <f t="shared" si="71"/>
        <v>1</v>
      </c>
      <c r="O942">
        <f t="shared" ca="1" si="72"/>
        <v>0</v>
      </c>
      <c r="P942">
        <f t="shared" si="73"/>
        <v>0</v>
      </c>
      <c r="Q942" t="e">
        <f t="shared" si="74"/>
        <v>#VALUE!</v>
      </c>
    </row>
    <row r="943" spans="1:17" ht="15" customHeight="1" x14ac:dyDescent="0.25">
      <c r="A943">
        <f>'Customers Raw data'!A943</f>
        <v>1942</v>
      </c>
      <c r="B943" t="str">
        <f>'Customers Raw data'!B943</f>
        <v>2025-06-21</v>
      </c>
      <c r="C943" t="str">
        <f>'Customers Raw data'!C943</f>
        <v>Basic</v>
      </c>
      <c r="D943">
        <f>'Customers Raw data'!D943</f>
        <v>50</v>
      </c>
      <c r="E943">
        <f>'Customers Raw data'!E943</f>
        <v>30</v>
      </c>
      <c r="F943">
        <f>'Customers Raw data'!F943</f>
        <v>0</v>
      </c>
      <c r="G943">
        <f>IF('Customers Raw data'!F943&lt;&gt;"",1,0)</f>
        <v>0</v>
      </c>
      <c r="H943" t="str">
        <f>IF('Customers Raw data'!F943&lt;&gt;"",YEAR(DATEVALUE('Customers Raw data'!F943)),"")</f>
        <v/>
      </c>
      <c r="I943" t="str">
        <f>IF('Customers Raw data'!F943&lt;&gt;"",MONTH(DATEVALUE('Customers Raw data'!F943)),"")</f>
        <v/>
      </c>
      <c r="J943">
        <f>YEAR(DATEVALUE('Customers Raw data'!B943))</f>
        <v>2025</v>
      </c>
      <c r="K943">
        <f>MONTH(DATEVALUE('Customers Raw data'!B943))</f>
        <v>6</v>
      </c>
      <c r="L943">
        <f ca="1">IF('Customers Raw data'!F943&lt;&gt;"",DATEDIF(DATEVALUE('Customers Raw data'!B943),DATEVALUE('Customers Raw data'!F943),"M"),DATEDIF(DATEVALUE('Customers Raw data'!B943),TODAY(),"M"))</f>
        <v>9</v>
      </c>
      <c r="M943">
        <f t="shared" ca="1" si="70"/>
        <v>450</v>
      </c>
      <c r="N943">
        <f t="shared" si="71"/>
        <v>1</v>
      </c>
      <c r="O943">
        <f t="shared" ca="1" si="72"/>
        <v>0</v>
      </c>
      <c r="P943">
        <f t="shared" si="73"/>
        <v>0</v>
      </c>
      <c r="Q943" t="e">
        <f t="shared" si="74"/>
        <v>#VALUE!</v>
      </c>
    </row>
    <row r="944" spans="1:17" ht="15" customHeight="1" x14ac:dyDescent="0.25">
      <c r="A944">
        <f>'Customers Raw data'!A944</f>
        <v>1943</v>
      </c>
      <c r="B944" t="str">
        <f>'Customers Raw data'!B944</f>
        <v>2025-03-17</v>
      </c>
      <c r="C944" t="str">
        <f>'Customers Raw data'!C944</f>
        <v>Pro</v>
      </c>
      <c r="D944">
        <f>'Customers Raw data'!D944</f>
        <v>200</v>
      </c>
      <c r="E944">
        <f>'Customers Raw data'!E944</f>
        <v>100</v>
      </c>
      <c r="F944">
        <f>'Customers Raw data'!F944</f>
        <v>0</v>
      </c>
      <c r="G944">
        <f>IF('Customers Raw data'!F944&lt;&gt;"",1,0)</f>
        <v>0</v>
      </c>
      <c r="H944" t="str">
        <f>IF('Customers Raw data'!F944&lt;&gt;"",YEAR(DATEVALUE('Customers Raw data'!F944)),"")</f>
        <v/>
      </c>
      <c r="I944" t="str">
        <f>IF('Customers Raw data'!F944&lt;&gt;"",MONTH(DATEVALUE('Customers Raw data'!F944)),"")</f>
        <v/>
      </c>
      <c r="J944">
        <f>YEAR(DATEVALUE('Customers Raw data'!B944))</f>
        <v>2025</v>
      </c>
      <c r="K944">
        <f>MONTH(DATEVALUE('Customers Raw data'!B944))</f>
        <v>3</v>
      </c>
      <c r="L944">
        <f ca="1">IF('Customers Raw data'!F944&lt;&gt;"",DATEDIF(DATEVALUE('Customers Raw data'!B944),DATEVALUE('Customers Raw data'!F944),"M"),DATEDIF(DATEVALUE('Customers Raw data'!B944),TODAY(),"M"))</f>
        <v>12</v>
      </c>
      <c r="M944">
        <f t="shared" ca="1" si="70"/>
        <v>2400</v>
      </c>
      <c r="N944">
        <f t="shared" si="71"/>
        <v>2</v>
      </c>
      <c r="O944">
        <f t="shared" ca="1" si="72"/>
        <v>0</v>
      </c>
      <c r="P944">
        <f t="shared" si="73"/>
        <v>0</v>
      </c>
      <c r="Q944" t="e">
        <f t="shared" si="74"/>
        <v>#VALUE!</v>
      </c>
    </row>
    <row r="945" spans="1:17" ht="15" customHeight="1" x14ac:dyDescent="0.25">
      <c r="A945">
        <f>'Customers Raw data'!A945</f>
        <v>1944</v>
      </c>
      <c r="B945" t="str">
        <f>'Customers Raw data'!B945</f>
        <v>2024-08-31</v>
      </c>
      <c r="C945" t="str">
        <f>'Customers Raw data'!C945</f>
        <v>Enterprise</v>
      </c>
      <c r="D945">
        <f>'Customers Raw data'!D945</f>
        <v>500</v>
      </c>
      <c r="E945">
        <f>'Customers Raw data'!E945</f>
        <v>200</v>
      </c>
      <c r="F945">
        <f>'Customers Raw data'!F945</f>
        <v>0</v>
      </c>
      <c r="G945">
        <f>IF('Customers Raw data'!F945&lt;&gt;"",1,0)</f>
        <v>0</v>
      </c>
      <c r="H945" t="str">
        <f>IF('Customers Raw data'!F945&lt;&gt;"",YEAR(DATEVALUE('Customers Raw data'!F945)),"")</f>
        <v/>
      </c>
      <c r="I945" t="str">
        <f>IF('Customers Raw data'!F945&lt;&gt;"",MONTH(DATEVALUE('Customers Raw data'!F945)),"")</f>
        <v/>
      </c>
      <c r="J945">
        <f>YEAR(DATEVALUE('Customers Raw data'!B945))</f>
        <v>2024</v>
      </c>
      <c r="K945">
        <f>MONTH(DATEVALUE('Customers Raw data'!B945))</f>
        <v>8</v>
      </c>
      <c r="L945">
        <f ca="1">IF('Customers Raw data'!F945&lt;&gt;"",DATEDIF(DATEVALUE('Customers Raw data'!B945),DATEVALUE('Customers Raw data'!F945),"M"),DATEDIF(DATEVALUE('Customers Raw data'!B945),TODAY(),"M"))</f>
        <v>19</v>
      </c>
      <c r="M945">
        <f t="shared" ca="1" si="70"/>
        <v>9500</v>
      </c>
      <c r="N945">
        <f t="shared" si="71"/>
        <v>3</v>
      </c>
      <c r="O945">
        <f t="shared" ca="1" si="72"/>
        <v>0</v>
      </c>
      <c r="P945">
        <f t="shared" si="73"/>
        <v>0</v>
      </c>
      <c r="Q945" t="e">
        <f t="shared" si="74"/>
        <v>#VALUE!</v>
      </c>
    </row>
    <row r="946" spans="1:17" ht="15" customHeight="1" x14ac:dyDescent="0.25">
      <c r="A946">
        <f>'Customers Raw data'!A946</f>
        <v>1945</v>
      </c>
      <c r="B946" t="str">
        <f>'Customers Raw data'!B946</f>
        <v>2025-04-05</v>
      </c>
      <c r="C946" t="str">
        <f>'Customers Raw data'!C946</f>
        <v>Pro</v>
      </c>
      <c r="D946">
        <f>'Customers Raw data'!D946</f>
        <v>200</v>
      </c>
      <c r="E946">
        <f>'Customers Raw data'!E946</f>
        <v>100</v>
      </c>
      <c r="F946">
        <f>'Customers Raw data'!F946</f>
        <v>0</v>
      </c>
      <c r="G946">
        <f>IF('Customers Raw data'!F946&lt;&gt;"",1,0)</f>
        <v>0</v>
      </c>
      <c r="H946" t="str">
        <f>IF('Customers Raw data'!F946&lt;&gt;"",YEAR(DATEVALUE('Customers Raw data'!F946)),"")</f>
        <v/>
      </c>
      <c r="I946" t="str">
        <f>IF('Customers Raw data'!F946&lt;&gt;"",MONTH(DATEVALUE('Customers Raw data'!F946)),"")</f>
        <v/>
      </c>
      <c r="J946">
        <f>YEAR(DATEVALUE('Customers Raw data'!B946))</f>
        <v>2025</v>
      </c>
      <c r="K946">
        <f>MONTH(DATEVALUE('Customers Raw data'!B946))</f>
        <v>4</v>
      </c>
      <c r="L946">
        <f ca="1">IF('Customers Raw data'!F946&lt;&gt;"",DATEDIF(DATEVALUE('Customers Raw data'!B946),DATEVALUE('Customers Raw data'!F946),"M"),DATEDIF(DATEVALUE('Customers Raw data'!B946),TODAY(),"M"))</f>
        <v>12</v>
      </c>
      <c r="M946">
        <f t="shared" ca="1" si="70"/>
        <v>2400</v>
      </c>
      <c r="N946">
        <f t="shared" si="71"/>
        <v>2</v>
      </c>
      <c r="O946">
        <f t="shared" ca="1" si="72"/>
        <v>0</v>
      </c>
      <c r="P946">
        <f t="shared" si="73"/>
        <v>0</v>
      </c>
      <c r="Q946" t="e">
        <f t="shared" si="74"/>
        <v>#VALUE!</v>
      </c>
    </row>
    <row r="947" spans="1:17" ht="15" customHeight="1" x14ac:dyDescent="0.25">
      <c r="A947">
        <f>'Customers Raw data'!A947</f>
        <v>1946</v>
      </c>
      <c r="B947" t="str">
        <f>'Customers Raw data'!B947</f>
        <v>2025-06-25</v>
      </c>
      <c r="C947" t="str">
        <f>'Customers Raw data'!C947</f>
        <v>Pro</v>
      </c>
      <c r="D947">
        <f>'Customers Raw data'!D947</f>
        <v>200</v>
      </c>
      <c r="E947">
        <f>'Customers Raw data'!E947</f>
        <v>100</v>
      </c>
      <c r="F947">
        <f>'Customers Raw data'!F947</f>
        <v>0</v>
      </c>
      <c r="G947">
        <f>IF('Customers Raw data'!F947&lt;&gt;"",1,0)</f>
        <v>0</v>
      </c>
      <c r="H947" t="str">
        <f>IF('Customers Raw data'!F947&lt;&gt;"",YEAR(DATEVALUE('Customers Raw data'!F947)),"")</f>
        <v/>
      </c>
      <c r="I947" t="str">
        <f>IF('Customers Raw data'!F947&lt;&gt;"",MONTH(DATEVALUE('Customers Raw data'!F947)),"")</f>
        <v/>
      </c>
      <c r="J947">
        <f>YEAR(DATEVALUE('Customers Raw data'!B947))</f>
        <v>2025</v>
      </c>
      <c r="K947">
        <f>MONTH(DATEVALUE('Customers Raw data'!B947))</f>
        <v>6</v>
      </c>
      <c r="L947">
        <f ca="1">IF('Customers Raw data'!F947&lt;&gt;"",DATEDIF(DATEVALUE('Customers Raw data'!B947),DATEVALUE('Customers Raw data'!F947),"M"),DATEDIF(DATEVALUE('Customers Raw data'!B947),TODAY(),"M"))</f>
        <v>9</v>
      </c>
      <c r="M947">
        <f t="shared" ca="1" si="70"/>
        <v>1800</v>
      </c>
      <c r="N947">
        <f t="shared" si="71"/>
        <v>2</v>
      </c>
      <c r="O947">
        <f t="shared" ca="1" si="72"/>
        <v>0</v>
      </c>
      <c r="P947">
        <f t="shared" si="73"/>
        <v>0</v>
      </c>
      <c r="Q947" t="e">
        <f t="shared" si="74"/>
        <v>#VALUE!</v>
      </c>
    </row>
    <row r="948" spans="1:17" ht="15" customHeight="1" x14ac:dyDescent="0.25">
      <c r="A948">
        <f>'Customers Raw data'!A948</f>
        <v>1947</v>
      </c>
      <c r="B948" t="str">
        <f>'Customers Raw data'!B948</f>
        <v>2024-04-27</v>
      </c>
      <c r="C948" t="str">
        <f>'Customers Raw data'!C948</f>
        <v>Basic</v>
      </c>
      <c r="D948">
        <f>'Customers Raw data'!D948</f>
        <v>50</v>
      </c>
      <c r="E948">
        <f>'Customers Raw data'!E948</f>
        <v>30</v>
      </c>
      <c r="F948">
        <f>'Customers Raw data'!F948</f>
        <v>0</v>
      </c>
      <c r="G948">
        <f>IF('Customers Raw data'!F948&lt;&gt;"",1,0)</f>
        <v>0</v>
      </c>
      <c r="H948" t="str">
        <f>IF('Customers Raw data'!F948&lt;&gt;"",YEAR(DATEVALUE('Customers Raw data'!F948)),"")</f>
        <v/>
      </c>
      <c r="I948" t="str">
        <f>IF('Customers Raw data'!F948&lt;&gt;"",MONTH(DATEVALUE('Customers Raw data'!F948)),"")</f>
        <v/>
      </c>
      <c r="J948">
        <f>YEAR(DATEVALUE('Customers Raw data'!B948))</f>
        <v>2024</v>
      </c>
      <c r="K948">
        <f>MONTH(DATEVALUE('Customers Raw data'!B948))</f>
        <v>4</v>
      </c>
      <c r="L948">
        <f ca="1">IF('Customers Raw data'!F948&lt;&gt;"",DATEDIF(DATEVALUE('Customers Raw data'!B948),DATEVALUE('Customers Raw data'!F948),"M"),DATEDIF(DATEVALUE('Customers Raw data'!B948),TODAY(),"M"))</f>
        <v>23</v>
      </c>
      <c r="M948">
        <f t="shared" ca="1" si="70"/>
        <v>1150</v>
      </c>
      <c r="N948">
        <f t="shared" si="71"/>
        <v>1</v>
      </c>
      <c r="O948">
        <f t="shared" ca="1" si="72"/>
        <v>0</v>
      </c>
      <c r="P948">
        <f t="shared" si="73"/>
        <v>0</v>
      </c>
      <c r="Q948" t="e">
        <f t="shared" si="74"/>
        <v>#VALUE!</v>
      </c>
    </row>
    <row r="949" spans="1:17" ht="15" customHeight="1" x14ac:dyDescent="0.25">
      <c r="A949">
        <f>'Customers Raw data'!A949</f>
        <v>1948</v>
      </c>
      <c r="B949" t="str">
        <f>'Customers Raw data'!B949</f>
        <v>2024-12-16</v>
      </c>
      <c r="C949" t="str">
        <f>'Customers Raw data'!C949</f>
        <v>Basic</v>
      </c>
      <c r="D949">
        <f>'Customers Raw data'!D949</f>
        <v>50</v>
      </c>
      <c r="E949">
        <f>'Customers Raw data'!E949</f>
        <v>30</v>
      </c>
      <c r="F949">
        <f>'Customers Raw data'!F949</f>
        <v>0</v>
      </c>
      <c r="G949">
        <f>IF('Customers Raw data'!F949&lt;&gt;"",1,0)</f>
        <v>0</v>
      </c>
      <c r="H949" t="str">
        <f>IF('Customers Raw data'!F949&lt;&gt;"",YEAR(DATEVALUE('Customers Raw data'!F949)),"")</f>
        <v/>
      </c>
      <c r="I949" t="str">
        <f>IF('Customers Raw data'!F949&lt;&gt;"",MONTH(DATEVALUE('Customers Raw data'!F949)),"")</f>
        <v/>
      </c>
      <c r="J949">
        <f>YEAR(DATEVALUE('Customers Raw data'!B949))</f>
        <v>2024</v>
      </c>
      <c r="K949">
        <f>MONTH(DATEVALUE('Customers Raw data'!B949))</f>
        <v>12</v>
      </c>
      <c r="L949">
        <f ca="1">IF('Customers Raw data'!F949&lt;&gt;"",DATEDIF(DATEVALUE('Customers Raw data'!B949),DATEVALUE('Customers Raw data'!F949),"M"),DATEDIF(DATEVALUE('Customers Raw data'!B949),TODAY(),"M"))</f>
        <v>15</v>
      </c>
      <c r="M949">
        <f t="shared" ca="1" si="70"/>
        <v>750</v>
      </c>
      <c r="N949">
        <f t="shared" si="71"/>
        <v>1</v>
      </c>
      <c r="O949">
        <f t="shared" ca="1" si="72"/>
        <v>0</v>
      </c>
      <c r="P949">
        <f t="shared" si="73"/>
        <v>0</v>
      </c>
      <c r="Q949" t="e">
        <f t="shared" si="74"/>
        <v>#VALUE!</v>
      </c>
    </row>
    <row r="950" spans="1:17" ht="15" customHeight="1" x14ac:dyDescent="0.25">
      <c r="A950">
        <f>'Customers Raw data'!A950</f>
        <v>1949</v>
      </c>
      <c r="B950" t="str">
        <f>'Customers Raw data'!B950</f>
        <v>2024-06-14</v>
      </c>
      <c r="C950" t="str">
        <f>'Customers Raw data'!C950</f>
        <v>Pro</v>
      </c>
      <c r="D950">
        <f>'Customers Raw data'!D950</f>
        <v>200</v>
      </c>
      <c r="E950">
        <f>'Customers Raw data'!E950</f>
        <v>100</v>
      </c>
      <c r="F950">
        <f>'Customers Raw data'!F950</f>
        <v>0</v>
      </c>
      <c r="G950">
        <f>IF('Customers Raw data'!F950&lt;&gt;"",1,0)</f>
        <v>0</v>
      </c>
      <c r="H950" t="str">
        <f>IF('Customers Raw data'!F950&lt;&gt;"",YEAR(DATEVALUE('Customers Raw data'!F950)),"")</f>
        <v/>
      </c>
      <c r="I950" t="str">
        <f>IF('Customers Raw data'!F950&lt;&gt;"",MONTH(DATEVALUE('Customers Raw data'!F950)),"")</f>
        <v/>
      </c>
      <c r="J950">
        <f>YEAR(DATEVALUE('Customers Raw data'!B950))</f>
        <v>2024</v>
      </c>
      <c r="K950">
        <f>MONTH(DATEVALUE('Customers Raw data'!B950))</f>
        <v>6</v>
      </c>
      <c r="L950">
        <f ca="1">IF('Customers Raw data'!F950&lt;&gt;"",DATEDIF(DATEVALUE('Customers Raw data'!B950),DATEVALUE('Customers Raw data'!F950),"M"),DATEDIF(DATEVALUE('Customers Raw data'!B950),TODAY(),"M"))</f>
        <v>21</v>
      </c>
      <c r="M950">
        <f t="shared" ca="1" si="70"/>
        <v>4200</v>
      </c>
      <c r="N950">
        <f t="shared" si="71"/>
        <v>2</v>
      </c>
      <c r="O950">
        <f t="shared" ca="1" si="72"/>
        <v>0</v>
      </c>
      <c r="P950">
        <f t="shared" si="73"/>
        <v>0</v>
      </c>
      <c r="Q950" t="e">
        <f t="shared" si="74"/>
        <v>#VALUE!</v>
      </c>
    </row>
    <row r="951" spans="1:17" ht="15" customHeight="1" x14ac:dyDescent="0.25">
      <c r="A951">
        <f>'Customers Raw data'!A951</f>
        <v>1950</v>
      </c>
      <c r="B951" t="str">
        <f>'Customers Raw data'!B951</f>
        <v>2024-04-14</v>
      </c>
      <c r="C951" t="str">
        <f>'Customers Raw data'!C951</f>
        <v>Pro</v>
      </c>
      <c r="D951">
        <f>'Customers Raw data'!D951</f>
        <v>200</v>
      </c>
      <c r="E951">
        <f>'Customers Raw data'!E951</f>
        <v>100</v>
      </c>
      <c r="F951">
        <f>'Customers Raw data'!F951</f>
        <v>0</v>
      </c>
      <c r="G951">
        <f>IF('Customers Raw data'!F951&lt;&gt;"",1,0)</f>
        <v>0</v>
      </c>
      <c r="H951" t="str">
        <f>IF('Customers Raw data'!F951&lt;&gt;"",YEAR(DATEVALUE('Customers Raw data'!F951)),"")</f>
        <v/>
      </c>
      <c r="I951" t="str">
        <f>IF('Customers Raw data'!F951&lt;&gt;"",MONTH(DATEVALUE('Customers Raw data'!F951)),"")</f>
        <v/>
      </c>
      <c r="J951">
        <f>YEAR(DATEVALUE('Customers Raw data'!B951))</f>
        <v>2024</v>
      </c>
      <c r="K951">
        <f>MONTH(DATEVALUE('Customers Raw data'!B951))</f>
        <v>4</v>
      </c>
      <c r="L951">
        <f ca="1">IF('Customers Raw data'!F951&lt;&gt;"",DATEDIF(DATEVALUE('Customers Raw data'!B951),DATEVALUE('Customers Raw data'!F951),"M"),DATEDIF(DATEVALUE('Customers Raw data'!B951),TODAY(),"M"))</f>
        <v>23</v>
      </c>
      <c r="M951">
        <f t="shared" ca="1" si="70"/>
        <v>4600</v>
      </c>
      <c r="N951">
        <f t="shared" si="71"/>
        <v>2</v>
      </c>
      <c r="O951">
        <f t="shared" ca="1" si="72"/>
        <v>0</v>
      </c>
      <c r="P951">
        <f t="shared" si="73"/>
        <v>0</v>
      </c>
      <c r="Q951" t="e">
        <f t="shared" si="74"/>
        <v>#VALUE!</v>
      </c>
    </row>
    <row r="952" spans="1:17" ht="15" customHeight="1" x14ac:dyDescent="0.25">
      <c r="A952">
        <f>'Customers Raw data'!A952</f>
        <v>1951</v>
      </c>
      <c r="B952" t="str">
        <f>'Customers Raw data'!B952</f>
        <v>2024-05-13</v>
      </c>
      <c r="C952" t="str">
        <f>'Customers Raw data'!C952</f>
        <v>Basic</v>
      </c>
      <c r="D952">
        <f>'Customers Raw data'!D952</f>
        <v>50</v>
      </c>
      <c r="E952">
        <f>'Customers Raw data'!E952</f>
        <v>30</v>
      </c>
      <c r="F952" t="str">
        <f>'Customers Raw data'!F952</f>
        <v>2024-11-02</v>
      </c>
      <c r="G952">
        <f>IF('Customers Raw data'!F952&lt;&gt;"",1,0)</f>
        <v>1</v>
      </c>
      <c r="H952">
        <f>IF('Customers Raw data'!F952&lt;&gt;"",YEAR(DATEVALUE('Customers Raw data'!F952)),"")</f>
        <v>2024</v>
      </c>
      <c r="I952">
        <f>IF('Customers Raw data'!F952&lt;&gt;"",MONTH(DATEVALUE('Customers Raw data'!F952)),"")</f>
        <v>11</v>
      </c>
      <c r="J952">
        <f>YEAR(DATEVALUE('Customers Raw data'!B952))</f>
        <v>2024</v>
      </c>
      <c r="K952">
        <f>MONTH(DATEVALUE('Customers Raw data'!B952))</f>
        <v>5</v>
      </c>
      <c r="L952">
        <f ca="1">IF('Customers Raw data'!F952&lt;&gt;"",DATEDIF(DATEVALUE('Customers Raw data'!B952),DATEVALUE('Customers Raw data'!F952),"M"),DATEDIF(DATEVALUE('Customers Raw data'!B952),TODAY(),"M"))</f>
        <v>5</v>
      </c>
      <c r="M952">
        <f t="shared" ca="1" si="70"/>
        <v>250</v>
      </c>
      <c r="N952">
        <f t="shared" si="71"/>
        <v>1</v>
      </c>
      <c r="O952">
        <f t="shared" ca="1" si="72"/>
        <v>1</v>
      </c>
      <c r="P952">
        <f t="shared" si="73"/>
        <v>50</v>
      </c>
      <c r="Q952" t="str">
        <f t="shared" si="74"/>
        <v>2024-11</v>
      </c>
    </row>
    <row r="953" spans="1:17" ht="15" customHeight="1" x14ac:dyDescent="0.25">
      <c r="A953">
        <f>'Customers Raw data'!A953</f>
        <v>1952</v>
      </c>
      <c r="B953" t="str">
        <f>'Customers Raw data'!B953</f>
        <v>2024-04-15</v>
      </c>
      <c r="C953" t="str">
        <f>'Customers Raw data'!C953</f>
        <v>Pro</v>
      </c>
      <c r="D953">
        <f>'Customers Raw data'!D953</f>
        <v>200</v>
      </c>
      <c r="E953">
        <f>'Customers Raw data'!E953</f>
        <v>100</v>
      </c>
      <c r="F953">
        <f>'Customers Raw data'!F953</f>
        <v>0</v>
      </c>
      <c r="G953">
        <f>IF('Customers Raw data'!F953&lt;&gt;"",1,0)</f>
        <v>0</v>
      </c>
      <c r="H953" t="str">
        <f>IF('Customers Raw data'!F953&lt;&gt;"",YEAR(DATEVALUE('Customers Raw data'!F953)),"")</f>
        <v/>
      </c>
      <c r="I953" t="str">
        <f>IF('Customers Raw data'!F953&lt;&gt;"",MONTH(DATEVALUE('Customers Raw data'!F953)),"")</f>
        <v/>
      </c>
      <c r="J953">
        <f>YEAR(DATEVALUE('Customers Raw data'!B953))</f>
        <v>2024</v>
      </c>
      <c r="K953">
        <f>MONTH(DATEVALUE('Customers Raw data'!B953))</f>
        <v>4</v>
      </c>
      <c r="L953">
        <f ca="1">IF('Customers Raw data'!F953&lt;&gt;"",DATEDIF(DATEVALUE('Customers Raw data'!B953),DATEVALUE('Customers Raw data'!F953),"M"),DATEDIF(DATEVALUE('Customers Raw data'!B953),TODAY(),"M"))</f>
        <v>23</v>
      </c>
      <c r="M953">
        <f t="shared" ca="1" si="70"/>
        <v>4600</v>
      </c>
      <c r="N953">
        <f t="shared" si="71"/>
        <v>2</v>
      </c>
      <c r="O953">
        <f t="shared" ca="1" si="72"/>
        <v>0</v>
      </c>
      <c r="P953">
        <f t="shared" si="73"/>
        <v>0</v>
      </c>
      <c r="Q953" t="e">
        <f t="shared" si="74"/>
        <v>#VALUE!</v>
      </c>
    </row>
    <row r="954" spans="1:17" ht="15" customHeight="1" x14ac:dyDescent="0.25">
      <c r="A954">
        <f>'Customers Raw data'!A954</f>
        <v>1953</v>
      </c>
      <c r="B954" t="str">
        <f>'Customers Raw data'!B954</f>
        <v>2025-06-20</v>
      </c>
      <c r="C954" t="str">
        <f>'Customers Raw data'!C954</f>
        <v>Basic</v>
      </c>
      <c r="D954">
        <f>'Customers Raw data'!D954</f>
        <v>50</v>
      </c>
      <c r="E954">
        <f>'Customers Raw data'!E954</f>
        <v>30</v>
      </c>
      <c r="F954" t="str">
        <f>'Customers Raw data'!F954</f>
        <v>2025-06-30</v>
      </c>
      <c r="G954">
        <f>IF('Customers Raw data'!F954&lt;&gt;"",1,0)</f>
        <v>1</v>
      </c>
      <c r="H954">
        <f>IF('Customers Raw data'!F954&lt;&gt;"",YEAR(DATEVALUE('Customers Raw data'!F954)),"")</f>
        <v>2025</v>
      </c>
      <c r="I954">
        <f>IF('Customers Raw data'!F954&lt;&gt;"",MONTH(DATEVALUE('Customers Raw data'!F954)),"")</f>
        <v>6</v>
      </c>
      <c r="J954">
        <f>YEAR(DATEVALUE('Customers Raw data'!B954))</f>
        <v>2025</v>
      </c>
      <c r="K954">
        <f>MONTH(DATEVALUE('Customers Raw data'!B954))</f>
        <v>6</v>
      </c>
      <c r="L954">
        <f ca="1">IF('Customers Raw data'!F954&lt;&gt;"",DATEDIF(DATEVALUE('Customers Raw data'!B954),DATEVALUE('Customers Raw data'!F954),"M"),DATEDIF(DATEVALUE('Customers Raw data'!B954),TODAY(),"M"))</f>
        <v>0</v>
      </c>
      <c r="M954">
        <f t="shared" ca="1" si="70"/>
        <v>0</v>
      </c>
      <c r="N954">
        <f t="shared" si="71"/>
        <v>1</v>
      </c>
      <c r="O954">
        <f t="shared" ca="1" si="72"/>
        <v>1</v>
      </c>
      <c r="P954">
        <f t="shared" si="73"/>
        <v>50</v>
      </c>
      <c r="Q954" t="str">
        <f t="shared" si="74"/>
        <v>2025-06</v>
      </c>
    </row>
    <row r="955" spans="1:17" ht="15" customHeight="1" x14ac:dyDescent="0.25">
      <c r="A955">
        <f>'Customers Raw data'!A955</f>
        <v>1954</v>
      </c>
      <c r="B955" t="str">
        <f>'Customers Raw data'!B955</f>
        <v>2024-10-16</v>
      </c>
      <c r="C955" t="str">
        <f>'Customers Raw data'!C955</f>
        <v>Enterprise</v>
      </c>
      <c r="D955">
        <f>'Customers Raw data'!D955</f>
        <v>500</v>
      </c>
      <c r="E955">
        <f>'Customers Raw data'!E955</f>
        <v>200</v>
      </c>
      <c r="F955">
        <f>'Customers Raw data'!F955</f>
        <v>0</v>
      </c>
      <c r="G955">
        <f>IF('Customers Raw data'!F955&lt;&gt;"",1,0)</f>
        <v>0</v>
      </c>
      <c r="H955" t="str">
        <f>IF('Customers Raw data'!F955&lt;&gt;"",YEAR(DATEVALUE('Customers Raw data'!F955)),"")</f>
        <v/>
      </c>
      <c r="I955" t="str">
        <f>IF('Customers Raw data'!F955&lt;&gt;"",MONTH(DATEVALUE('Customers Raw data'!F955)),"")</f>
        <v/>
      </c>
      <c r="J955">
        <f>YEAR(DATEVALUE('Customers Raw data'!B955))</f>
        <v>2024</v>
      </c>
      <c r="K955">
        <f>MONTH(DATEVALUE('Customers Raw data'!B955))</f>
        <v>10</v>
      </c>
      <c r="L955">
        <f ca="1">IF('Customers Raw data'!F955&lt;&gt;"",DATEDIF(DATEVALUE('Customers Raw data'!B955),DATEVALUE('Customers Raw data'!F955),"M"),DATEDIF(DATEVALUE('Customers Raw data'!B955),TODAY(),"M"))</f>
        <v>17</v>
      </c>
      <c r="M955">
        <f t="shared" ca="1" si="70"/>
        <v>8500</v>
      </c>
      <c r="N955">
        <f t="shared" si="71"/>
        <v>3</v>
      </c>
      <c r="O955">
        <f t="shared" ca="1" si="72"/>
        <v>0</v>
      </c>
      <c r="P955">
        <f t="shared" si="73"/>
        <v>0</v>
      </c>
      <c r="Q955" t="e">
        <f t="shared" si="74"/>
        <v>#VALUE!</v>
      </c>
    </row>
    <row r="956" spans="1:17" ht="15" customHeight="1" x14ac:dyDescent="0.25">
      <c r="A956">
        <f>'Customers Raw data'!A956</f>
        <v>1955</v>
      </c>
      <c r="B956" t="str">
        <f>'Customers Raw data'!B956</f>
        <v>2025-01-12</v>
      </c>
      <c r="C956" t="str">
        <f>'Customers Raw data'!C956</f>
        <v>Pro</v>
      </c>
      <c r="D956">
        <f>'Customers Raw data'!D956</f>
        <v>200</v>
      </c>
      <c r="E956">
        <f>'Customers Raw data'!E956</f>
        <v>100</v>
      </c>
      <c r="F956">
        <f>'Customers Raw data'!F956</f>
        <v>0</v>
      </c>
      <c r="G956">
        <f>IF('Customers Raw data'!F956&lt;&gt;"",1,0)</f>
        <v>0</v>
      </c>
      <c r="H956" t="str">
        <f>IF('Customers Raw data'!F956&lt;&gt;"",YEAR(DATEVALUE('Customers Raw data'!F956)),"")</f>
        <v/>
      </c>
      <c r="I956" t="str">
        <f>IF('Customers Raw data'!F956&lt;&gt;"",MONTH(DATEVALUE('Customers Raw data'!F956)),"")</f>
        <v/>
      </c>
      <c r="J956">
        <f>YEAR(DATEVALUE('Customers Raw data'!B956))</f>
        <v>2025</v>
      </c>
      <c r="K956">
        <f>MONTH(DATEVALUE('Customers Raw data'!B956))</f>
        <v>1</v>
      </c>
      <c r="L956">
        <f ca="1">IF('Customers Raw data'!F956&lt;&gt;"",DATEDIF(DATEVALUE('Customers Raw data'!B956),DATEVALUE('Customers Raw data'!F956),"M"),DATEDIF(DATEVALUE('Customers Raw data'!B956),TODAY(),"M"))</f>
        <v>14</v>
      </c>
      <c r="M956">
        <f t="shared" ca="1" si="70"/>
        <v>2800</v>
      </c>
      <c r="N956">
        <f t="shared" si="71"/>
        <v>2</v>
      </c>
      <c r="O956">
        <f t="shared" ca="1" si="72"/>
        <v>0</v>
      </c>
      <c r="P956">
        <f t="shared" si="73"/>
        <v>0</v>
      </c>
      <c r="Q956" t="e">
        <f t="shared" si="74"/>
        <v>#VALUE!</v>
      </c>
    </row>
    <row r="957" spans="1:17" ht="15" customHeight="1" x14ac:dyDescent="0.25">
      <c r="A957">
        <f>'Customers Raw data'!A957</f>
        <v>1956</v>
      </c>
      <c r="B957" t="str">
        <f>'Customers Raw data'!B957</f>
        <v>2025-05-11</v>
      </c>
      <c r="C957" t="str">
        <f>'Customers Raw data'!C957</f>
        <v>Basic</v>
      </c>
      <c r="D957">
        <f>'Customers Raw data'!D957</f>
        <v>50</v>
      </c>
      <c r="E957">
        <f>'Customers Raw data'!E957</f>
        <v>30</v>
      </c>
      <c r="F957">
        <f>'Customers Raw data'!F957</f>
        <v>0</v>
      </c>
      <c r="G957">
        <f>IF('Customers Raw data'!F957&lt;&gt;"",1,0)</f>
        <v>0</v>
      </c>
      <c r="H957" t="str">
        <f>IF('Customers Raw data'!F957&lt;&gt;"",YEAR(DATEVALUE('Customers Raw data'!F957)),"")</f>
        <v/>
      </c>
      <c r="I957" t="str">
        <f>IF('Customers Raw data'!F957&lt;&gt;"",MONTH(DATEVALUE('Customers Raw data'!F957)),"")</f>
        <v/>
      </c>
      <c r="J957">
        <f>YEAR(DATEVALUE('Customers Raw data'!B957))</f>
        <v>2025</v>
      </c>
      <c r="K957">
        <f>MONTH(DATEVALUE('Customers Raw data'!B957))</f>
        <v>5</v>
      </c>
      <c r="L957">
        <f ca="1">IF('Customers Raw data'!F957&lt;&gt;"",DATEDIF(DATEVALUE('Customers Raw data'!B957),DATEVALUE('Customers Raw data'!F957),"M"),DATEDIF(DATEVALUE('Customers Raw data'!B957),TODAY(),"M"))</f>
        <v>10</v>
      </c>
      <c r="M957">
        <f t="shared" ca="1" si="70"/>
        <v>500</v>
      </c>
      <c r="N957">
        <f t="shared" si="71"/>
        <v>1</v>
      </c>
      <c r="O957">
        <f t="shared" ca="1" si="72"/>
        <v>0</v>
      </c>
      <c r="P957">
        <f t="shared" si="73"/>
        <v>0</v>
      </c>
      <c r="Q957" t="e">
        <f t="shared" si="74"/>
        <v>#VALUE!</v>
      </c>
    </row>
    <row r="958" spans="1:17" ht="15" customHeight="1" x14ac:dyDescent="0.25">
      <c r="A958">
        <f>'Customers Raw data'!A958</f>
        <v>1957</v>
      </c>
      <c r="B958" t="str">
        <f>'Customers Raw data'!B958</f>
        <v>2025-04-13</v>
      </c>
      <c r="C958" t="str">
        <f>'Customers Raw data'!C958</f>
        <v>Pro</v>
      </c>
      <c r="D958">
        <f>'Customers Raw data'!D958</f>
        <v>200</v>
      </c>
      <c r="E958">
        <f>'Customers Raw data'!E958</f>
        <v>100</v>
      </c>
      <c r="F958">
        <f>'Customers Raw data'!F958</f>
        <v>0</v>
      </c>
      <c r="G958">
        <f>IF('Customers Raw data'!F958&lt;&gt;"",1,0)</f>
        <v>0</v>
      </c>
      <c r="H958" t="str">
        <f>IF('Customers Raw data'!F958&lt;&gt;"",YEAR(DATEVALUE('Customers Raw data'!F958)),"")</f>
        <v/>
      </c>
      <c r="I958" t="str">
        <f>IF('Customers Raw data'!F958&lt;&gt;"",MONTH(DATEVALUE('Customers Raw data'!F958)),"")</f>
        <v/>
      </c>
      <c r="J958">
        <f>YEAR(DATEVALUE('Customers Raw data'!B958))</f>
        <v>2025</v>
      </c>
      <c r="K958">
        <f>MONTH(DATEVALUE('Customers Raw data'!B958))</f>
        <v>4</v>
      </c>
      <c r="L958">
        <f ca="1">IF('Customers Raw data'!F958&lt;&gt;"",DATEDIF(DATEVALUE('Customers Raw data'!B958),DATEVALUE('Customers Raw data'!F958),"M"),DATEDIF(DATEVALUE('Customers Raw data'!B958),TODAY(),"M"))</f>
        <v>11</v>
      </c>
      <c r="M958">
        <f t="shared" ca="1" si="70"/>
        <v>2200</v>
      </c>
      <c r="N958">
        <f t="shared" si="71"/>
        <v>2</v>
      </c>
      <c r="O958">
        <f t="shared" ca="1" si="72"/>
        <v>0</v>
      </c>
      <c r="P958">
        <f t="shared" si="73"/>
        <v>0</v>
      </c>
      <c r="Q958" t="e">
        <f t="shared" si="74"/>
        <v>#VALUE!</v>
      </c>
    </row>
    <row r="959" spans="1:17" ht="15" customHeight="1" x14ac:dyDescent="0.25">
      <c r="A959">
        <f>'Customers Raw data'!A959</f>
        <v>1958</v>
      </c>
      <c r="B959" t="str">
        <f>'Customers Raw data'!B959</f>
        <v>2024-03-22</v>
      </c>
      <c r="C959" t="str">
        <f>'Customers Raw data'!C959</f>
        <v>Enterprise</v>
      </c>
      <c r="D959">
        <f>'Customers Raw data'!D959</f>
        <v>500</v>
      </c>
      <c r="E959">
        <f>'Customers Raw data'!E959</f>
        <v>200</v>
      </c>
      <c r="F959">
        <f>'Customers Raw data'!F959</f>
        <v>0</v>
      </c>
      <c r="G959">
        <f>IF('Customers Raw data'!F959&lt;&gt;"",1,0)</f>
        <v>0</v>
      </c>
      <c r="H959" t="str">
        <f>IF('Customers Raw data'!F959&lt;&gt;"",YEAR(DATEVALUE('Customers Raw data'!F959)),"")</f>
        <v/>
      </c>
      <c r="I959" t="str">
        <f>IF('Customers Raw data'!F959&lt;&gt;"",MONTH(DATEVALUE('Customers Raw data'!F959)),"")</f>
        <v/>
      </c>
      <c r="J959">
        <f>YEAR(DATEVALUE('Customers Raw data'!B959))</f>
        <v>2024</v>
      </c>
      <c r="K959">
        <f>MONTH(DATEVALUE('Customers Raw data'!B959))</f>
        <v>3</v>
      </c>
      <c r="L959">
        <f ca="1">IF('Customers Raw data'!F959&lt;&gt;"",DATEDIF(DATEVALUE('Customers Raw data'!B959),DATEVALUE('Customers Raw data'!F959),"M"),DATEDIF(DATEVALUE('Customers Raw data'!B959),TODAY(),"M"))</f>
        <v>24</v>
      </c>
      <c r="M959">
        <f t="shared" ca="1" si="70"/>
        <v>12000</v>
      </c>
      <c r="N959">
        <f t="shared" si="71"/>
        <v>3</v>
      </c>
      <c r="O959">
        <f t="shared" ca="1" si="72"/>
        <v>0</v>
      </c>
      <c r="P959">
        <f t="shared" si="73"/>
        <v>0</v>
      </c>
      <c r="Q959" t="e">
        <f t="shared" si="74"/>
        <v>#VALUE!</v>
      </c>
    </row>
    <row r="960" spans="1:17" ht="15" customHeight="1" x14ac:dyDescent="0.25">
      <c r="A960">
        <f>'Customers Raw data'!A960</f>
        <v>1959</v>
      </c>
      <c r="B960" t="str">
        <f>'Customers Raw data'!B960</f>
        <v>2024-07-14</v>
      </c>
      <c r="C960" t="str">
        <f>'Customers Raw data'!C960</f>
        <v>Basic</v>
      </c>
      <c r="D960">
        <f>'Customers Raw data'!D960</f>
        <v>50</v>
      </c>
      <c r="E960">
        <f>'Customers Raw data'!E960</f>
        <v>30</v>
      </c>
      <c r="F960">
        <f>'Customers Raw data'!F960</f>
        <v>0</v>
      </c>
      <c r="G960">
        <f>IF('Customers Raw data'!F960&lt;&gt;"",1,0)</f>
        <v>0</v>
      </c>
      <c r="H960" t="str">
        <f>IF('Customers Raw data'!F960&lt;&gt;"",YEAR(DATEVALUE('Customers Raw data'!F960)),"")</f>
        <v/>
      </c>
      <c r="I960" t="str">
        <f>IF('Customers Raw data'!F960&lt;&gt;"",MONTH(DATEVALUE('Customers Raw data'!F960)),"")</f>
        <v/>
      </c>
      <c r="J960">
        <f>YEAR(DATEVALUE('Customers Raw data'!B960))</f>
        <v>2024</v>
      </c>
      <c r="K960">
        <f>MONTH(DATEVALUE('Customers Raw data'!B960))</f>
        <v>7</v>
      </c>
      <c r="L960">
        <f ca="1">IF('Customers Raw data'!F960&lt;&gt;"",DATEDIF(DATEVALUE('Customers Raw data'!B960),DATEVALUE('Customers Raw data'!F960),"M"),DATEDIF(DATEVALUE('Customers Raw data'!B960),TODAY(),"M"))</f>
        <v>20</v>
      </c>
      <c r="M960">
        <f t="shared" ca="1" si="70"/>
        <v>1000</v>
      </c>
      <c r="N960">
        <f t="shared" si="71"/>
        <v>1</v>
      </c>
      <c r="O960">
        <f t="shared" ca="1" si="72"/>
        <v>0</v>
      </c>
      <c r="P960">
        <f t="shared" si="73"/>
        <v>0</v>
      </c>
      <c r="Q960" t="e">
        <f t="shared" si="74"/>
        <v>#VALUE!</v>
      </c>
    </row>
    <row r="961" spans="1:17" ht="15" customHeight="1" x14ac:dyDescent="0.25">
      <c r="A961">
        <f>'Customers Raw data'!A961</f>
        <v>1960</v>
      </c>
      <c r="B961" t="str">
        <f>'Customers Raw data'!B961</f>
        <v>2024-01-15</v>
      </c>
      <c r="C961" t="str">
        <f>'Customers Raw data'!C961</f>
        <v>Enterprise</v>
      </c>
      <c r="D961">
        <f>'Customers Raw data'!D961</f>
        <v>500</v>
      </c>
      <c r="E961">
        <f>'Customers Raw data'!E961</f>
        <v>200</v>
      </c>
      <c r="F961">
        <f>'Customers Raw data'!F961</f>
        <v>0</v>
      </c>
      <c r="G961">
        <f>IF('Customers Raw data'!F961&lt;&gt;"",1,0)</f>
        <v>0</v>
      </c>
      <c r="H961" t="str">
        <f>IF('Customers Raw data'!F961&lt;&gt;"",YEAR(DATEVALUE('Customers Raw data'!F961)),"")</f>
        <v/>
      </c>
      <c r="I961" t="str">
        <f>IF('Customers Raw data'!F961&lt;&gt;"",MONTH(DATEVALUE('Customers Raw data'!F961)),"")</f>
        <v/>
      </c>
      <c r="J961">
        <f>YEAR(DATEVALUE('Customers Raw data'!B961))</f>
        <v>2024</v>
      </c>
      <c r="K961">
        <f>MONTH(DATEVALUE('Customers Raw data'!B961))</f>
        <v>1</v>
      </c>
      <c r="L961">
        <f ca="1">IF('Customers Raw data'!F961&lt;&gt;"",DATEDIF(DATEVALUE('Customers Raw data'!B961),DATEVALUE('Customers Raw data'!F961),"M"),DATEDIF(DATEVALUE('Customers Raw data'!B961),TODAY(),"M"))</f>
        <v>26</v>
      </c>
      <c r="M961">
        <f t="shared" ca="1" si="70"/>
        <v>13000</v>
      </c>
      <c r="N961">
        <f t="shared" si="71"/>
        <v>3</v>
      </c>
      <c r="O961">
        <f t="shared" ca="1" si="72"/>
        <v>0</v>
      </c>
      <c r="P961">
        <f t="shared" si="73"/>
        <v>0</v>
      </c>
      <c r="Q961" t="e">
        <f t="shared" si="74"/>
        <v>#VALUE!</v>
      </c>
    </row>
    <row r="962" spans="1:17" ht="15" customHeight="1" x14ac:dyDescent="0.25">
      <c r="A962">
        <f>'Customers Raw data'!A962</f>
        <v>1961</v>
      </c>
      <c r="B962" t="str">
        <f>'Customers Raw data'!B962</f>
        <v>2024-11-27</v>
      </c>
      <c r="C962" t="str">
        <f>'Customers Raw data'!C962</f>
        <v>Pro</v>
      </c>
      <c r="D962">
        <f>'Customers Raw data'!D962</f>
        <v>200</v>
      </c>
      <c r="E962">
        <f>'Customers Raw data'!E962</f>
        <v>100</v>
      </c>
      <c r="F962">
        <f>'Customers Raw data'!F962</f>
        <v>0</v>
      </c>
      <c r="G962">
        <f>IF('Customers Raw data'!F962&lt;&gt;"",1,0)</f>
        <v>0</v>
      </c>
      <c r="H962" t="str">
        <f>IF('Customers Raw data'!F962&lt;&gt;"",YEAR(DATEVALUE('Customers Raw data'!F962)),"")</f>
        <v/>
      </c>
      <c r="I962" t="str">
        <f>IF('Customers Raw data'!F962&lt;&gt;"",MONTH(DATEVALUE('Customers Raw data'!F962)),"")</f>
        <v/>
      </c>
      <c r="J962">
        <f>YEAR(DATEVALUE('Customers Raw data'!B962))</f>
        <v>2024</v>
      </c>
      <c r="K962">
        <f>MONTH(DATEVALUE('Customers Raw data'!B962))</f>
        <v>11</v>
      </c>
      <c r="L962">
        <f ca="1">IF('Customers Raw data'!F962&lt;&gt;"",DATEDIF(DATEVALUE('Customers Raw data'!B962),DATEVALUE('Customers Raw data'!F962),"M"),DATEDIF(DATEVALUE('Customers Raw data'!B962),TODAY(),"M"))</f>
        <v>16</v>
      </c>
      <c r="M962">
        <f t="shared" ref="M962:M1001" ca="1" si="75">D962*L962</f>
        <v>3200</v>
      </c>
      <c r="N962">
        <f t="shared" ref="N962:N1001" si="76">IF(C962="Basic",1,IF(C962="Pro",2,IF(C962="Enterprise",3,0)))</f>
        <v>2</v>
      </c>
      <c r="O962">
        <f t="shared" ref="O962:O1001" ca="1" si="77">IF(AND(G962=1,L962&lt;6),1,0)</f>
        <v>0</v>
      </c>
      <c r="P962">
        <f t="shared" ref="P962:P1001" si="78">IF(G962=1,D962,0)</f>
        <v>0</v>
      </c>
      <c r="Q962" t="e">
        <f t="shared" ref="Q962:Q1001" si="79">IF(F962&lt;&gt;"",TEXT(DATEVALUE(F962),"YYYY-MM"),"")</f>
        <v>#VALUE!</v>
      </c>
    </row>
    <row r="963" spans="1:17" ht="15" customHeight="1" x14ac:dyDescent="0.25">
      <c r="A963">
        <f>'Customers Raw data'!A963</f>
        <v>1962</v>
      </c>
      <c r="B963" t="str">
        <f>'Customers Raw data'!B963</f>
        <v>2024-01-05</v>
      </c>
      <c r="C963" t="str">
        <f>'Customers Raw data'!C963</f>
        <v>Pro</v>
      </c>
      <c r="D963">
        <f>'Customers Raw data'!D963</f>
        <v>200</v>
      </c>
      <c r="E963">
        <f>'Customers Raw data'!E963</f>
        <v>100</v>
      </c>
      <c r="F963">
        <f>'Customers Raw data'!F963</f>
        <v>0</v>
      </c>
      <c r="G963">
        <f>IF('Customers Raw data'!F963&lt;&gt;"",1,0)</f>
        <v>0</v>
      </c>
      <c r="H963" t="str">
        <f>IF('Customers Raw data'!F963&lt;&gt;"",YEAR(DATEVALUE('Customers Raw data'!F963)),"")</f>
        <v/>
      </c>
      <c r="I963" t="str">
        <f>IF('Customers Raw data'!F963&lt;&gt;"",MONTH(DATEVALUE('Customers Raw data'!F963)),"")</f>
        <v/>
      </c>
      <c r="J963">
        <f>YEAR(DATEVALUE('Customers Raw data'!B963))</f>
        <v>2024</v>
      </c>
      <c r="K963">
        <f>MONTH(DATEVALUE('Customers Raw data'!B963))</f>
        <v>1</v>
      </c>
      <c r="L963">
        <f ca="1">IF('Customers Raw data'!F963&lt;&gt;"",DATEDIF(DATEVALUE('Customers Raw data'!B963),DATEVALUE('Customers Raw data'!F963),"M"),DATEDIF(DATEVALUE('Customers Raw data'!B963),TODAY(),"M"))</f>
        <v>27</v>
      </c>
      <c r="M963">
        <f t="shared" ca="1" si="75"/>
        <v>5400</v>
      </c>
      <c r="N963">
        <f t="shared" si="76"/>
        <v>2</v>
      </c>
      <c r="O963">
        <f t="shared" ca="1" si="77"/>
        <v>0</v>
      </c>
      <c r="P963">
        <f t="shared" si="78"/>
        <v>0</v>
      </c>
      <c r="Q963" t="e">
        <f t="shared" si="79"/>
        <v>#VALUE!</v>
      </c>
    </row>
    <row r="964" spans="1:17" ht="15" customHeight="1" x14ac:dyDescent="0.25">
      <c r="A964">
        <f>'Customers Raw data'!A964</f>
        <v>1963</v>
      </c>
      <c r="B964" t="str">
        <f>'Customers Raw data'!B964</f>
        <v>2024-06-06</v>
      </c>
      <c r="C964" t="str">
        <f>'Customers Raw data'!C964</f>
        <v>Enterprise</v>
      </c>
      <c r="D964">
        <f>'Customers Raw data'!D964</f>
        <v>500</v>
      </c>
      <c r="E964">
        <f>'Customers Raw data'!E964</f>
        <v>200</v>
      </c>
      <c r="F964">
        <f>'Customers Raw data'!F964</f>
        <v>0</v>
      </c>
      <c r="G964">
        <f>IF('Customers Raw data'!F964&lt;&gt;"",1,0)</f>
        <v>0</v>
      </c>
      <c r="H964" t="str">
        <f>IF('Customers Raw data'!F964&lt;&gt;"",YEAR(DATEVALUE('Customers Raw data'!F964)),"")</f>
        <v/>
      </c>
      <c r="I964" t="str">
        <f>IF('Customers Raw data'!F964&lt;&gt;"",MONTH(DATEVALUE('Customers Raw data'!F964)),"")</f>
        <v/>
      </c>
      <c r="J964">
        <f>YEAR(DATEVALUE('Customers Raw data'!B964))</f>
        <v>2024</v>
      </c>
      <c r="K964">
        <f>MONTH(DATEVALUE('Customers Raw data'!B964))</f>
        <v>6</v>
      </c>
      <c r="L964">
        <f ca="1">IF('Customers Raw data'!F964&lt;&gt;"",DATEDIF(DATEVALUE('Customers Raw data'!B964),DATEVALUE('Customers Raw data'!F964),"M"),DATEDIF(DATEVALUE('Customers Raw data'!B964),TODAY(),"M"))</f>
        <v>22</v>
      </c>
      <c r="M964">
        <f t="shared" ca="1" si="75"/>
        <v>11000</v>
      </c>
      <c r="N964">
        <f t="shared" si="76"/>
        <v>3</v>
      </c>
      <c r="O964">
        <f t="shared" ca="1" si="77"/>
        <v>0</v>
      </c>
      <c r="P964">
        <f t="shared" si="78"/>
        <v>0</v>
      </c>
      <c r="Q964" t="e">
        <f t="shared" si="79"/>
        <v>#VALUE!</v>
      </c>
    </row>
    <row r="965" spans="1:17" ht="15" customHeight="1" x14ac:dyDescent="0.25">
      <c r="A965">
        <f>'Customers Raw data'!A965</f>
        <v>1964</v>
      </c>
      <c r="B965" t="str">
        <f>'Customers Raw data'!B965</f>
        <v>2025-05-21</v>
      </c>
      <c r="C965" t="str">
        <f>'Customers Raw data'!C965</f>
        <v>Enterprise</v>
      </c>
      <c r="D965">
        <f>'Customers Raw data'!D965</f>
        <v>500</v>
      </c>
      <c r="E965">
        <f>'Customers Raw data'!E965</f>
        <v>200</v>
      </c>
      <c r="F965">
        <f>'Customers Raw data'!F965</f>
        <v>0</v>
      </c>
      <c r="G965">
        <f>IF('Customers Raw data'!F965&lt;&gt;"",1,0)</f>
        <v>0</v>
      </c>
      <c r="H965" t="str">
        <f>IF('Customers Raw data'!F965&lt;&gt;"",YEAR(DATEVALUE('Customers Raw data'!F965)),"")</f>
        <v/>
      </c>
      <c r="I965" t="str">
        <f>IF('Customers Raw data'!F965&lt;&gt;"",MONTH(DATEVALUE('Customers Raw data'!F965)),"")</f>
        <v/>
      </c>
      <c r="J965">
        <f>YEAR(DATEVALUE('Customers Raw data'!B965))</f>
        <v>2025</v>
      </c>
      <c r="K965">
        <f>MONTH(DATEVALUE('Customers Raw data'!B965))</f>
        <v>5</v>
      </c>
      <c r="L965">
        <f ca="1">IF('Customers Raw data'!F965&lt;&gt;"",DATEDIF(DATEVALUE('Customers Raw data'!B965),DATEVALUE('Customers Raw data'!F965),"M"),DATEDIF(DATEVALUE('Customers Raw data'!B965),TODAY(),"M"))</f>
        <v>10</v>
      </c>
      <c r="M965">
        <f t="shared" ca="1" si="75"/>
        <v>5000</v>
      </c>
      <c r="N965">
        <f t="shared" si="76"/>
        <v>3</v>
      </c>
      <c r="O965">
        <f t="shared" ca="1" si="77"/>
        <v>0</v>
      </c>
      <c r="P965">
        <f t="shared" si="78"/>
        <v>0</v>
      </c>
      <c r="Q965" t="e">
        <f t="shared" si="79"/>
        <v>#VALUE!</v>
      </c>
    </row>
    <row r="966" spans="1:17" ht="15" customHeight="1" x14ac:dyDescent="0.25">
      <c r="A966">
        <f>'Customers Raw data'!A966</f>
        <v>1965</v>
      </c>
      <c r="B966" t="str">
        <f>'Customers Raw data'!B966</f>
        <v>2024-01-24</v>
      </c>
      <c r="C966" t="str">
        <f>'Customers Raw data'!C966</f>
        <v>Basic</v>
      </c>
      <c r="D966">
        <f>'Customers Raw data'!D966</f>
        <v>50</v>
      </c>
      <c r="E966">
        <f>'Customers Raw data'!E966</f>
        <v>30</v>
      </c>
      <c r="F966" t="str">
        <f>'Customers Raw data'!F966</f>
        <v>2025-06-15</v>
      </c>
      <c r="G966">
        <f>IF('Customers Raw data'!F966&lt;&gt;"",1,0)</f>
        <v>1</v>
      </c>
      <c r="H966">
        <f>IF('Customers Raw data'!F966&lt;&gt;"",YEAR(DATEVALUE('Customers Raw data'!F966)),"")</f>
        <v>2025</v>
      </c>
      <c r="I966">
        <f>IF('Customers Raw data'!F966&lt;&gt;"",MONTH(DATEVALUE('Customers Raw data'!F966)),"")</f>
        <v>6</v>
      </c>
      <c r="J966">
        <f>YEAR(DATEVALUE('Customers Raw data'!B966))</f>
        <v>2024</v>
      </c>
      <c r="K966">
        <f>MONTH(DATEVALUE('Customers Raw data'!B966))</f>
        <v>1</v>
      </c>
      <c r="L966">
        <f ca="1">IF('Customers Raw data'!F966&lt;&gt;"",DATEDIF(DATEVALUE('Customers Raw data'!B966),DATEVALUE('Customers Raw data'!F966),"M"),DATEDIF(DATEVALUE('Customers Raw data'!B966),TODAY(),"M"))</f>
        <v>16</v>
      </c>
      <c r="M966">
        <f t="shared" ca="1" si="75"/>
        <v>800</v>
      </c>
      <c r="N966">
        <f t="shared" si="76"/>
        <v>1</v>
      </c>
      <c r="O966">
        <f t="shared" ca="1" si="77"/>
        <v>0</v>
      </c>
      <c r="P966">
        <f t="shared" si="78"/>
        <v>50</v>
      </c>
      <c r="Q966" t="str">
        <f t="shared" si="79"/>
        <v>2025-06</v>
      </c>
    </row>
    <row r="967" spans="1:17" ht="15" customHeight="1" x14ac:dyDescent="0.25">
      <c r="A967">
        <f>'Customers Raw data'!A967</f>
        <v>1966</v>
      </c>
      <c r="B967" t="str">
        <f>'Customers Raw data'!B967</f>
        <v>2024-01-22</v>
      </c>
      <c r="C967" t="str">
        <f>'Customers Raw data'!C967</f>
        <v>Pro</v>
      </c>
      <c r="D967">
        <f>'Customers Raw data'!D967</f>
        <v>200</v>
      </c>
      <c r="E967">
        <f>'Customers Raw data'!E967</f>
        <v>100</v>
      </c>
      <c r="F967">
        <f>'Customers Raw data'!F967</f>
        <v>0</v>
      </c>
      <c r="G967">
        <f>IF('Customers Raw data'!F967&lt;&gt;"",1,0)</f>
        <v>0</v>
      </c>
      <c r="H967" t="str">
        <f>IF('Customers Raw data'!F967&lt;&gt;"",YEAR(DATEVALUE('Customers Raw data'!F967)),"")</f>
        <v/>
      </c>
      <c r="I967" t="str">
        <f>IF('Customers Raw data'!F967&lt;&gt;"",MONTH(DATEVALUE('Customers Raw data'!F967)),"")</f>
        <v/>
      </c>
      <c r="J967">
        <f>YEAR(DATEVALUE('Customers Raw data'!B967))</f>
        <v>2024</v>
      </c>
      <c r="K967">
        <f>MONTH(DATEVALUE('Customers Raw data'!B967))</f>
        <v>1</v>
      </c>
      <c r="L967">
        <f ca="1">IF('Customers Raw data'!F967&lt;&gt;"",DATEDIF(DATEVALUE('Customers Raw data'!B967),DATEVALUE('Customers Raw data'!F967),"M"),DATEDIF(DATEVALUE('Customers Raw data'!B967),TODAY(),"M"))</f>
        <v>26</v>
      </c>
      <c r="M967">
        <f t="shared" ca="1" si="75"/>
        <v>5200</v>
      </c>
      <c r="N967">
        <f t="shared" si="76"/>
        <v>2</v>
      </c>
      <c r="O967">
        <f t="shared" ca="1" si="77"/>
        <v>0</v>
      </c>
      <c r="P967">
        <f t="shared" si="78"/>
        <v>0</v>
      </c>
      <c r="Q967" t="e">
        <f t="shared" si="79"/>
        <v>#VALUE!</v>
      </c>
    </row>
    <row r="968" spans="1:17" ht="15" customHeight="1" x14ac:dyDescent="0.25">
      <c r="A968">
        <f>'Customers Raw data'!A968</f>
        <v>1967</v>
      </c>
      <c r="B968" t="str">
        <f>'Customers Raw data'!B968</f>
        <v>2024-12-11</v>
      </c>
      <c r="C968" t="str">
        <f>'Customers Raw data'!C968</f>
        <v>Pro</v>
      </c>
      <c r="D968">
        <f>'Customers Raw data'!D968</f>
        <v>200</v>
      </c>
      <c r="E968">
        <f>'Customers Raw data'!E968</f>
        <v>100</v>
      </c>
      <c r="F968">
        <f>'Customers Raw data'!F968</f>
        <v>0</v>
      </c>
      <c r="G968">
        <f>IF('Customers Raw data'!F968&lt;&gt;"",1,0)</f>
        <v>0</v>
      </c>
      <c r="H968" t="str">
        <f>IF('Customers Raw data'!F968&lt;&gt;"",YEAR(DATEVALUE('Customers Raw data'!F968)),"")</f>
        <v/>
      </c>
      <c r="I968" t="str">
        <f>IF('Customers Raw data'!F968&lt;&gt;"",MONTH(DATEVALUE('Customers Raw data'!F968)),"")</f>
        <v/>
      </c>
      <c r="J968">
        <f>YEAR(DATEVALUE('Customers Raw data'!B968))</f>
        <v>2024</v>
      </c>
      <c r="K968">
        <f>MONTH(DATEVALUE('Customers Raw data'!B968))</f>
        <v>12</v>
      </c>
      <c r="L968">
        <f ca="1">IF('Customers Raw data'!F968&lt;&gt;"",DATEDIF(DATEVALUE('Customers Raw data'!B968),DATEVALUE('Customers Raw data'!F968),"M"),DATEDIF(DATEVALUE('Customers Raw data'!B968),TODAY(),"M"))</f>
        <v>15</v>
      </c>
      <c r="M968">
        <f t="shared" ca="1" si="75"/>
        <v>3000</v>
      </c>
      <c r="N968">
        <f t="shared" si="76"/>
        <v>2</v>
      </c>
      <c r="O968">
        <f t="shared" ca="1" si="77"/>
        <v>0</v>
      </c>
      <c r="P968">
        <f t="shared" si="78"/>
        <v>0</v>
      </c>
      <c r="Q968" t="e">
        <f t="shared" si="79"/>
        <v>#VALUE!</v>
      </c>
    </row>
    <row r="969" spans="1:17" ht="15" customHeight="1" x14ac:dyDescent="0.25">
      <c r="A969">
        <f>'Customers Raw data'!A969</f>
        <v>1968</v>
      </c>
      <c r="B969" t="str">
        <f>'Customers Raw data'!B969</f>
        <v>2025-02-15</v>
      </c>
      <c r="C969" t="str">
        <f>'Customers Raw data'!C969</f>
        <v>Enterprise</v>
      </c>
      <c r="D969">
        <f>'Customers Raw data'!D969</f>
        <v>500</v>
      </c>
      <c r="E969">
        <f>'Customers Raw data'!E969</f>
        <v>200</v>
      </c>
      <c r="F969">
        <f>'Customers Raw data'!F969</f>
        <v>0</v>
      </c>
      <c r="G969">
        <f>IF('Customers Raw data'!F969&lt;&gt;"",1,0)</f>
        <v>0</v>
      </c>
      <c r="H969" t="str">
        <f>IF('Customers Raw data'!F969&lt;&gt;"",YEAR(DATEVALUE('Customers Raw data'!F969)),"")</f>
        <v/>
      </c>
      <c r="I969" t="str">
        <f>IF('Customers Raw data'!F969&lt;&gt;"",MONTH(DATEVALUE('Customers Raw data'!F969)),"")</f>
        <v/>
      </c>
      <c r="J969">
        <f>YEAR(DATEVALUE('Customers Raw data'!B969))</f>
        <v>2025</v>
      </c>
      <c r="K969">
        <f>MONTH(DATEVALUE('Customers Raw data'!B969))</f>
        <v>2</v>
      </c>
      <c r="L969">
        <f ca="1">IF('Customers Raw data'!F969&lt;&gt;"",DATEDIF(DATEVALUE('Customers Raw data'!B969),DATEVALUE('Customers Raw data'!F969),"M"),DATEDIF(DATEVALUE('Customers Raw data'!B969),TODAY(),"M"))</f>
        <v>13</v>
      </c>
      <c r="M969">
        <f t="shared" ca="1" si="75"/>
        <v>6500</v>
      </c>
      <c r="N969">
        <f t="shared" si="76"/>
        <v>3</v>
      </c>
      <c r="O969">
        <f t="shared" ca="1" si="77"/>
        <v>0</v>
      </c>
      <c r="P969">
        <f t="shared" si="78"/>
        <v>0</v>
      </c>
      <c r="Q969" t="e">
        <f t="shared" si="79"/>
        <v>#VALUE!</v>
      </c>
    </row>
    <row r="970" spans="1:17" ht="15" customHeight="1" x14ac:dyDescent="0.25">
      <c r="A970">
        <f>'Customers Raw data'!A970</f>
        <v>1969</v>
      </c>
      <c r="B970" t="str">
        <f>'Customers Raw data'!B970</f>
        <v>2025-03-15</v>
      </c>
      <c r="C970" t="str">
        <f>'Customers Raw data'!C970</f>
        <v>Basic</v>
      </c>
      <c r="D970">
        <f>'Customers Raw data'!D970</f>
        <v>50</v>
      </c>
      <c r="E970">
        <f>'Customers Raw data'!E970</f>
        <v>30</v>
      </c>
      <c r="F970">
        <f>'Customers Raw data'!F970</f>
        <v>0</v>
      </c>
      <c r="G970">
        <f>IF('Customers Raw data'!F970&lt;&gt;"",1,0)</f>
        <v>0</v>
      </c>
      <c r="H970" t="str">
        <f>IF('Customers Raw data'!F970&lt;&gt;"",YEAR(DATEVALUE('Customers Raw data'!F970)),"")</f>
        <v/>
      </c>
      <c r="I970" t="str">
        <f>IF('Customers Raw data'!F970&lt;&gt;"",MONTH(DATEVALUE('Customers Raw data'!F970)),"")</f>
        <v/>
      </c>
      <c r="J970">
        <f>YEAR(DATEVALUE('Customers Raw data'!B970))</f>
        <v>2025</v>
      </c>
      <c r="K970">
        <f>MONTH(DATEVALUE('Customers Raw data'!B970))</f>
        <v>3</v>
      </c>
      <c r="L970">
        <f ca="1">IF('Customers Raw data'!F970&lt;&gt;"",DATEDIF(DATEVALUE('Customers Raw data'!B970),DATEVALUE('Customers Raw data'!F970),"M"),DATEDIF(DATEVALUE('Customers Raw data'!B970),TODAY(),"M"))</f>
        <v>12</v>
      </c>
      <c r="M970">
        <f t="shared" ca="1" si="75"/>
        <v>600</v>
      </c>
      <c r="N970">
        <f t="shared" si="76"/>
        <v>1</v>
      </c>
      <c r="O970">
        <f t="shared" ca="1" si="77"/>
        <v>0</v>
      </c>
      <c r="P970">
        <f t="shared" si="78"/>
        <v>0</v>
      </c>
      <c r="Q970" t="e">
        <f t="shared" si="79"/>
        <v>#VALUE!</v>
      </c>
    </row>
    <row r="971" spans="1:17" ht="15" customHeight="1" x14ac:dyDescent="0.25">
      <c r="A971">
        <f>'Customers Raw data'!A971</f>
        <v>1970</v>
      </c>
      <c r="B971" t="str">
        <f>'Customers Raw data'!B971</f>
        <v>2024-12-10</v>
      </c>
      <c r="C971" t="str">
        <f>'Customers Raw data'!C971</f>
        <v>Pro</v>
      </c>
      <c r="D971">
        <f>'Customers Raw data'!D971</f>
        <v>200</v>
      </c>
      <c r="E971">
        <f>'Customers Raw data'!E971</f>
        <v>100</v>
      </c>
      <c r="F971" t="str">
        <f>'Customers Raw data'!F971</f>
        <v>2025-06-21</v>
      </c>
      <c r="G971">
        <f>IF('Customers Raw data'!F971&lt;&gt;"",1,0)</f>
        <v>1</v>
      </c>
      <c r="H971">
        <f>IF('Customers Raw data'!F971&lt;&gt;"",YEAR(DATEVALUE('Customers Raw data'!F971)),"")</f>
        <v>2025</v>
      </c>
      <c r="I971">
        <f>IF('Customers Raw data'!F971&lt;&gt;"",MONTH(DATEVALUE('Customers Raw data'!F971)),"")</f>
        <v>6</v>
      </c>
      <c r="J971">
        <f>YEAR(DATEVALUE('Customers Raw data'!B971))</f>
        <v>2024</v>
      </c>
      <c r="K971">
        <f>MONTH(DATEVALUE('Customers Raw data'!B971))</f>
        <v>12</v>
      </c>
      <c r="L971">
        <f ca="1">IF('Customers Raw data'!F971&lt;&gt;"",DATEDIF(DATEVALUE('Customers Raw data'!B971),DATEVALUE('Customers Raw data'!F971),"M"),DATEDIF(DATEVALUE('Customers Raw data'!B971),TODAY(),"M"))</f>
        <v>6</v>
      </c>
      <c r="M971">
        <f t="shared" ca="1" si="75"/>
        <v>1200</v>
      </c>
      <c r="N971">
        <f t="shared" si="76"/>
        <v>2</v>
      </c>
      <c r="O971">
        <f t="shared" ca="1" si="77"/>
        <v>0</v>
      </c>
      <c r="P971">
        <f t="shared" si="78"/>
        <v>200</v>
      </c>
      <c r="Q971" t="str">
        <f t="shared" si="79"/>
        <v>2025-06</v>
      </c>
    </row>
    <row r="972" spans="1:17" ht="15" customHeight="1" x14ac:dyDescent="0.25">
      <c r="A972">
        <f>'Customers Raw data'!A972</f>
        <v>1971</v>
      </c>
      <c r="B972" t="str">
        <f>'Customers Raw data'!B972</f>
        <v>2025-04-05</v>
      </c>
      <c r="C972" t="str">
        <f>'Customers Raw data'!C972</f>
        <v>Enterprise</v>
      </c>
      <c r="D972">
        <f>'Customers Raw data'!D972</f>
        <v>500</v>
      </c>
      <c r="E972">
        <f>'Customers Raw data'!E972</f>
        <v>200</v>
      </c>
      <c r="F972">
        <f>'Customers Raw data'!F972</f>
        <v>0</v>
      </c>
      <c r="G972">
        <f>IF('Customers Raw data'!F972&lt;&gt;"",1,0)</f>
        <v>0</v>
      </c>
      <c r="H972" t="str">
        <f>IF('Customers Raw data'!F972&lt;&gt;"",YEAR(DATEVALUE('Customers Raw data'!F972)),"")</f>
        <v/>
      </c>
      <c r="I972" t="str">
        <f>IF('Customers Raw data'!F972&lt;&gt;"",MONTH(DATEVALUE('Customers Raw data'!F972)),"")</f>
        <v/>
      </c>
      <c r="J972">
        <f>YEAR(DATEVALUE('Customers Raw data'!B972))</f>
        <v>2025</v>
      </c>
      <c r="K972">
        <f>MONTH(DATEVALUE('Customers Raw data'!B972))</f>
        <v>4</v>
      </c>
      <c r="L972">
        <f ca="1">IF('Customers Raw data'!F972&lt;&gt;"",DATEDIF(DATEVALUE('Customers Raw data'!B972),DATEVALUE('Customers Raw data'!F972),"M"),DATEDIF(DATEVALUE('Customers Raw data'!B972),TODAY(),"M"))</f>
        <v>12</v>
      </c>
      <c r="M972">
        <f t="shared" ca="1" si="75"/>
        <v>6000</v>
      </c>
      <c r="N972">
        <f t="shared" si="76"/>
        <v>3</v>
      </c>
      <c r="O972">
        <f t="shared" ca="1" si="77"/>
        <v>0</v>
      </c>
      <c r="P972">
        <f t="shared" si="78"/>
        <v>0</v>
      </c>
      <c r="Q972" t="e">
        <f t="shared" si="79"/>
        <v>#VALUE!</v>
      </c>
    </row>
    <row r="973" spans="1:17" ht="15" customHeight="1" x14ac:dyDescent="0.25">
      <c r="A973">
        <f>'Customers Raw data'!A973</f>
        <v>1972</v>
      </c>
      <c r="B973" t="str">
        <f>'Customers Raw data'!B973</f>
        <v>2024-11-15</v>
      </c>
      <c r="C973" t="str">
        <f>'Customers Raw data'!C973</f>
        <v>Pro</v>
      </c>
      <c r="D973">
        <f>'Customers Raw data'!D973</f>
        <v>200</v>
      </c>
      <c r="E973">
        <f>'Customers Raw data'!E973</f>
        <v>100</v>
      </c>
      <c r="F973">
        <f>'Customers Raw data'!F973</f>
        <v>0</v>
      </c>
      <c r="G973">
        <f>IF('Customers Raw data'!F973&lt;&gt;"",1,0)</f>
        <v>0</v>
      </c>
      <c r="H973" t="str">
        <f>IF('Customers Raw data'!F973&lt;&gt;"",YEAR(DATEVALUE('Customers Raw data'!F973)),"")</f>
        <v/>
      </c>
      <c r="I973" t="str">
        <f>IF('Customers Raw data'!F973&lt;&gt;"",MONTH(DATEVALUE('Customers Raw data'!F973)),"")</f>
        <v/>
      </c>
      <c r="J973">
        <f>YEAR(DATEVALUE('Customers Raw data'!B973))</f>
        <v>2024</v>
      </c>
      <c r="K973">
        <f>MONTH(DATEVALUE('Customers Raw data'!B973))</f>
        <v>11</v>
      </c>
      <c r="L973">
        <f ca="1">IF('Customers Raw data'!F973&lt;&gt;"",DATEDIF(DATEVALUE('Customers Raw data'!B973),DATEVALUE('Customers Raw data'!F973),"M"),DATEDIF(DATEVALUE('Customers Raw data'!B973),TODAY(),"M"))</f>
        <v>16</v>
      </c>
      <c r="M973">
        <f t="shared" ca="1" si="75"/>
        <v>3200</v>
      </c>
      <c r="N973">
        <f t="shared" si="76"/>
        <v>2</v>
      </c>
      <c r="O973">
        <f t="shared" ca="1" si="77"/>
        <v>0</v>
      </c>
      <c r="P973">
        <f t="shared" si="78"/>
        <v>0</v>
      </c>
      <c r="Q973" t="e">
        <f t="shared" si="79"/>
        <v>#VALUE!</v>
      </c>
    </row>
    <row r="974" spans="1:17" ht="15" customHeight="1" x14ac:dyDescent="0.25">
      <c r="A974">
        <f>'Customers Raw data'!A974</f>
        <v>1973</v>
      </c>
      <c r="B974" t="str">
        <f>'Customers Raw data'!B974</f>
        <v>2024-09-25</v>
      </c>
      <c r="C974" t="str">
        <f>'Customers Raw data'!C974</f>
        <v>Basic</v>
      </c>
      <c r="D974">
        <f>'Customers Raw data'!D974</f>
        <v>50</v>
      </c>
      <c r="E974">
        <f>'Customers Raw data'!E974</f>
        <v>30</v>
      </c>
      <c r="F974">
        <f>'Customers Raw data'!F974</f>
        <v>0</v>
      </c>
      <c r="G974">
        <f>IF('Customers Raw data'!F974&lt;&gt;"",1,0)</f>
        <v>0</v>
      </c>
      <c r="H974" t="str">
        <f>IF('Customers Raw data'!F974&lt;&gt;"",YEAR(DATEVALUE('Customers Raw data'!F974)),"")</f>
        <v/>
      </c>
      <c r="I974" t="str">
        <f>IF('Customers Raw data'!F974&lt;&gt;"",MONTH(DATEVALUE('Customers Raw data'!F974)),"")</f>
        <v/>
      </c>
      <c r="J974">
        <f>YEAR(DATEVALUE('Customers Raw data'!B974))</f>
        <v>2024</v>
      </c>
      <c r="K974">
        <f>MONTH(DATEVALUE('Customers Raw data'!B974))</f>
        <v>9</v>
      </c>
      <c r="L974">
        <f ca="1">IF('Customers Raw data'!F974&lt;&gt;"",DATEDIF(DATEVALUE('Customers Raw data'!B974),DATEVALUE('Customers Raw data'!F974),"M"),DATEDIF(DATEVALUE('Customers Raw data'!B974),TODAY(),"M"))</f>
        <v>18</v>
      </c>
      <c r="M974">
        <f t="shared" ca="1" si="75"/>
        <v>900</v>
      </c>
      <c r="N974">
        <f t="shared" si="76"/>
        <v>1</v>
      </c>
      <c r="O974">
        <f t="shared" ca="1" si="77"/>
        <v>0</v>
      </c>
      <c r="P974">
        <f t="shared" si="78"/>
        <v>0</v>
      </c>
      <c r="Q974" t="e">
        <f t="shared" si="79"/>
        <v>#VALUE!</v>
      </c>
    </row>
    <row r="975" spans="1:17" ht="15" customHeight="1" x14ac:dyDescent="0.25">
      <c r="A975">
        <f>'Customers Raw data'!A975</f>
        <v>1974</v>
      </c>
      <c r="B975" t="str">
        <f>'Customers Raw data'!B975</f>
        <v>2024-10-05</v>
      </c>
      <c r="C975" t="str">
        <f>'Customers Raw data'!C975</f>
        <v>Enterprise</v>
      </c>
      <c r="D975">
        <f>'Customers Raw data'!D975</f>
        <v>500</v>
      </c>
      <c r="E975">
        <f>'Customers Raw data'!E975</f>
        <v>200</v>
      </c>
      <c r="F975">
        <f>'Customers Raw data'!F975</f>
        <v>0</v>
      </c>
      <c r="G975">
        <f>IF('Customers Raw data'!F975&lt;&gt;"",1,0)</f>
        <v>0</v>
      </c>
      <c r="H975" t="str">
        <f>IF('Customers Raw data'!F975&lt;&gt;"",YEAR(DATEVALUE('Customers Raw data'!F975)),"")</f>
        <v/>
      </c>
      <c r="I975" t="str">
        <f>IF('Customers Raw data'!F975&lt;&gt;"",MONTH(DATEVALUE('Customers Raw data'!F975)),"")</f>
        <v/>
      </c>
      <c r="J975">
        <f>YEAR(DATEVALUE('Customers Raw data'!B975))</f>
        <v>2024</v>
      </c>
      <c r="K975">
        <f>MONTH(DATEVALUE('Customers Raw data'!B975))</f>
        <v>10</v>
      </c>
      <c r="L975">
        <f ca="1">IF('Customers Raw data'!F975&lt;&gt;"",DATEDIF(DATEVALUE('Customers Raw data'!B975),DATEVALUE('Customers Raw data'!F975),"M"),DATEDIF(DATEVALUE('Customers Raw data'!B975),TODAY(),"M"))</f>
        <v>18</v>
      </c>
      <c r="M975">
        <f t="shared" ca="1" si="75"/>
        <v>9000</v>
      </c>
      <c r="N975">
        <f t="shared" si="76"/>
        <v>3</v>
      </c>
      <c r="O975">
        <f t="shared" ca="1" si="77"/>
        <v>0</v>
      </c>
      <c r="P975">
        <f t="shared" si="78"/>
        <v>0</v>
      </c>
      <c r="Q975" t="e">
        <f t="shared" si="79"/>
        <v>#VALUE!</v>
      </c>
    </row>
    <row r="976" spans="1:17" ht="15" customHeight="1" x14ac:dyDescent="0.25">
      <c r="A976">
        <f>'Customers Raw data'!A976</f>
        <v>1975</v>
      </c>
      <c r="B976" t="str">
        <f>'Customers Raw data'!B976</f>
        <v>2024-02-16</v>
      </c>
      <c r="C976" t="str">
        <f>'Customers Raw data'!C976</f>
        <v>Basic</v>
      </c>
      <c r="D976">
        <f>'Customers Raw data'!D976</f>
        <v>50</v>
      </c>
      <c r="E976">
        <f>'Customers Raw data'!E976</f>
        <v>30</v>
      </c>
      <c r="F976" t="str">
        <f>'Customers Raw data'!F976</f>
        <v>2024-07-13</v>
      </c>
      <c r="G976">
        <f>IF('Customers Raw data'!F976&lt;&gt;"",1,0)</f>
        <v>1</v>
      </c>
      <c r="H976">
        <f>IF('Customers Raw data'!F976&lt;&gt;"",YEAR(DATEVALUE('Customers Raw data'!F976)),"")</f>
        <v>2024</v>
      </c>
      <c r="I976">
        <f>IF('Customers Raw data'!F976&lt;&gt;"",MONTH(DATEVALUE('Customers Raw data'!F976)),"")</f>
        <v>7</v>
      </c>
      <c r="J976">
        <f>YEAR(DATEVALUE('Customers Raw data'!B976))</f>
        <v>2024</v>
      </c>
      <c r="K976">
        <f>MONTH(DATEVALUE('Customers Raw data'!B976))</f>
        <v>2</v>
      </c>
      <c r="L976">
        <f ca="1">IF('Customers Raw data'!F976&lt;&gt;"",DATEDIF(DATEVALUE('Customers Raw data'!B976),DATEVALUE('Customers Raw data'!F976),"M"),DATEDIF(DATEVALUE('Customers Raw data'!B976),TODAY(),"M"))</f>
        <v>4</v>
      </c>
      <c r="M976">
        <f t="shared" ca="1" si="75"/>
        <v>200</v>
      </c>
      <c r="N976">
        <f t="shared" si="76"/>
        <v>1</v>
      </c>
      <c r="O976">
        <f t="shared" ca="1" si="77"/>
        <v>1</v>
      </c>
      <c r="P976">
        <f t="shared" si="78"/>
        <v>50</v>
      </c>
      <c r="Q976" t="str">
        <f t="shared" si="79"/>
        <v>2024-07</v>
      </c>
    </row>
    <row r="977" spans="1:17" ht="15" customHeight="1" x14ac:dyDescent="0.25">
      <c r="A977">
        <f>'Customers Raw data'!A977</f>
        <v>1976</v>
      </c>
      <c r="B977" t="str">
        <f>'Customers Raw data'!B977</f>
        <v>2024-09-21</v>
      </c>
      <c r="C977" t="str">
        <f>'Customers Raw data'!C977</f>
        <v>Pro</v>
      </c>
      <c r="D977">
        <f>'Customers Raw data'!D977</f>
        <v>200</v>
      </c>
      <c r="E977">
        <f>'Customers Raw data'!E977</f>
        <v>100</v>
      </c>
      <c r="F977">
        <f>'Customers Raw data'!F977</f>
        <v>0</v>
      </c>
      <c r="G977">
        <f>IF('Customers Raw data'!F977&lt;&gt;"",1,0)</f>
        <v>0</v>
      </c>
      <c r="H977" t="str">
        <f>IF('Customers Raw data'!F977&lt;&gt;"",YEAR(DATEVALUE('Customers Raw data'!F977)),"")</f>
        <v/>
      </c>
      <c r="I977" t="str">
        <f>IF('Customers Raw data'!F977&lt;&gt;"",MONTH(DATEVALUE('Customers Raw data'!F977)),"")</f>
        <v/>
      </c>
      <c r="J977">
        <f>YEAR(DATEVALUE('Customers Raw data'!B977))</f>
        <v>2024</v>
      </c>
      <c r="K977">
        <f>MONTH(DATEVALUE('Customers Raw data'!B977))</f>
        <v>9</v>
      </c>
      <c r="L977">
        <f ca="1">IF('Customers Raw data'!F977&lt;&gt;"",DATEDIF(DATEVALUE('Customers Raw data'!B977),DATEVALUE('Customers Raw data'!F977),"M"),DATEDIF(DATEVALUE('Customers Raw data'!B977),TODAY(),"M"))</f>
        <v>18</v>
      </c>
      <c r="M977">
        <f t="shared" ca="1" si="75"/>
        <v>3600</v>
      </c>
      <c r="N977">
        <f t="shared" si="76"/>
        <v>2</v>
      </c>
      <c r="O977">
        <f t="shared" ca="1" si="77"/>
        <v>0</v>
      </c>
      <c r="P977">
        <f t="shared" si="78"/>
        <v>0</v>
      </c>
      <c r="Q977" t="e">
        <f t="shared" si="79"/>
        <v>#VALUE!</v>
      </c>
    </row>
    <row r="978" spans="1:17" ht="15" customHeight="1" x14ac:dyDescent="0.25">
      <c r="A978">
        <f>'Customers Raw data'!A978</f>
        <v>1977</v>
      </c>
      <c r="B978" t="str">
        <f>'Customers Raw data'!B978</f>
        <v>2024-09-10</v>
      </c>
      <c r="C978" t="str">
        <f>'Customers Raw data'!C978</f>
        <v>Basic</v>
      </c>
      <c r="D978">
        <f>'Customers Raw data'!D978</f>
        <v>50</v>
      </c>
      <c r="E978">
        <f>'Customers Raw data'!E978</f>
        <v>30</v>
      </c>
      <c r="F978">
        <f>'Customers Raw data'!F978</f>
        <v>0</v>
      </c>
      <c r="G978">
        <f>IF('Customers Raw data'!F978&lt;&gt;"",1,0)</f>
        <v>0</v>
      </c>
      <c r="H978" t="str">
        <f>IF('Customers Raw data'!F978&lt;&gt;"",YEAR(DATEVALUE('Customers Raw data'!F978)),"")</f>
        <v/>
      </c>
      <c r="I978" t="str">
        <f>IF('Customers Raw data'!F978&lt;&gt;"",MONTH(DATEVALUE('Customers Raw data'!F978)),"")</f>
        <v/>
      </c>
      <c r="J978">
        <f>YEAR(DATEVALUE('Customers Raw data'!B978))</f>
        <v>2024</v>
      </c>
      <c r="K978">
        <f>MONTH(DATEVALUE('Customers Raw data'!B978))</f>
        <v>9</v>
      </c>
      <c r="L978">
        <f ca="1">IF('Customers Raw data'!F978&lt;&gt;"",DATEDIF(DATEVALUE('Customers Raw data'!B978),DATEVALUE('Customers Raw data'!F978),"M"),DATEDIF(DATEVALUE('Customers Raw data'!B978),TODAY(),"M"))</f>
        <v>18</v>
      </c>
      <c r="M978">
        <f t="shared" ca="1" si="75"/>
        <v>900</v>
      </c>
      <c r="N978">
        <f t="shared" si="76"/>
        <v>1</v>
      </c>
      <c r="O978">
        <f t="shared" ca="1" si="77"/>
        <v>0</v>
      </c>
      <c r="P978">
        <f t="shared" si="78"/>
        <v>0</v>
      </c>
      <c r="Q978" t="e">
        <f t="shared" si="79"/>
        <v>#VALUE!</v>
      </c>
    </row>
    <row r="979" spans="1:17" ht="15" customHeight="1" x14ac:dyDescent="0.25">
      <c r="A979">
        <f>'Customers Raw data'!A979</f>
        <v>1978</v>
      </c>
      <c r="B979" t="str">
        <f>'Customers Raw data'!B979</f>
        <v>2025-05-12</v>
      </c>
      <c r="C979" t="str">
        <f>'Customers Raw data'!C979</f>
        <v>Enterprise</v>
      </c>
      <c r="D979">
        <f>'Customers Raw data'!D979</f>
        <v>500</v>
      </c>
      <c r="E979">
        <f>'Customers Raw data'!E979</f>
        <v>200</v>
      </c>
      <c r="F979">
        <f>'Customers Raw data'!F979</f>
        <v>0</v>
      </c>
      <c r="G979">
        <f>IF('Customers Raw data'!F979&lt;&gt;"",1,0)</f>
        <v>0</v>
      </c>
      <c r="H979" t="str">
        <f>IF('Customers Raw data'!F979&lt;&gt;"",YEAR(DATEVALUE('Customers Raw data'!F979)),"")</f>
        <v/>
      </c>
      <c r="I979" t="str">
        <f>IF('Customers Raw data'!F979&lt;&gt;"",MONTH(DATEVALUE('Customers Raw data'!F979)),"")</f>
        <v/>
      </c>
      <c r="J979">
        <f>YEAR(DATEVALUE('Customers Raw data'!B979))</f>
        <v>2025</v>
      </c>
      <c r="K979">
        <f>MONTH(DATEVALUE('Customers Raw data'!B979))</f>
        <v>5</v>
      </c>
      <c r="L979">
        <f ca="1">IF('Customers Raw data'!F979&lt;&gt;"",DATEDIF(DATEVALUE('Customers Raw data'!B979),DATEVALUE('Customers Raw data'!F979),"M"),DATEDIF(DATEVALUE('Customers Raw data'!B979),TODAY(),"M"))</f>
        <v>10</v>
      </c>
      <c r="M979">
        <f t="shared" ca="1" si="75"/>
        <v>5000</v>
      </c>
      <c r="N979">
        <f t="shared" si="76"/>
        <v>3</v>
      </c>
      <c r="O979">
        <f t="shared" ca="1" si="77"/>
        <v>0</v>
      </c>
      <c r="P979">
        <f t="shared" si="78"/>
        <v>0</v>
      </c>
      <c r="Q979" t="e">
        <f t="shared" si="79"/>
        <v>#VALUE!</v>
      </c>
    </row>
    <row r="980" spans="1:17" ht="15" customHeight="1" x14ac:dyDescent="0.25">
      <c r="A980">
        <f>'Customers Raw data'!A980</f>
        <v>1979</v>
      </c>
      <c r="B980" t="str">
        <f>'Customers Raw data'!B980</f>
        <v>2025-04-21</v>
      </c>
      <c r="C980" t="str">
        <f>'Customers Raw data'!C980</f>
        <v>Basic</v>
      </c>
      <c r="D980">
        <f>'Customers Raw data'!D980</f>
        <v>50</v>
      </c>
      <c r="E980">
        <f>'Customers Raw data'!E980</f>
        <v>30</v>
      </c>
      <c r="F980">
        <f>'Customers Raw data'!F980</f>
        <v>0</v>
      </c>
      <c r="G980">
        <f>IF('Customers Raw data'!F980&lt;&gt;"",1,0)</f>
        <v>0</v>
      </c>
      <c r="H980" t="str">
        <f>IF('Customers Raw data'!F980&lt;&gt;"",YEAR(DATEVALUE('Customers Raw data'!F980)),"")</f>
        <v/>
      </c>
      <c r="I980" t="str">
        <f>IF('Customers Raw data'!F980&lt;&gt;"",MONTH(DATEVALUE('Customers Raw data'!F980)),"")</f>
        <v/>
      </c>
      <c r="J980">
        <f>YEAR(DATEVALUE('Customers Raw data'!B980))</f>
        <v>2025</v>
      </c>
      <c r="K980">
        <f>MONTH(DATEVALUE('Customers Raw data'!B980))</f>
        <v>4</v>
      </c>
      <c r="L980">
        <f ca="1">IF('Customers Raw data'!F980&lt;&gt;"",DATEDIF(DATEVALUE('Customers Raw data'!B980),DATEVALUE('Customers Raw data'!F980),"M"),DATEDIF(DATEVALUE('Customers Raw data'!B980),TODAY(),"M"))</f>
        <v>11</v>
      </c>
      <c r="M980">
        <f t="shared" ca="1" si="75"/>
        <v>550</v>
      </c>
      <c r="N980">
        <f t="shared" si="76"/>
        <v>1</v>
      </c>
      <c r="O980">
        <f t="shared" ca="1" si="77"/>
        <v>0</v>
      </c>
      <c r="P980">
        <f t="shared" si="78"/>
        <v>0</v>
      </c>
      <c r="Q980" t="e">
        <f t="shared" si="79"/>
        <v>#VALUE!</v>
      </c>
    </row>
    <row r="981" spans="1:17" ht="15" customHeight="1" x14ac:dyDescent="0.25">
      <c r="A981">
        <f>'Customers Raw data'!A981</f>
        <v>1980</v>
      </c>
      <c r="B981" t="str">
        <f>'Customers Raw data'!B981</f>
        <v>2025-05-07</v>
      </c>
      <c r="C981" t="str">
        <f>'Customers Raw data'!C981</f>
        <v>Pro</v>
      </c>
      <c r="D981">
        <f>'Customers Raw data'!D981</f>
        <v>200</v>
      </c>
      <c r="E981">
        <f>'Customers Raw data'!E981</f>
        <v>100</v>
      </c>
      <c r="F981">
        <f>'Customers Raw data'!F981</f>
        <v>0</v>
      </c>
      <c r="G981">
        <f>IF('Customers Raw data'!F981&lt;&gt;"",1,0)</f>
        <v>0</v>
      </c>
      <c r="H981" t="str">
        <f>IF('Customers Raw data'!F981&lt;&gt;"",YEAR(DATEVALUE('Customers Raw data'!F981)),"")</f>
        <v/>
      </c>
      <c r="I981" t="str">
        <f>IF('Customers Raw data'!F981&lt;&gt;"",MONTH(DATEVALUE('Customers Raw data'!F981)),"")</f>
        <v/>
      </c>
      <c r="J981">
        <f>YEAR(DATEVALUE('Customers Raw data'!B981))</f>
        <v>2025</v>
      </c>
      <c r="K981">
        <f>MONTH(DATEVALUE('Customers Raw data'!B981))</f>
        <v>5</v>
      </c>
      <c r="L981">
        <f ca="1">IF('Customers Raw data'!F981&lt;&gt;"",DATEDIF(DATEVALUE('Customers Raw data'!B981),DATEVALUE('Customers Raw data'!F981),"M"),DATEDIF(DATEVALUE('Customers Raw data'!B981),TODAY(),"M"))</f>
        <v>11</v>
      </c>
      <c r="M981">
        <f t="shared" ca="1" si="75"/>
        <v>2200</v>
      </c>
      <c r="N981">
        <f t="shared" si="76"/>
        <v>2</v>
      </c>
      <c r="O981">
        <f t="shared" ca="1" si="77"/>
        <v>0</v>
      </c>
      <c r="P981">
        <f t="shared" si="78"/>
        <v>0</v>
      </c>
      <c r="Q981" t="e">
        <f t="shared" si="79"/>
        <v>#VALUE!</v>
      </c>
    </row>
    <row r="982" spans="1:17" ht="15" customHeight="1" x14ac:dyDescent="0.25">
      <c r="A982">
        <f>'Customers Raw data'!A982</f>
        <v>1981</v>
      </c>
      <c r="B982" t="str">
        <f>'Customers Raw data'!B982</f>
        <v>2024-08-05</v>
      </c>
      <c r="C982" t="str">
        <f>'Customers Raw data'!C982</f>
        <v>Enterprise</v>
      </c>
      <c r="D982">
        <f>'Customers Raw data'!D982</f>
        <v>500</v>
      </c>
      <c r="E982">
        <f>'Customers Raw data'!E982</f>
        <v>200</v>
      </c>
      <c r="F982">
        <f>'Customers Raw data'!F982</f>
        <v>0</v>
      </c>
      <c r="G982">
        <f>IF('Customers Raw data'!F982&lt;&gt;"",1,0)</f>
        <v>0</v>
      </c>
      <c r="H982" t="str">
        <f>IF('Customers Raw data'!F982&lt;&gt;"",YEAR(DATEVALUE('Customers Raw data'!F982)),"")</f>
        <v/>
      </c>
      <c r="I982" t="str">
        <f>IF('Customers Raw data'!F982&lt;&gt;"",MONTH(DATEVALUE('Customers Raw data'!F982)),"")</f>
        <v/>
      </c>
      <c r="J982">
        <f>YEAR(DATEVALUE('Customers Raw data'!B982))</f>
        <v>2024</v>
      </c>
      <c r="K982">
        <f>MONTH(DATEVALUE('Customers Raw data'!B982))</f>
        <v>8</v>
      </c>
      <c r="L982">
        <f ca="1">IF('Customers Raw data'!F982&lt;&gt;"",DATEDIF(DATEVALUE('Customers Raw data'!B982),DATEVALUE('Customers Raw data'!F982),"M"),DATEDIF(DATEVALUE('Customers Raw data'!B982),TODAY(),"M"))</f>
        <v>20</v>
      </c>
      <c r="M982">
        <f t="shared" ca="1" si="75"/>
        <v>10000</v>
      </c>
      <c r="N982">
        <f t="shared" si="76"/>
        <v>3</v>
      </c>
      <c r="O982">
        <f t="shared" ca="1" si="77"/>
        <v>0</v>
      </c>
      <c r="P982">
        <f t="shared" si="78"/>
        <v>0</v>
      </c>
      <c r="Q982" t="e">
        <f t="shared" si="79"/>
        <v>#VALUE!</v>
      </c>
    </row>
    <row r="983" spans="1:17" ht="15" customHeight="1" x14ac:dyDescent="0.25">
      <c r="A983">
        <f>'Customers Raw data'!A983</f>
        <v>1982</v>
      </c>
      <c r="B983" t="str">
        <f>'Customers Raw data'!B983</f>
        <v>2024-06-19</v>
      </c>
      <c r="C983" t="str">
        <f>'Customers Raw data'!C983</f>
        <v>Basic</v>
      </c>
      <c r="D983">
        <f>'Customers Raw data'!D983</f>
        <v>50</v>
      </c>
      <c r="E983">
        <f>'Customers Raw data'!E983</f>
        <v>30</v>
      </c>
      <c r="F983" t="str">
        <f>'Customers Raw data'!F983</f>
        <v>2025-05-22</v>
      </c>
      <c r="G983">
        <f>IF('Customers Raw data'!F983&lt;&gt;"",1,0)</f>
        <v>1</v>
      </c>
      <c r="H983">
        <f>IF('Customers Raw data'!F983&lt;&gt;"",YEAR(DATEVALUE('Customers Raw data'!F983)),"")</f>
        <v>2025</v>
      </c>
      <c r="I983">
        <f>IF('Customers Raw data'!F983&lt;&gt;"",MONTH(DATEVALUE('Customers Raw data'!F983)),"")</f>
        <v>5</v>
      </c>
      <c r="J983">
        <f>YEAR(DATEVALUE('Customers Raw data'!B983))</f>
        <v>2024</v>
      </c>
      <c r="K983">
        <f>MONTH(DATEVALUE('Customers Raw data'!B983))</f>
        <v>6</v>
      </c>
      <c r="L983">
        <f ca="1">IF('Customers Raw data'!F983&lt;&gt;"",DATEDIF(DATEVALUE('Customers Raw data'!B983),DATEVALUE('Customers Raw data'!F983),"M"),DATEDIF(DATEVALUE('Customers Raw data'!B983),TODAY(),"M"))</f>
        <v>11</v>
      </c>
      <c r="M983">
        <f t="shared" ca="1" si="75"/>
        <v>550</v>
      </c>
      <c r="N983">
        <f t="shared" si="76"/>
        <v>1</v>
      </c>
      <c r="O983">
        <f t="shared" ca="1" si="77"/>
        <v>0</v>
      </c>
      <c r="P983">
        <f t="shared" si="78"/>
        <v>50</v>
      </c>
      <c r="Q983" t="str">
        <f t="shared" si="79"/>
        <v>2025-05</v>
      </c>
    </row>
    <row r="984" spans="1:17" ht="15" customHeight="1" x14ac:dyDescent="0.25">
      <c r="A984">
        <f>'Customers Raw data'!A984</f>
        <v>1983</v>
      </c>
      <c r="B984" t="str">
        <f>'Customers Raw data'!B984</f>
        <v>2024-03-13</v>
      </c>
      <c r="C984" t="str">
        <f>'Customers Raw data'!C984</f>
        <v>Basic</v>
      </c>
      <c r="D984">
        <f>'Customers Raw data'!D984</f>
        <v>50</v>
      </c>
      <c r="E984">
        <f>'Customers Raw data'!E984</f>
        <v>30</v>
      </c>
      <c r="F984">
        <f>'Customers Raw data'!F984</f>
        <v>0</v>
      </c>
      <c r="G984">
        <f>IF('Customers Raw data'!F984&lt;&gt;"",1,0)</f>
        <v>0</v>
      </c>
      <c r="H984" t="str">
        <f>IF('Customers Raw data'!F984&lt;&gt;"",YEAR(DATEVALUE('Customers Raw data'!F984)),"")</f>
        <v/>
      </c>
      <c r="I984" t="str">
        <f>IF('Customers Raw data'!F984&lt;&gt;"",MONTH(DATEVALUE('Customers Raw data'!F984)),"")</f>
        <v/>
      </c>
      <c r="J984">
        <f>YEAR(DATEVALUE('Customers Raw data'!B984))</f>
        <v>2024</v>
      </c>
      <c r="K984">
        <f>MONTH(DATEVALUE('Customers Raw data'!B984))</f>
        <v>3</v>
      </c>
      <c r="L984">
        <f ca="1">IF('Customers Raw data'!F984&lt;&gt;"",DATEDIF(DATEVALUE('Customers Raw data'!B984),DATEVALUE('Customers Raw data'!F984),"M"),DATEDIF(DATEVALUE('Customers Raw data'!B984),TODAY(),"M"))</f>
        <v>24</v>
      </c>
      <c r="M984">
        <f t="shared" ca="1" si="75"/>
        <v>1200</v>
      </c>
      <c r="N984">
        <f t="shared" si="76"/>
        <v>1</v>
      </c>
      <c r="O984">
        <f t="shared" ca="1" si="77"/>
        <v>0</v>
      </c>
      <c r="P984">
        <f t="shared" si="78"/>
        <v>0</v>
      </c>
      <c r="Q984" t="e">
        <f t="shared" si="79"/>
        <v>#VALUE!</v>
      </c>
    </row>
    <row r="985" spans="1:17" ht="15" customHeight="1" x14ac:dyDescent="0.25">
      <c r="A985">
        <f>'Customers Raw data'!A985</f>
        <v>1984</v>
      </c>
      <c r="B985" t="str">
        <f>'Customers Raw data'!B985</f>
        <v>2024-04-06</v>
      </c>
      <c r="C985" t="str">
        <f>'Customers Raw data'!C985</f>
        <v>Enterprise</v>
      </c>
      <c r="D985">
        <f>'Customers Raw data'!D985</f>
        <v>500</v>
      </c>
      <c r="E985">
        <f>'Customers Raw data'!E985</f>
        <v>200</v>
      </c>
      <c r="F985">
        <f>'Customers Raw data'!F985</f>
        <v>0</v>
      </c>
      <c r="G985">
        <f>IF('Customers Raw data'!F985&lt;&gt;"",1,0)</f>
        <v>0</v>
      </c>
      <c r="H985" t="str">
        <f>IF('Customers Raw data'!F985&lt;&gt;"",YEAR(DATEVALUE('Customers Raw data'!F985)),"")</f>
        <v/>
      </c>
      <c r="I985" t="str">
        <f>IF('Customers Raw data'!F985&lt;&gt;"",MONTH(DATEVALUE('Customers Raw data'!F985)),"")</f>
        <v/>
      </c>
      <c r="J985">
        <f>YEAR(DATEVALUE('Customers Raw data'!B985))</f>
        <v>2024</v>
      </c>
      <c r="K985">
        <f>MONTH(DATEVALUE('Customers Raw data'!B985))</f>
        <v>4</v>
      </c>
      <c r="L985">
        <f ca="1">IF('Customers Raw data'!F985&lt;&gt;"",DATEDIF(DATEVALUE('Customers Raw data'!B985),DATEVALUE('Customers Raw data'!F985),"M"),DATEDIF(DATEVALUE('Customers Raw data'!B985),TODAY(),"M"))</f>
        <v>24</v>
      </c>
      <c r="M985">
        <f t="shared" ca="1" si="75"/>
        <v>12000</v>
      </c>
      <c r="N985">
        <f t="shared" si="76"/>
        <v>3</v>
      </c>
      <c r="O985">
        <f t="shared" ca="1" si="77"/>
        <v>0</v>
      </c>
      <c r="P985">
        <f t="shared" si="78"/>
        <v>0</v>
      </c>
      <c r="Q985" t="e">
        <f t="shared" si="79"/>
        <v>#VALUE!</v>
      </c>
    </row>
    <row r="986" spans="1:17" ht="15" customHeight="1" x14ac:dyDescent="0.25">
      <c r="A986">
        <f>'Customers Raw data'!A986</f>
        <v>1985</v>
      </c>
      <c r="B986" t="str">
        <f>'Customers Raw data'!B986</f>
        <v>2024-03-29</v>
      </c>
      <c r="C986" t="str">
        <f>'Customers Raw data'!C986</f>
        <v>Basic</v>
      </c>
      <c r="D986">
        <f>'Customers Raw data'!D986</f>
        <v>50</v>
      </c>
      <c r="E986">
        <f>'Customers Raw data'!E986</f>
        <v>30</v>
      </c>
      <c r="F986">
        <f>'Customers Raw data'!F986</f>
        <v>0</v>
      </c>
      <c r="G986">
        <f>IF('Customers Raw data'!F986&lt;&gt;"",1,0)</f>
        <v>0</v>
      </c>
      <c r="H986" t="str">
        <f>IF('Customers Raw data'!F986&lt;&gt;"",YEAR(DATEVALUE('Customers Raw data'!F986)),"")</f>
        <v/>
      </c>
      <c r="I986" t="str">
        <f>IF('Customers Raw data'!F986&lt;&gt;"",MONTH(DATEVALUE('Customers Raw data'!F986)),"")</f>
        <v/>
      </c>
      <c r="J986">
        <f>YEAR(DATEVALUE('Customers Raw data'!B986))</f>
        <v>2024</v>
      </c>
      <c r="K986">
        <f>MONTH(DATEVALUE('Customers Raw data'!B986))</f>
        <v>3</v>
      </c>
      <c r="L986">
        <f ca="1">IF('Customers Raw data'!F986&lt;&gt;"",DATEDIF(DATEVALUE('Customers Raw data'!B986),DATEVALUE('Customers Raw data'!F986),"M"),DATEDIF(DATEVALUE('Customers Raw data'!B986),TODAY(),"M"))</f>
        <v>24</v>
      </c>
      <c r="M986">
        <f t="shared" ca="1" si="75"/>
        <v>1200</v>
      </c>
      <c r="N986">
        <f t="shared" si="76"/>
        <v>1</v>
      </c>
      <c r="O986">
        <f t="shared" ca="1" si="77"/>
        <v>0</v>
      </c>
      <c r="P986">
        <f t="shared" si="78"/>
        <v>0</v>
      </c>
      <c r="Q986" t="e">
        <f t="shared" si="79"/>
        <v>#VALUE!</v>
      </c>
    </row>
    <row r="987" spans="1:17" ht="15" customHeight="1" x14ac:dyDescent="0.25">
      <c r="A987">
        <f>'Customers Raw data'!A987</f>
        <v>1986</v>
      </c>
      <c r="B987" t="str">
        <f>'Customers Raw data'!B987</f>
        <v>2024-06-17</v>
      </c>
      <c r="C987" t="str">
        <f>'Customers Raw data'!C987</f>
        <v>Enterprise</v>
      </c>
      <c r="D987">
        <f>'Customers Raw data'!D987</f>
        <v>500</v>
      </c>
      <c r="E987">
        <f>'Customers Raw data'!E987</f>
        <v>200</v>
      </c>
      <c r="F987" t="str">
        <f>'Customers Raw data'!F987</f>
        <v>2024-11-16</v>
      </c>
      <c r="G987">
        <f>IF('Customers Raw data'!F987&lt;&gt;"",1,0)</f>
        <v>1</v>
      </c>
      <c r="H987">
        <f>IF('Customers Raw data'!F987&lt;&gt;"",YEAR(DATEVALUE('Customers Raw data'!F987)),"")</f>
        <v>2024</v>
      </c>
      <c r="I987">
        <f>IF('Customers Raw data'!F987&lt;&gt;"",MONTH(DATEVALUE('Customers Raw data'!F987)),"")</f>
        <v>11</v>
      </c>
      <c r="J987">
        <f>YEAR(DATEVALUE('Customers Raw data'!B987))</f>
        <v>2024</v>
      </c>
      <c r="K987">
        <f>MONTH(DATEVALUE('Customers Raw data'!B987))</f>
        <v>6</v>
      </c>
      <c r="L987">
        <f ca="1">IF('Customers Raw data'!F987&lt;&gt;"",DATEDIF(DATEVALUE('Customers Raw data'!B987),DATEVALUE('Customers Raw data'!F987),"M"),DATEDIF(DATEVALUE('Customers Raw data'!B987),TODAY(),"M"))</f>
        <v>4</v>
      </c>
      <c r="M987">
        <f t="shared" ca="1" si="75"/>
        <v>2000</v>
      </c>
      <c r="N987">
        <f t="shared" si="76"/>
        <v>3</v>
      </c>
      <c r="O987">
        <f t="shared" ca="1" si="77"/>
        <v>1</v>
      </c>
      <c r="P987">
        <f t="shared" si="78"/>
        <v>500</v>
      </c>
      <c r="Q987" t="str">
        <f t="shared" si="79"/>
        <v>2024-11</v>
      </c>
    </row>
    <row r="988" spans="1:17" ht="15" customHeight="1" x14ac:dyDescent="0.25">
      <c r="A988">
        <f>'Customers Raw data'!A988</f>
        <v>1987</v>
      </c>
      <c r="B988" t="str">
        <f>'Customers Raw data'!B988</f>
        <v>2024-03-30</v>
      </c>
      <c r="C988" t="str">
        <f>'Customers Raw data'!C988</f>
        <v>Enterprise</v>
      </c>
      <c r="D988">
        <f>'Customers Raw data'!D988</f>
        <v>500</v>
      </c>
      <c r="E988">
        <f>'Customers Raw data'!E988</f>
        <v>200</v>
      </c>
      <c r="F988">
        <f>'Customers Raw data'!F988</f>
        <v>0</v>
      </c>
      <c r="G988">
        <f>IF('Customers Raw data'!F988&lt;&gt;"",1,0)</f>
        <v>0</v>
      </c>
      <c r="H988" t="str">
        <f>IF('Customers Raw data'!F988&lt;&gt;"",YEAR(DATEVALUE('Customers Raw data'!F988)),"")</f>
        <v/>
      </c>
      <c r="I988" t="str">
        <f>IF('Customers Raw data'!F988&lt;&gt;"",MONTH(DATEVALUE('Customers Raw data'!F988)),"")</f>
        <v/>
      </c>
      <c r="J988">
        <f>YEAR(DATEVALUE('Customers Raw data'!B988))</f>
        <v>2024</v>
      </c>
      <c r="K988">
        <f>MONTH(DATEVALUE('Customers Raw data'!B988))</f>
        <v>3</v>
      </c>
      <c r="L988">
        <f ca="1">IF('Customers Raw data'!F988&lt;&gt;"",DATEDIF(DATEVALUE('Customers Raw data'!B988),DATEVALUE('Customers Raw data'!F988),"M"),DATEDIF(DATEVALUE('Customers Raw data'!B988),TODAY(),"M"))</f>
        <v>24</v>
      </c>
      <c r="M988">
        <f t="shared" ca="1" si="75"/>
        <v>12000</v>
      </c>
      <c r="N988">
        <f t="shared" si="76"/>
        <v>3</v>
      </c>
      <c r="O988">
        <f t="shared" ca="1" si="77"/>
        <v>0</v>
      </c>
      <c r="P988">
        <f t="shared" si="78"/>
        <v>0</v>
      </c>
      <c r="Q988" t="e">
        <f t="shared" si="79"/>
        <v>#VALUE!</v>
      </c>
    </row>
    <row r="989" spans="1:17" ht="15" customHeight="1" x14ac:dyDescent="0.25">
      <c r="A989">
        <f>'Customers Raw data'!A989</f>
        <v>1988</v>
      </c>
      <c r="B989" t="str">
        <f>'Customers Raw data'!B989</f>
        <v>2024-11-29</v>
      </c>
      <c r="C989" t="str">
        <f>'Customers Raw data'!C989</f>
        <v>Enterprise</v>
      </c>
      <c r="D989">
        <f>'Customers Raw data'!D989</f>
        <v>500</v>
      </c>
      <c r="E989">
        <f>'Customers Raw data'!E989</f>
        <v>200</v>
      </c>
      <c r="F989" t="str">
        <f>'Customers Raw data'!F989</f>
        <v>2025-03-28</v>
      </c>
      <c r="G989">
        <f>IF('Customers Raw data'!F989&lt;&gt;"",1,0)</f>
        <v>1</v>
      </c>
      <c r="H989">
        <f>IF('Customers Raw data'!F989&lt;&gt;"",YEAR(DATEVALUE('Customers Raw data'!F989)),"")</f>
        <v>2025</v>
      </c>
      <c r="I989">
        <f>IF('Customers Raw data'!F989&lt;&gt;"",MONTH(DATEVALUE('Customers Raw data'!F989)),"")</f>
        <v>3</v>
      </c>
      <c r="J989">
        <f>YEAR(DATEVALUE('Customers Raw data'!B989))</f>
        <v>2024</v>
      </c>
      <c r="K989">
        <f>MONTH(DATEVALUE('Customers Raw data'!B989))</f>
        <v>11</v>
      </c>
      <c r="L989">
        <f ca="1">IF('Customers Raw data'!F989&lt;&gt;"",DATEDIF(DATEVALUE('Customers Raw data'!B989),DATEVALUE('Customers Raw data'!F989),"M"),DATEDIF(DATEVALUE('Customers Raw data'!B989),TODAY(),"M"))</f>
        <v>3</v>
      </c>
      <c r="M989">
        <f t="shared" ca="1" si="75"/>
        <v>1500</v>
      </c>
      <c r="N989">
        <f t="shared" si="76"/>
        <v>3</v>
      </c>
      <c r="O989">
        <f t="shared" ca="1" si="77"/>
        <v>1</v>
      </c>
      <c r="P989">
        <f t="shared" si="78"/>
        <v>500</v>
      </c>
      <c r="Q989" t="str">
        <f t="shared" si="79"/>
        <v>2025-03</v>
      </c>
    </row>
    <row r="990" spans="1:17" ht="15" customHeight="1" x14ac:dyDescent="0.25">
      <c r="A990">
        <f>'Customers Raw data'!A990</f>
        <v>1989</v>
      </c>
      <c r="B990" t="str">
        <f>'Customers Raw data'!B990</f>
        <v>2024-08-24</v>
      </c>
      <c r="C990" t="str">
        <f>'Customers Raw data'!C990</f>
        <v>Basic</v>
      </c>
      <c r="D990">
        <f>'Customers Raw data'!D990</f>
        <v>50</v>
      </c>
      <c r="E990">
        <f>'Customers Raw data'!E990</f>
        <v>30</v>
      </c>
      <c r="F990">
        <f>'Customers Raw data'!F990</f>
        <v>0</v>
      </c>
      <c r="G990">
        <f>IF('Customers Raw data'!F990&lt;&gt;"",1,0)</f>
        <v>0</v>
      </c>
      <c r="H990" t="str">
        <f>IF('Customers Raw data'!F990&lt;&gt;"",YEAR(DATEVALUE('Customers Raw data'!F990)),"")</f>
        <v/>
      </c>
      <c r="I990" t="str">
        <f>IF('Customers Raw data'!F990&lt;&gt;"",MONTH(DATEVALUE('Customers Raw data'!F990)),"")</f>
        <v/>
      </c>
      <c r="J990">
        <f>YEAR(DATEVALUE('Customers Raw data'!B990))</f>
        <v>2024</v>
      </c>
      <c r="K990">
        <f>MONTH(DATEVALUE('Customers Raw data'!B990))</f>
        <v>8</v>
      </c>
      <c r="L990">
        <f ca="1">IF('Customers Raw data'!F990&lt;&gt;"",DATEDIF(DATEVALUE('Customers Raw data'!B990),DATEVALUE('Customers Raw data'!F990),"M"),DATEDIF(DATEVALUE('Customers Raw data'!B990),TODAY(),"M"))</f>
        <v>19</v>
      </c>
      <c r="M990">
        <f t="shared" ca="1" si="75"/>
        <v>950</v>
      </c>
      <c r="N990">
        <f t="shared" si="76"/>
        <v>1</v>
      </c>
      <c r="O990">
        <f t="shared" ca="1" si="77"/>
        <v>0</v>
      </c>
      <c r="P990">
        <f t="shared" si="78"/>
        <v>0</v>
      </c>
      <c r="Q990" t="e">
        <f t="shared" si="79"/>
        <v>#VALUE!</v>
      </c>
    </row>
    <row r="991" spans="1:17" ht="15" customHeight="1" x14ac:dyDescent="0.25">
      <c r="A991">
        <f>'Customers Raw data'!A991</f>
        <v>1990</v>
      </c>
      <c r="B991" t="str">
        <f>'Customers Raw data'!B991</f>
        <v>2025-04-25</v>
      </c>
      <c r="C991" t="str">
        <f>'Customers Raw data'!C991</f>
        <v>Basic</v>
      </c>
      <c r="D991">
        <f>'Customers Raw data'!D991</f>
        <v>50</v>
      </c>
      <c r="E991">
        <f>'Customers Raw data'!E991</f>
        <v>30</v>
      </c>
      <c r="F991">
        <f>'Customers Raw data'!F991</f>
        <v>0</v>
      </c>
      <c r="G991">
        <f>IF('Customers Raw data'!F991&lt;&gt;"",1,0)</f>
        <v>0</v>
      </c>
      <c r="H991" t="str">
        <f>IF('Customers Raw data'!F991&lt;&gt;"",YEAR(DATEVALUE('Customers Raw data'!F991)),"")</f>
        <v/>
      </c>
      <c r="I991" t="str">
        <f>IF('Customers Raw data'!F991&lt;&gt;"",MONTH(DATEVALUE('Customers Raw data'!F991)),"")</f>
        <v/>
      </c>
      <c r="J991">
        <f>YEAR(DATEVALUE('Customers Raw data'!B991))</f>
        <v>2025</v>
      </c>
      <c r="K991">
        <f>MONTH(DATEVALUE('Customers Raw data'!B991))</f>
        <v>4</v>
      </c>
      <c r="L991">
        <f ca="1">IF('Customers Raw data'!F991&lt;&gt;"",DATEDIF(DATEVALUE('Customers Raw data'!B991),DATEVALUE('Customers Raw data'!F991),"M"),DATEDIF(DATEVALUE('Customers Raw data'!B991),TODAY(),"M"))</f>
        <v>11</v>
      </c>
      <c r="M991">
        <f t="shared" ca="1" si="75"/>
        <v>550</v>
      </c>
      <c r="N991">
        <f t="shared" si="76"/>
        <v>1</v>
      </c>
      <c r="O991">
        <f t="shared" ca="1" si="77"/>
        <v>0</v>
      </c>
      <c r="P991">
        <f t="shared" si="78"/>
        <v>0</v>
      </c>
      <c r="Q991" t="e">
        <f t="shared" si="79"/>
        <v>#VALUE!</v>
      </c>
    </row>
    <row r="992" spans="1:17" ht="15" customHeight="1" x14ac:dyDescent="0.25">
      <c r="A992">
        <f>'Customers Raw data'!A992</f>
        <v>1991</v>
      </c>
      <c r="B992" t="str">
        <f>'Customers Raw data'!B992</f>
        <v>2024-11-10</v>
      </c>
      <c r="C992" t="str">
        <f>'Customers Raw data'!C992</f>
        <v>Pro</v>
      </c>
      <c r="D992">
        <f>'Customers Raw data'!D992</f>
        <v>200</v>
      </c>
      <c r="E992">
        <f>'Customers Raw data'!E992</f>
        <v>100</v>
      </c>
      <c r="F992">
        <f>'Customers Raw data'!F992</f>
        <v>0</v>
      </c>
      <c r="G992">
        <f>IF('Customers Raw data'!F992&lt;&gt;"",1,0)</f>
        <v>0</v>
      </c>
      <c r="H992" t="str">
        <f>IF('Customers Raw data'!F992&lt;&gt;"",YEAR(DATEVALUE('Customers Raw data'!F992)),"")</f>
        <v/>
      </c>
      <c r="I992" t="str">
        <f>IF('Customers Raw data'!F992&lt;&gt;"",MONTH(DATEVALUE('Customers Raw data'!F992)),"")</f>
        <v/>
      </c>
      <c r="J992">
        <f>YEAR(DATEVALUE('Customers Raw data'!B992))</f>
        <v>2024</v>
      </c>
      <c r="K992">
        <f>MONTH(DATEVALUE('Customers Raw data'!B992))</f>
        <v>11</v>
      </c>
      <c r="L992">
        <f ca="1">IF('Customers Raw data'!F992&lt;&gt;"",DATEDIF(DATEVALUE('Customers Raw data'!B992),DATEVALUE('Customers Raw data'!F992),"M"),DATEDIF(DATEVALUE('Customers Raw data'!B992),TODAY(),"M"))</f>
        <v>16</v>
      </c>
      <c r="M992">
        <f t="shared" ca="1" si="75"/>
        <v>3200</v>
      </c>
      <c r="N992">
        <f t="shared" si="76"/>
        <v>2</v>
      </c>
      <c r="O992">
        <f t="shared" ca="1" si="77"/>
        <v>0</v>
      </c>
      <c r="P992">
        <f t="shared" si="78"/>
        <v>0</v>
      </c>
      <c r="Q992" t="e">
        <f t="shared" si="79"/>
        <v>#VALUE!</v>
      </c>
    </row>
    <row r="993" spans="1:17" ht="15" customHeight="1" x14ac:dyDescent="0.25">
      <c r="A993">
        <f>'Customers Raw data'!A993</f>
        <v>1992</v>
      </c>
      <c r="B993" t="str">
        <f>'Customers Raw data'!B993</f>
        <v>2024-05-23</v>
      </c>
      <c r="C993" t="str">
        <f>'Customers Raw data'!C993</f>
        <v>Pro</v>
      </c>
      <c r="D993">
        <f>'Customers Raw data'!D993</f>
        <v>200</v>
      </c>
      <c r="E993">
        <f>'Customers Raw data'!E993</f>
        <v>100</v>
      </c>
      <c r="F993">
        <f>'Customers Raw data'!F993</f>
        <v>0</v>
      </c>
      <c r="G993">
        <f>IF('Customers Raw data'!F993&lt;&gt;"",1,0)</f>
        <v>0</v>
      </c>
      <c r="H993" t="str">
        <f>IF('Customers Raw data'!F993&lt;&gt;"",YEAR(DATEVALUE('Customers Raw data'!F993)),"")</f>
        <v/>
      </c>
      <c r="I993" t="str">
        <f>IF('Customers Raw data'!F993&lt;&gt;"",MONTH(DATEVALUE('Customers Raw data'!F993)),"")</f>
        <v/>
      </c>
      <c r="J993">
        <f>YEAR(DATEVALUE('Customers Raw data'!B993))</f>
        <v>2024</v>
      </c>
      <c r="K993">
        <f>MONTH(DATEVALUE('Customers Raw data'!B993))</f>
        <v>5</v>
      </c>
      <c r="L993">
        <f ca="1">IF('Customers Raw data'!F993&lt;&gt;"",DATEDIF(DATEVALUE('Customers Raw data'!B993),DATEVALUE('Customers Raw data'!F993),"M"),DATEDIF(DATEVALUE('Customers Raw data'!B993),TODAY(),"M"))</f>
        <v>22</v>
      </c>
      <c r="M993">
        <f t="shared" ca="1" si="75"/>
        <v>4400</v>
      </c>
      <c r="N993">
        <f t="shared" si="76"/>
        <v>2</v>
      </c>
      <c r="O993">
        <f t="shared" ca="1" si="77"/>
        <v>0</v>
      </c>
      <c r="P993">
        <f t="shared" si="78"/>
        <v>0</v>
      </c>
      <c r="Q993" t="e">
        <f t="shared" si="79"/>
        <v>#VALUE!</v>
      </c>
    </row>
    <row r="994" spans="1:17" ht="15" customHeight="1" x14ac:dyDescent="0.25">
      <c r="A994">
        <f>'Customers Raw data'!A994</f>
        <v>1993</v>
      </c>
      <c r="B994" t="str">
        <f>'Customers Raw data'!B994</f>
        <v>2024-06-19</v>
      </c>
      <c r="C994" t="str">
        <f>'Customers Raw data'!C994</f>
        <v>Pro</v>
      </c>
      <c r="D994">
        <f>'Customers Raw data'!D994</f>
        <v>200</v>
      </c>
      <c r="E994">
        <f>'Customers Raw data'!E994</f>
        <v>100</v>
      </c>
      <c r="F994">
        <f>'Customers Raw data'!F994</f>
        <v>0</v>
      </c>
      <c r="G994">
        <f>IF('Customers Raw data'!F994&lt;&gt;"",1,0)</f>
        <v>0</v>
      </c>
      <c r="H994" t="str">
        <f>IF('Customers Raw data'!F994&lt;&gt;"",YEAR(DATEVALUE('Customers Raw data'!F994)),"")</f>
        <v/>
      </c>
      <c r="I994" t="str">
        <f>IF('Customers Raw data'!F994&lt;&gt;"",MONTH(DATEVALUE('Customers Raw data'!F994)),"")</f>
        <v/>
      </c>
      <c r="J994">
        <f>YEAR(DATEVALUE('Customers Raw data'!B994))</f>
        <v>2024</v>
      </c>
      <c r="K994">
        <f>MONTH(DATEVALUE('Customers Raw data'!B994))</f>
        <v>6</v>
      </c>
      <c r="L994">
        <f ca="1">IF('Customers Raw data'!F994&lt;&gt;"",DATEDIF(DATEVALUE('Customers Raw data'!B994),DATEVALUE('Customers Raw data'!F994),"M"),DATEDIF(DATEVALUE('Customers Raw data'!B994),TODAY(),"M"))</f>
        <v>21</v>
      </c>
      <c r="M994">
        <f t="shared" ca="1" si="75"/>
        <v>4200</v>
      </c>
      <c r="N994">
        <f t="shared" si="76"/>
        <v>2</v>
      </c>
      <c r="O994">
        <f t="shared" ca="1" si="77"/>
        <v>0</v>
      </c>
      <c r="P994">
        <f t="shared" si="78"/>
        <v>0</v>
      </c>
      <c r="Q994" t="e">
        <f t="shared" si="79"/>
        <v>#VALUE!</v>
      </c>
    </row>
    <row r="995" spans="1:17" ht="15" customHeight="1" x14ac:dyDescent="0.25">
      <c r="A995">
        <f>'Customers Raw data'!A995</f>
        <v>1994</v>
      </c>
      <c r="B995" t="str">
        <f>'Customers Raw data'!B995</f>
        <v>2024-01-04</v>
      </c>
      <c r="C995" t="str">
        <f>'Customers Raw data'!C995</f>
        <v>Basic</v>
      </c>
      <c r="D995">
        <f>'Customers Raw data'!D995</f>
        <v>50</v>
      </c>
      <c r="E995">
        <f>'Customers Raw data'!E995</f>
        <v>30</v>
      </c>
      <c r="F995">
        <f>'Customers Raw data'!F995</f>
        <v>0</v>
      </c>
      <c r="G995">
        <f>IF('Customers Raw data'!F995&lt;&gt;"",1,0)</f>
        <v>0</v>
      </c>
      <c r="H995" t="str">
        <f>IF('Customers Raw data'!F995&lt;&gt;"",YEAR(DATEVALUE('Customers Raw data'!F995)),"")</f>
        <v/>
      </c>
      <c r="I995" t="str">
        <f>IF('Customers Raw data'!F995&lt;&gt;"",MONTH(DATEVALUE('Customers Raw data'!F995)),"")</f>
        <v/>
      </c>
      <c r="J995">
        <f>YEAR(DATEVALUE('Customers Raw data'!B995))</f>
        <v>2024</v>
      </c>
      <c r="K995">
        <f>MONTH(DATEVALUE('Customers Raw data'!B995))</f>
        <v>1</v>
      </c>
      <c r="L995">
        <f ca="1">IF('Customers Raw data'!F995&lt;&gt;"",DATEDIF(DATEVALUE('Customers Raw data'!B995),DATEVALUE('Customers Raw data'!F995),"M"),DATEDIF(DATEVALUE('Customers Raw data'!B995),TODAY(),"M"))</f>
        <v>27</v>
      </c>
      <c r="M995">
        <f t="shared" ca="1" si="75"/>
        <v>1350</v>
      </c>
      <c r="N995">
        <f t="shared" si="76"/>
        <v>1</v>
      </c>
      <c r="O995">
        <f t="shared" ca="1" si="77"/>
        <v>0</v>
      </c>
      <c r="P995">
        <f t="shared" si="78"/>
        <v>0</v>
      </c>
      <c r="Q995" t="e">
        <f t="shared" si="79"/>
        <v>#VALUE!</v>
      </c>
    </row>
    <row r="996" spans="1:17" ht="15" customHeight="1" x14ac:dyDescent="0.25">
      <c r="A996">
        <f>'Customers Raw data'!A996</f>
        <v>1995</v>
      </c>
      <c r="B996" t="str">
        <f>'Customers Raw data'!B996</f>
        <v>2024-01-23</v>
      </c>
      <c r="C996" t="str">
        <f>'Customers Raw data'!C996</f>
        <v>Pro</v>
      </c>
      <c r="D996">
        <f>'Customers Raw data'!D996</f>
        <v>200</v>
      </c>
      <c r="E996">
        <f>'Customers Raw data'!E996</f>
        <v>100</v>
      </c>
      <c r="F996">
        <f>'Customers Raw data'!F996</f>
        <v>0</v>
      </c>
      <c r="G996">
        <f>IF('Customers Raw data'!F996&lt;&gt;"",1,0)</f>
        <v>0</v>
      </c>
      <c r="H996" t="str">
        <f>IF('Customers Raw data'!F996&lt;&gt;"",YEAR(DATEVALUE('Customers Raw data'!F996)),"")</f>
        <v/>
      </c>
      <c r="I996" t="str">
        <f>IF('Customers Raw data'!F996&lt;&gt;"",MONTH(DATEVALUE('Customers Raw data'!F996)),"")</f>
        <v/>
      </c>
      <c r="J996">
        <f>YEAR(DATEVALUE('Customers Raw data'!B996))</f>
        <v>2024</v>
      </c>
      <c r="K996">
        <f>MONTH(DATEVALUE('Customers Raw data'!B996))</f>
        <v>1</v>
      </c>
      <c r="L996">
        <f ca="1">IF('Customers Raw data'!F996&lt;&gt;"",DATEDIF(DATEVALUE('Customers Raw data'!B996),DATEVALUE('Customers Raw data'!F996),"M"),DATEDIF(DATEVALUE('Customers Raw data'!B996),TODAY(),"M"))</f>
        <v>26</v>
      </c>
      <c r="M996">
        <f t="shared" ca="1" si="75"/>
        <v>5200</v>
      </c>
      <c r="N996">
        <f t="shared" si="76"/>
        <v>2</v>
      </c>
      <c r="O996">
        <f t="shared" ca="1" si="77"/>
        <v>0</v>
      </c>
      <c r="P996">
        <f t="shared" si="78"/>
        <v>0</v>
      </c>
      <c r="Q996" t="e">
        <f t="shared" si="79"/>
        <v>#VALUE!</v>
      </c>
    </row>
    <row r="997" spans="1:17" ht="15" customHeight="1" x14ac:dyDescent="0.25">
      <c r="A997">
        <f>'Customers Raw data'!A997</f>
        <v>1996</v>
      </c>
      <c r="B997" t="str">
        <f>'Customers Raw data'!B997</f>
        <v>2025-02-18</v>
      </c>
      <c r="C997" t="str">
        <f>'Customers Raw data'!C997</f>
        <v>Pro</v>
      </c>
      <c r="D997">
        <f>'Customers Raw data'!D997</f>
        <v>200</v>
      </c>
      <c r="E997">
        <f>'Customers Raw data'!E997</f>
        <v>100</v>
      </c>
      <c r="F997">
        <f>'Customers Raw data'!F997</f>
        <v>0</v>
      </c>
      <c r="G997">
        <f>IF('Customers Raw data'!F997&lt;&gt;"",1,0)</f>
        <v>0</v>
      </c>
      <c r="H997" t="str">
        <f>IF('Customers Raw data'!F997&lt;&gt;"",YEAR(DATEVALUE('Customers Raw data'!F997)),"")</f>
        <v/>
      </c>
      <c r="I997" t="str">
        <f>IF('Customers Raw data'!F997&lt;&gt;"",MONTH(DATEVALUE('Customers Raw data'!F997)),"")</f>
        <v/>
      </c>
      <c r="J997">
        <f>YEAR(DATEVALUE('Customers Raw data'!B997))</f>
        <v>2025</v>
      </c>
      <c r="K997">
        <f>MONTH(DATEVALUE('Customers Raw data'!B997))</f>
        <v>2</v>
      </c>
      <c r="L997">
        <f ca="1">IF('Customers Raw data'!F997&lt;&gt;"",DATEDIF(DATEVALUE('Customers Raw data'!B997),DATEVALUE('Customers Raw data'!F997),"M"),DATEDIF(DATEVALUE('Customers Raw data'!B997),TODAY(),"M"))</f>
        <v>13</v>
      </c>
      <c r="M997">
        <f t="shared" ca="1" si="75"/>
        <v>2600</v>
      </c>
      <c r="N997">
        <f t="shared" si="76"/>
        <v>2</v>
      </c>
      <c r="O997">
        <f t="shared" ca="1" si="77"/>
        <v>0</v>
      </c>
      <c r="P997">
        <f t="shared" si="78"/>
        <v>0</v>
      </c>
      <c r="Q997" t="e">
        <f t="shared" si="79"/>
        <v>#VALUE!</v>
      </c>
    </row>
    <row r="998" spans="1:17" ht="15" customHeight="1" x14ac:dyDescent="0.25">
      <c r="A998">
        <f>'Customers Raw data'!A998</f>
        <v>1997</v>
      </c>
      <c r="B998" t="str">
        <f>'Customers Raw data'!B998</f>
        <v>2025-02-12</v>
      </c>
      <c r="C998" t="str">
        <f>'Customers Raw data'!C998</f>
        <v>Pro</v>
      </c>
      <c r="D998">
        <f>'Customers Raw data'!D998</f>
        <v>200</v>
      </c>
      <c r="E998">
        <f>'Customers Raw data'!E998</f>
        <v>100</v>
      </c>
      <c r="F998">
        <f>'Customers Raw data'!F998</f>
        <v>0</v>
      </c>
      <c r="G998">
        <f>IF('Customers Raw data'!F998&lt;&gt;"",1,0)</f>
        <v>0</v>
      </c>
      <c r="H998" t="str">
        <f>IF('Customers Raw data'!F998&lt;&gt;"",YEAR(DATEVALUE('Customers Raw data'!F998)),"")</f>
        <v/>
      </c>
      <c r="I998" t="str">
        <f>IF('Customers Raw data'!F998&lt;&gt;"",MONTH(DATEVALUE('Customers Raw data'!F998)),"")</f>
        <v/>
      </c>
      <c r="J998">
        <f>YEAR(DATEVALUE('Customers Raw data'!B998))</f>
        <v>2025</v>
      </c>
      <c r="K998">
        <f>MONTH(DATEVALUE('Customers Raw data'!B998))</f>
        <v>2</v>
      </c>
      <c r="L998">
        <f ca="1">IF('Customers Raw data'!F998&lt;&gt;"",DATEDIF(DATEVALUE('Customers Raw data'!B998),DATEVALUE('Customers Raw data'!F998),"M"),DATEDIF(DATEVALUE('Customers Raw data'!B998),TODAY(),"M"))</f>
        <v>13</v>
      </c>
      <c r="M998">
        <f t="shared" ca="1" si="75"/>
        <v>2600</v>
      </c>
      <c r="N998">
        <f t="shared" si="76"/>
        <v>2</v>
      </c>
      <c r="O998">
        <f t="shared" ca="1" si="77"/>
        <v>0</v>
      </c>
      <c r="P998">
        <f t="shared" si="78"/>
        <v>0</v>
      </c>
      <c r="Q998" t="e">
        <f t="shared" si="79"/>
        <v>#VALUE!</v>
      </c>
    </row>
    <row r="999" spans="1:17" ht="15" customHeight="1" x14ac:dyDescent="0.25">
      <c r="A999">
        <f>'Customers Raw data'!A999</f>
        <v>1998</v>
      </c>
      <c r="B999" t="str">
        <f>'Customers Raw data'!B999</f>
        <v>2024-01-13</v>
      </c>
      <c r="C999" t="str">
        <f>'Customers Raw data'!C999</f>
        <v>Basic</v>
      </c>
      <c r="D999">
        <f>'Customers Raw data'!D999</f>
        <v>50</v>
      </c>
      <c r="E999">
        <f>'Customers Raw data'!E999</f>
        <v>30</v>
      </c>
      <c r="F999">
        <f>'Customers Raw data'!F999</f>
        <v>0</v>
      </c>
      <c r="G999">
        <f>IF('Customers Raw data'!F999&lt;&gt;"",1,0)</f>
        <v>0</v>
      </c>
      <c r="H999" t="str">
        <f>IF('Customers Raw data'!F999&lt;&gt;"",YEAR(DATEVALUE('Customers Raw data'!F999)),"")</f>
        <v/>
      </c>
      <c r="I999" t="str">
        <f>IF('Customers Raw data'!F999&lt;&gt;"",MONTH(DATEVALUE('Customers Raw data'!F999)),"")</f>
        <v/>
      </c>
      <c r="J999">
        <f>YEAR(DATEVALUE('Customers Raw data'!B999))</f>
        <v>2024</v>
      </c>
      <c r="K999">
        <f>MONTH(DATEVALUE('Customers Raw data'!B999))</f>
        <v>1</v>
      </c>
      <c r="L999">
        <f ca="1">IF('Customers Raw data'!F999&lt;&gt;"",DATEDIF(DATEVALUE('Customers Raw data'!B999),DATEVALUE('Customers Raw data'!F999),"M"),DATEDIF(DATEVALUE('Customers Raw data'!B999),TODAY(),"M"))</f>
        <v>26</v>
      </c>
      <c r="M999">
        <f t="shared" ca="1" si="75"/>
        <v>1300</v>
      </c>
      <c r="N999">
        <f t="shared" si="76"/>
        <v>1</v>
      </c>
      <c r="O999">
        <f t="shared" ca="1" si="77"/>
        <v>0</v>
      </c>
      <c r="P999">
        <f t="shared" si="78"/>
        <v>0</v>
      </c>
      <c r="Q999" t="e">
        <f t="shared" si="79"/>
        <v>#VALUE!</v>
      </c>
    </row>
    <row r="1000" spans="1:17" ht="15" customHeight="1" x14ac:dyDescent="0.25">
      <c r="A1000">
        <f>'Customers Raw data'!A1000</f>
        <v>1999</v>
      </c>
      <c r="B1000" t="str">
        <f>'Customers Raw data'!B1000</f>
        <v>2025-04-08</v>
      </c>
      <c r="C1000" t="str">
        <f>'Customers Raw data'!C1000</f>
        <v>Enterprise</v>
      </c>
      <c r="D1000">
        <f>'Customers Raw data'!D1000</f>
        <v>500</v>
      </c>
      <c r="E1000">
        <f>'Customers Raw data'!E1000</f>
        <v>200</v>
      </c>
      <c r="F1000" t="str">
        <f>'Customers Raw data'!F1000</f>
        <v>2025-06-05</v>
      </c>
      <c r="G1000">
        <f>IF('Customers Raw data'!F1000&lt;&gt;"",1,0)</f>
        <v>1</v>
      </c>
      <c r="H1000">
        <f>IF('Customers Raw data'!F1000&lt;&gt;"",YEAR(DATEVALUE('Customers Raw data'!F1000)),"")</f>
        <v>2025</v>
      </c>
      <c r="I1000">
        <f>IF('Customers Raw data'!F1000&lt;&gt;"",MONTH(DATEVALUE('Customers Raw data'!F1000)),"")</f>
        <v>6</v>
      </c>
      <c r="J1000">
        <f>YEAR(DATEVALUE('Customers Raw data'!B1000))</f>
        <v>2025</v>
      </c>
      <c r="K1000">
        <f>MONTH(DATEVALUE('Customers Raw data'!B1000))</f>
        <v>4</v>
      </c>
      <c r="L1000">
        <f ca="1">IF('Customers Raw data'!F1000&lt;&gt;"",DATEDIF(DATEVALUE('Customers Raw data'!B1000),DATEVALUE('Customers Raw data'!F1000),"M"),DATEDIF(DATEVALUE('Customers Raw data'!B1000),TODAY(),"M"))</f>
        <v>1</v>
      </c>
      <c r="M1000">
        <f t="shared" ca="1" si="75"/>
        <v>500</v>
      </c>
      <c r="N1000">
        <f t="shared" si="76"/>
        <v>3</v>
      </c>
      <c r="O1000">
        <f t="shared" ca="1" si="77"/>
        <v>1</v>
      </c>
      <c r="P1000">
        <f t="shared" si="78"/>
        <v>500</v>
      </c>
      <c r="Q1000" t="str">
        <f t="shared" si="79"/>
        <v>2025-06</v>
      </c>
    </row>
    <row r="1001" spans="1:17" ht="15" customHeight="1" x14ac:dyDescent="0.25">
      <c r="A1001">
        <f>'Customers Raw data'!A1001</f>
        <v>2000</v>
      </c>
      <c r="B1001" t="str">
        <f>'Customers Raw data'!B1001</f>
        <v>2024-07-24</v>
      </c>
      <c r="C1001" t="str">
        <f>'Customers Raw data'!C1001</f>
        <v>Pro</v>
      </c>
      <c r="D1001">
        <f>'Customers Raw data'!D1001</f>
        <v>200</v>
      </c>
      <c r="E1001">
        <f>'Customers Raw data'!E1001</f>
        <v>100</v>
      </c>
      <c r="F1001">
        <f>'Customers Raw data'!F1001</f>
        <v>0</v>
      </c>
      <c r="G1001">
        <f>IF('Customers Raw data'!F1001&lt;&gt;"",1,0)</f>
        <v>0</v>
      </c>
      <c r="H1001" t="str">
        <f>IF('Customers Raw data'!F1001&lt;&gt;"",YEAR(DATEVALUE('Customers Raw data'!F1001)),"")</f>
        <v/>
      </c>
      <c r="I1001" t="str">
        <f>IF('Customers Raw data'!F1001&lt;&gt;"",MONTH(DATEVALUE('Customers Raw data'!F1001)),"")</f>
        <v/>
      </c>
      <c r="J1001">
        <f>YEAR(DATEVALUE('Customers Raw data'!B1001))</f>
        <v>2024</v>
      </c>
      <c r="K1001">
        <f>MONTH(DATEVALUE('Customers Raw data'!B1001))</f>
        <v>7</v>
      </c>
      <c r="L1001">
        <f ca="1">IF('Customers Raw data'!F1001&lt;&gt;"",DATEDIF(DATEVALUE('Customers Raw data'!B1001),DATEVALUE('Customers Raw data'!F1001),"M"),DATEDIF(DATEVALUE('Customers Raw data'!B1001),TODAY(),"M"))</f>
        <v>20</v>
      </c>
      <c r="M1001">
        <f t="shared" ca="1" si="75"/>
        <v>4000</v>
      </c>
      <c r="N1001">
        <f t="shared" si="76"/>
        <v>2</v>
      </c>
      <c r="O1001">
        <f t="shared" ca="1" si="77"/>
        <v>0</v>
      </c>
      <c r="P1001">
        <f t="shared" si="78"/>
        <v>0</v>
      </c>
      <c r="Q1001" t="e">
        <f t="shared" si="79"/>
        <v>#VALUE!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2"/>
  <sheetViews>
    <sheetView showGridLines="0" topLeftCell="B1" zoomScaleNormal="100" workbookViewId="0">
      <selection activeCell="C11" sqref="C11"/>
    </sheetView>
  </sheetViews>
  <sheetFormatPr defaultColWidth="8.7109375" defaultRowHeight="15" x14ac:dyDescent="0.25"/>
  <cols>
    <col min="1" max="1" width="22" customWidth="1"/>
    <col min="2" max="2" width="55" customWidth="1"/>
    <col min="3" max="3" width="18" customWidth="1"/>
  </cols>
  <sheetData>
    <row r="1" spans="1:8" ht="17.25" customHeight="1" x14ac:dyDescent="0.25">
      <c r="A1" s="79" t="s">
        <v>1575</v>
      </c>
      <c r="B1" s="79"/>
      <c r="C1" s="79"/>
      <c r="D1" s="79"/>
      <c r="E1" s="79"/>
      <c r="F1" s="79"/>
      <c r="G1" s="79"/>
      <c r="H1" s="79"/>
    </row>
    <row r="3" spans="1:8" ht="15" customHeight="1" x14ac:dyDescent="0.25">
      <c r="A3" s="80" t="s">
        <v>1576</v>
      </c>
      <c r="B3" s="80"/>
      <c r="C3" s="80"/>
      <c r="D3" s="80"/>
      <c r="E3" s="80"/>
      <c r="F3" s="80"/>
      <c r="G3" s="80"/>
      <c r="H3" s="80"/>
    </row>
    <row r="4" spans="1:8" ht="15" customHeight="1" x14ac:dyDescent="0.25">
      <c r="A4" s="20" t="s">
        <v>1577</v>
      </c>
      <c r="B4" s="20" t="s">
        <v>1578</v>
      </c>
      <c r="C4" s="20" t="s">
        <v>1579</v>
      </c>
    </row>
    <row r="5" spans="1:8" ht="15" customHeight="1" x14ac:dyDescent="0.25">
      <c r="A5" s="21" t="s">
        <v>1580</v>
      </c>
      <c r="B5" s="22" t="str">
        <f>"=COUNT(Calculations!D2:Calculations!D1001)"</f>
        <v>=COUNT(Calculations!D2:Calculations!D1001)</v>
      </c>
      <c r="C5" s="23">
        <f>COUNT(Calculations!D2:D1001)</f>
        <v>1000</v>
      </c>
    </row>
    <row r="6" spans="1:8" ht="15" customHeight="1" x14ac:dyDescent="0.25">
      <c r="A6" s="21" t="s">
        <v>1581</v>
      </c>
      <c r="B6" s="22" t="str">
        <f>"=SUM(Calculations!D2:Calculations!D1001)"</f>
        <v>=SUM(Calculations!D2:Calculations!D1001)</v>
      </c>
      <c r="C6" s="23">
        <f>SUM(Calculations!D2:D1001)</f>
        <v>249950</v>
      </c>
    </row>
    <row r="7" spans="1:8" ht="15" customHeight="1" x14ac:dyDescent="0.25">
      <c r="A7" s="21" t="s">
        <v>1582</v>
      </c>
      <c r="B7" s="22" t="str">
        <f>"=AVERAGE(Calculations!D2:Calculations!D1001)"</f>
        <v>=AVERAGE(Calculations!D2:Calculations!D1001)</v>
      </c>
      <c r="C7" s="23">
        <f>AVERAGE(Calculations!D2:D1001)</f>
        <v>249.95</v>
      </c>
    </row>
    <row r="8" spans="1:8" ht="15" customHeight="1" x14ac:dyDescent="0.25">
      <c r="A8" s="21" t="s">
        <v>1583</v>
      </c>
      <c r="B8" s="22" t="str">
        <f>"=MEDIAN(Calculations!D2:Calculations!D1001)"</f>
        <v>=MEDIAN(Calculations!D2:Calculations!D1001)</v>
      </c>
      <c r="C8" s="23">
        <f>MEDIAN(Calculations!D2:D1001)</f>
        <v>200</v>
      </c>
    </row>
    <row r="9" spans="1:8" ht="15" customHeight="1" x14ac:dyDescent="0.25">
      <c r="A9" s="21" t="s">
        <v>1584</v>
      </c>
      <c r="B9" s="22" t="str">
        <f>"=STDEV(Calculations!D2:Calculations!D1001)"</f>
        <v>=STDEV(Calculations!D2:Calculations!D1001)</v>
      </c>
      <c r="C9" s="23">
        <f>STDEV(Calculations!D2:D1001)</f>
        <v>186.00294243531363</v>
      </c>
    </row>
    <row r="10" spans="1:8" ht="15" customHeight="1" x14ac:dyDescent="0.25">
      <c r="A10" s="21" t="s">
        <v>1585</v>
      </c>
      <c r="B10" s="22" t="str">
        <f>"=MIN(Calculations!D2:Calculations!D1001)"</f>
        <v>=MIN(Calculations!D2:Calculations!D1001)</v>
      </c>
      <c r="C10" s="23">
        <f>MIN(Calculations!D2:D1001)</f>
        <v>50</v>
      </c>
    </row>
    <row r="11" spans="1:8" ht="15" customHeight="1" x14ac:dyDescent="0.25">
      <c r="A11" s="21" t="s">
        <v>1586</v>
      </c>
      <c r="B11" s="22" t="str">
        <f>"=MAX(Calculations!D2:Calculations!D1001)"</f>
        <v>=MAX(Calculations!D2:Calculations!D1001)</v>
      </c>
      <c r="C11" s="23">
        <f>MAX(Calculations!D2:D1001)</f>
        <v>500</v>
      </c>
    </row>
    <row r="12" spans="1:8" ht="15" customHeight="1" x14ac:dyDescent="0.25">
      <c r="A12" s="21" t="s">
        <v>1587</v>
      </c>
      <c r="B12" s="22" t="str">
        <f>"=MODE.SNGL(Calculations!D2:Calculations!D1001)"</f>
        <v>=MODE.SNGL(Calculations!D2:Calculations!D1001)</v>
      </c>
      <c r="C12" s="23">
        <f>MODE(Calculations!D2:D1001)</f>
        <v>200</v>
      </c>
    </row>
    <row r="13" spans="1:8" ht="15" customHeight="1" x14ac:dyDescent="0.25">
      <c r="A13" s="80" t="s">
        <v>1588</v>
      </c>
      <c r="B13" s="80"/>
      <c r="C13" s="80"/>
      <c r="D13" s="80"/>
      <c r="E13" s="80"/>
      <c r="F13" s="80"/>
      <c r="G13" s="80"/>
      <c r="H13" s="80"/>
    </row>
    <row r="14" spans="1:8" ht="15" customHeight="1" x14ac:dyDescent="0.25">
      <c r="A14" s="20" t="s">
        <v>1577</v>
      </c>
      <c r="B14" s="20" t="s">
        <v>1578</v>
      </c>
      <c r="C14" s="20" t="s">
        <v>1579</v>
      </c>
    </row>
    <row r="15" spans="1:8" ht="15" customHeight="1" x14ac:dyDescent="0.25">
      <c r="A15" s="21" t="s">
        <v>1580</v>
      </c>
      <c r="B15" s="22" t="str">
        <f>"=COUNT(Calculations!L2:Calculations!L1001)"</f>
        <v>=COUNT(Calculations!L2:Calculations!L1001)</v>
      </c>
      <c r="C15" s="23">
        <f ca="1">COUNT(Calculations!L2:L1001)</f>
        <v>1000</v>
      </c>
    </row>
    <row r="16" spans="1:8" ht="15" customHeight="1" x14ac:dyDescent="0.25">
      <c r="A16" s="21" t="s">
        <v>1581</v>
      </c>
      <c r="B16" s="22" t="str">
        <f>"=SUM(Calculations!L2:Calculations!L1001)"</f>
        <v>=SUM(Calculations!L2:Calculations!L1001)</v>
      </c>
      <c r="C16" s="23">
        <f ca="1">SUM(Calculations!L2:L1001)</f>
        <v>15408</v>
      </c>
    </row>
    <row r="17" spans="1:8" ht="15" customHeight="1" x14ac:dyDescent="0.25">
      <c r="A17" s="21" t="s">
        <v>1582</v>
      </c>
      <c r="B17" s="22" t="str">
        <f>"=AVERAGE(Calculations!L2:Calculations!L1001)"</f>
        <v>=AVERAGE(Calculations!L2:Calculations!L1001)</v>
      </c>
      <c r="C17" s="23">
        <f ca="1">AVERAGE(Calculations!L2:L1001)</f>
        <v>15.407999999999999</v>
      </c>
    </row>
    <row r="18" spans="1:8" ht="15" customHeight="1" x14ac:dyDescent="0.25">
      <c r="A18" s="21" t="s">
        <v>1583</v>
      </c>
      <c r="B18" s="22" t="str">
        <f>"=MEDIAN(Calculations!L2:Calculations!L1001)"</f>
        <v>=MEDIAN(Calculations!L2:Calculations!L1001)</v>
      </c>
      <c r="C18" s="23">
        <f ca="1">MEDIAN(Calculations!L2:L1001)</f>
        <v>16</v>
      </c>
    </row>
    <row r="19" spans="1:8" ht="15" customHeight="1" x14ac:dyDescent="0.25">
      <c r="A19" s="21" t="s">
        <v>1584</v>
      </c>
      <c r="B19" s="22" t="str">
        <f>"=STDEV(Calculations!L2:Calculations!L1001)"</f>
        <v>=STDEV(Calculations!L2:Calculations!L1001)</v>
      </c>
      <c r="C19" s="23">
        <f ca="1">STDEV(Calculations!L2:L1001)</f>
        <v>6.9513925121415676</v>
      </c>
    </row>
    <row r="20" spans="1:8" ht="15" customHeight="1" x14ac:dyDescent="0.25">
      <c r="A20" s="21" t="s">
        <v>1585</v>
      </c>
      <c r="B20" s="22" t="str">
        <f>"=MIN(Calculations!L2:Calculations!L1001)"</f>
        <v>=MIN(Calculations!L2:Calculations!L1001)</v>
      </c>
      <c r="C20" s="23">
        <f ca="1">MIN(Calculations!L2:L1001)</f>
        <v>0</v>
      </c>
    </row>
    <row r="21" spans="1:8" ht="15" customHeight="1" x14ac:dyDescent="0.25">
      <c r="A21" s="21" t="s">
        <v>1586</v>
      </c>
      <c r="B21" s="22" t="str">
        <f>"=MAX(Calculations!L2:Calculations!L1001)"</f>
        <v>=MAX(Calculations!L2:Calculations!L1001)</v>
      </c>
      <c r="C21" s="23">
        <f ca="1">MAX(Calculations!L2:L1001)</f>
        <v>27</v>
      </c>
    </row>
    <row r="22" spans="1:8" ht="15" customHeight="1" x14ac:dyDescent="0.25">
      <c r="A22" s="21" t="s">
        <v>1587</v>
      </c>
      <c r="B22" s="22" t="str">
        <f>"=MODE.SNGL(Calculations!L2:Calculations!L1001)"</f>
        <v>=MODE.SNGL(Calculations!L2:Calculations!L1001)</v>
      </c>
      <c r="C22" s="23">
        <f ca="1">MODE(Calculations!L2:L1001)</f>
        <v>12</v>
      </c>
    </row>
    <row r="23" spans="1:8" ht="15" customHeight="1" x14ac:dyDescent="0.25">
      <c r="A23" s="80" t="s">
        <v>1589</v>
      </c>
      <c r="B23" s="80"/>
      <c r="C23" s="80"/>
      <c r="D23" s="80"/>
      <c r="E23" s="80"/>
      <c r="F23" s="80"/>
      <c r="G23" s="80"/>
      <c r="H23" s="80"/>
    </row>
    <row r="24" spans="1:8" ht="15" customHeight="1" x14ac:dyDescent="0.25">
      <c r="A24" s="20" t="s">
        <v>1577</v>
      </c>
      <c r="B24" s="20" t="s">
        <v>1578</v>
      </c>
      <c r="C24" s="20" t="s">
        <v>1579</v>
      </c>
    </row>
    <row r="25" spans="1:8" ht="15" customHeight="1" x14ac:dyDescent="0.25">
      <c r="A25" s="21" t="s">
        <v>1580</v>
      </c>
      <c r="B25" s="22" t="str">
        <f>"=COUNT(Calculations!M2:Calculations!M1001)"</f>
        <v>=COUNT(Calculations!M2:Calculations!M1001)</v>
      </c>
      <c r="C25" s="23">
        <f ca="1">COUNT(Calculations!M2:M1001)</f>
        <v>1000</v>
      </c>
    </row>
    <row r="26" spans="1:8" ht="15" customHeight="1" x14ac:dyDescent="0.25">
      <c r="A26" s="21" t="s">
        <v>1581</v>
      </c>
      <c r="B26" s="22" t="str">
        <f>"=SUM(Calculations!M2:Calculations!M1001)"</f>
        <v>=SUM(Calculations!M2:Calculations!M1001)</v>
      </c>
      <c r="C26" s="23">
        <f ca="1">SUM(Calculations!M2:M1001)</f>
        <v>3827250</v>
      </c>
    </row>
    <row r="27" spans="1:8" ht="15" customHeight="1" x14ac:dyDescent="0.25">
      <c r="A27" s="21" t="s">
        <v>1582</v>
      </c>
      <c r="B27" s="22" t="str">
        <f>"=AVERAGE(Calculations!M2:Calculations!M1001)"</f>
        <v>=AVERAGE(Calculations!M2:Calculations!M1001)</v>
      </c>
      <c r="C27" s="23">
        <f ca="1">AVERAGE(Calculations!M2:M1001)</f>
        <v>3827.25</v>
      </c>
    </row>
    <row r="28" spans="1:8" ht="15" customHeight="1" x14ac:dyDescent="0.25">
      <c r="A28" s="21" t="s">
        <v>1583</v>
      </c>
      <c r="B28" s="22" t="str">
        <f>"=MEDIAN(Calculations!M2:Calculations!M1001)"</f>
        <v>=MEDIAN(Calculations!M2:Calculations!M1001)</v>
      </c>
      <c r="C28" s="23">
        <f ca="1">MEDIAN(Calculations!M2:M1001)</f>
        <v>2800</v>
      </c>
    </row>
    <row r="29" spans="1:8" ht="15" customHeight="1" x14ac:dyDescent="0.25">
      <c r="A29" s="21" t="s">
        <v>1584</v>
      </c>
      <c r="B29" s="22" t="str">
        <f>"=STDEV(Calculations!M2:Calculations!M1001)"</f>
        <v>=STDEV(Calculations!M2:Calculations!M1001)</v>
      </c>
      <c r="C29" s="23">
        <f ca="1">STDEV(Calculations!M2:M1001)</f>
        <v>3547.098369702248</v>
      </c>
    </row>
    <row r="30" spans="1:8" ht="15" customHeight="1" x14ac:dyDescent="0.25">
      <c r="A30" s="21" t="s">
        <v>1585</v>
      </c>
      <c r="B30" s="22" t="str">
        <f>"=MIN(Calculations!M2:Calculations!M1001)"</f>
        <v>=MIN(Calculations!M2:Calculations!M1001)</v>
      </c>
      <c r="C30" s="23">
        <f ca="1">MIN(Calculations!M2:M1001)</f>
        <v>0</v>
      </c>
    </row>
    <row r="31" spans="1:8" ht="15" customHeight="1" x14ac:dyDescent="0.25">
      <c r="A31" s="21" t="s">
        <v>1586</v>
      </c>
      <c r="B31" s="22" t="str">
        <f>"=MAX(Calculations!M2:Calculations!M1001)"</f>
        <v>=MAX(Calculations!M2:Calculations!M1001)</v>
      </c>
      <c r="C31" s="23">
        <f ca="1">MAX(Calculations!M2:M1001)</f>
        <v>13500</v>
      </c>
    </row>
    <row r="32" spans="1:8" ht="15" customHeight="1" x14ac:dyDescent="0.25">
      <c r="A32" s="21" t="s">
        <v>1587</v>
      </c>
      <c r="B32" s="22" t="str">
        <f>"=MODE.SNGL(Calculations!M2:Calculations!M1001)"</f>
        <v>=MODE.SNGL(Calculations!M2:Calculations!M1001)</v>
      </c>
      <c r="C32" s="23">
        <f ca="1">MODE(Calculations!M2:M1001)</f>
        <v>5000</v>
      </c>
    </row>
    <row r="33" spans="1:8" ht="15" customHeight="1" x14ac:dyDescent="0.25">
      <c r="A33" s="80" t="s">
        <v>1590</v>
      </c>
      <c r="B33" s="80"/>
      <c r="C33" s="80"/>
      <c r="D33" s="80"/>
      <c r="E33" s="80"/>
      <c r="F33" s="80"/>
      <c r="G33" s="80"/>
      <c r="H33" s="80"/>
    </row>
    <row r="34" spans="1:8" ht="15" customHeight="1" x14ac:dyDescent="0.25">
      <c r="A34" s="20" t="s">
        <v>1577</v>
      </c>
      <c r="B34" s="20" t="s">
        <v>1578</v>
      </c>
      <c r="C34" s="20" t="s">
        <v>1579</v>
      </c>
    </row>
    <row r="35" spans="1:8" ht="15" customHeight="1" x14ac:dyDescent="0.25">
      <c r="A35" s="21" t="s">
        <v>1580</v>
      </c>
      <c r="B35" s="22" t="str">
        <f>"=COUNT(Calculations!E2:Calculations!E1001)"</f>
        <v>=COUNT(Calculations!E2:Calculations!E1001)</v>
      </c>
      <c r="C35" s="23">
        <f>COUNT(Calculations!E2:E1001)</f>
        <v>1000</v>
      </c>
    </row>
    <row r="36" spans="1:8" ht="15" customHeight="1" x14ac:dyDescent="0.25">
      <c r="A36" s="21" t="s">
        <v>1581</v>
      </c>
      <c r="B36" s="22" t="str">
        <f>"=SUM(Calculations!E2:Calculations!E1001)"</f>
        <v>=SUM(Calculations!E2:Calculations!E1001)</v>
      </c>
      <c r="C36" s="23">
        <f>SUM(Calculations!E2:E1001)</f>
        <v>110110</v>
      </c>
    </row>
    <row r="37" spans="1:8" ht="15" customHeight="1" x14ac:dyDescent="0.25">
      <c r="A37" s="21" t="s">
        <v>1582</v>
      </c>
      <c r="B37" s="22" t="str">
        <f>"=AVERAGE(Calculations!E2:Calculations!E1001)"</f>
        <v>=AVERAGE(Calculations!E2:Calculations!E1001)</v>
      </c>
      <c r="C37" s="23">
        <f>AVERAGE(Calculations!E2:E1001)</f>
        <v>110.11</v>
      </c>
    </row>
    <row r="38" spans="1:8" ht="15" customHeight="1" x14ac:dyDescent="0.25">
      <c r="A38" s="21" t="s">
        <v>1583</v>
      </c>
      <c r="B38" s="22" t="str">
        <f>"=MEDIAN(Calculations!E2:Calculations!E1001)"</f>
        <v>=MEDIAN(Calculations!E2:Calculations!E1001)</v>
      </c>
      <c r="C38" s="23">
        <f>MEDIAN(Calculations!E2:E1001)</f>
        <v>100</v>
      </c>
    </row>
    <row r="39" spans="1:8" ht="15" customHeight="1" x14ac:dyDescent="0.25">
      <c r="A39" s="21" t="s">
        <v>1584</v>
      </c>
      <c r="B39" s="22" t="str">
        <f>"=STDEV(Calculations!E2:Calculations!E1001)"</f>
        <v>=STDEV(Calculations!E2:Calculations!E1001)</v>
      </c>
      <c r="C39" s="23">
        <f>STDEV(Calculations!E2:E1001)</f>
        <v>69.317333999460729</v>
      </c>
    </row>
    <row r="40" spans="1:8" ht="15" customHeight="1" x14ac:dyDescent="0.25">
      <c r="A40" s="21" t="s">
        <v>1585</v>
      </c>
      <c r="B40" s="22" t="str">
        <f>"=MIN(Calculations!E2:Calculations!E1001)"</f>
        <v>=MIN(Calculations!E2:Calculations!E1001)</v>
      </c>
      <c r="C40" s="23">
        <f>MIN(Calculations!E2:E1001)</f>
        <v>30</v>
      </c>
    </row>
    <row r="41" spans="1:8" ht="15" customHeight="1" x14ac:dyDescent="0.25">
      <c r="A41" s="21" t="s">
        <v>1586</v>
      </c>
      <c r="B41" s="22" t="str">
        <f>"=MAX(Calculations!E2:Calculations!E1001)"</f>
        <v>=MAX(Calculations!E2:Calculations!E1001)</v>
      </c>
      <c r="C41" s="23">
        <f>MAX(Calculations!E2:E1001)</f>
        <v>200</v>
      </c>
    </row>
    <row r="42" spans="1:8" ht="15" customHeight="1" x14ac:dyDescent="0.25">
      <c r="A42" s="21" t="s">
        <v>1587</v>
      </c>
      <c r="B42" s="22" t="str">
        <f>"=MODE.SNGL(Calculations!E2:Calculations!E1001)"</f>
        <v>=MODE.SNGL(Calculations!E2:Calculations!E1001)</v>
      </c>
      <c r="C42" s="23">
        <f>MODE(Calculations!E2:E1001)</f>
        <v>100</v>
      </c>
    </row>
  </sheetData>
  <mergeCells count="5">
    <mergeCell ref="A1:H1"/>
    <mergeCell ref="A3:H3"/>
    <mergeCell ref="A13:H13"/>
    <mergeCell ref="A23:H23"/>
    <mergeCell ref="A33:H3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"/>
  <sheetViews>
    <sheetView showGridLines="0" zoomScaleNormal="100" workbookViewId="0">
      <selection activeCell="F5" sqref="F5"/>
    </sheetView>
  </sheetViews>
  <sheetFormatPr defaultColWidth="8.7109375" defaultRowHeight="15" x14ac:dyDescent="0.25"/>
  <cols>
    <col min="1" max="9" width="18" customWidth="1"/>
  </cols>
  <sheetData>
    <row r="1" spans="1:9" ht="17.25" customHeight="1" x14ac:dyDescent="0.25">
      <c r="A1" s="79" t="s">
        <v>1591</v>
      </c>
      <c r="B1" s="79"/>
      <c r="C1" s="79"/>
      <c r="D1" s="79"/>
      <c r="E1" s="79"/>
      <c r="F1" s="79"/>
      <c r="G1" s="79"/>
      <c r="H1" s="79"/>
      <c r="I1" s="79"/>
    </row>
    <row r="3" spans="1:9" ht="15" customHeight="1" x14ac:dyDescent="0.25">
      <c r="A3" s="24" t="s">
        <v>12</v>
      </c>
      <c r="B3" s="24" t="s">
        <v>1592</v>
      </c>
      <c r="C3" s="24" t="s">
        <v>14</v>
      </c>
      <c r="D3" s="24" t="s">
        <v>1593</v>
      </c>
      <c r="E3" s="24" t="s">
        <v>1594</v>
      </c>
      <c r="F3" s="24" t="s">
        <v>1595</v>
      </c>
      <c r="G3" s="24" t="s">
        <v>1596</v>
      </c>
      <c r="H3" s="24" t="s">
        <v>1597</v>
      </c>
      <c r="I3" s="24" t="s">
        <v>16</v>
      </c>
    </row>
    <row r="4" spans="1:9" ht="15" customHeight="1" x14ac:dyDescent="0.25">
      <c r="A4" s="25" t="s">
        <v>18</v>
      </c>
      <c r="B4" s="4">
        <f>COUNTIF(Calculations!C2:C1001,A4)</f>
        <v>327</v>
      </c>
      <c r="C4" s="5">
        <f>COUNTIFS(Calculations!C2:C1001,A4,Calculations!G2:G1001,1)</f>
        <v>58</v>
      </c>
      <c r="D4" s="17">
        <f>B4-C4</f>
        <v>269</v>
      </c>
      <c r="E4" s="6">
        <f>IFERROR(C4/B4,0)</f>
        <v>0.17737003058103976</v>
      </c>
      <c r="F4" s="26">
        <f>AVERAGEIF(Calculations!C2:C1001,A4,Calculations!D2:D1001)</f>
        <v>50</v>
      </c>
      <c r="G4" s="26">
        <f ca="1">SUMIF(Calculations!C2:C1001,A4,Calculations!M2:M1001)</f>
        <v>252550</v>
      </c>
      <c r="H4" s="27">
        <f ca="1">AVERAGEIF(Calculations!C2:C1001,A4,Calculations!L2:L1001)</f>
        <v>15.446483180428135</v>
      </c>
      <c r="I4" s="28">
        <f>SUMIFS(Calculations!P2:P1001,Calculations!C2:C1001,A4)</f>
        <v>2900</v>
      </c>
    </row>
    <row r="5" spans="1:9" ht="15" customHeight="1" x14ac:dyDescent="0.25">
      <c r="A5" s="29" t="s">
        <v>19</v>
      </c>
      <c r="B5" s="4">
        <f>COUNTIF(Calculations!C2:C1001,A5)</f>
        <v>343</v>
      </c>
      <c r="C5" s="5">
        <f>COUNTIFS(Calculations!C2:C1001,A5,Calculations!G2:G1001,1)</f>
        <v>53</v>
      </c>
      <c r="D5" s="17">
        <f>B5-C5</f>
        <v>290</v>
      </c>
      <c r="E5" s="6">
        <f>IFERROR(C5/B5,0)</f>
        <v>0.15451895043731778</v>
      </c>
      <c r="F5" s="26">
        <f>AVERAGEIF(Calculations!C2:C1001,A5,Calculations!D2:D1001)</f>
        <v>200</v>
      </c>
      <c r="G5" s="26">
        <f ca="1">SUMIF(Calculations!C2:C1001,A5,Calculations!M2:M1001)</f>
        <v>1069200</v>
      </c>
      <c r="H5" s="27">
        <f ca="1">AVERAGEIF(Calculations!C2:C1001,A5,Calculations!L2:L1001)</f>
        <v>15.58600583090379</v>
      </c>
      <c r="I5" s="28">
        <f>SUMIFS(Calculations!P2:P1001,Calculations!C2:C1001,A5)</f>
        <v>10600</v>
      </c>
    </row>
    <row r="6" spans="1:9" ht="15" customHeight="1" x14ac:dyDescent="0.25">
      <c r="A6" s="30" t="s">
        <v>20</v>
      </c>
      <c r="B6" s="4">
        <f>COUNTIF(Calculations!C2:C1001,A6)</f>
        <v>330</v>
      </c>
      <c r="C6" s="5">
        <f>COUNTIFS(Calculations!C2:C1001,A6,Calculations!G2:G1001,1)</f>
        <v>57</v>
      </c>
      <c r="D6" s="17">
        <f>B6-C6</f>
        <v>273</v>
      </c>
      <c r="E6" s="6">
        <f>IFERROR(C6/B6,0)</f>
        <v>0.17272727272727273</v>
      </c>
      <c r="F6" s="26">
        <f>AVERAGEIF(Calculations!C2:C1001,A6,Calculations!D2:D1001)</f>
        <v>500</v>
      </c>
      <c r="G6" s="26">
        <f ca="1">SUMIF(Calculations!C2:C1001,A6,Calculations!M2:M1001)</f>
        <v>2505500</v>
      </c>
      <c r="H6" s="27">
        <f ca="1">AVERAGEIF(Calculations!C2:C1001,A6,Calculations!L2:L1001)</f>
        <v>15.184848484848485</v>
      </c>
      <c r="I6" s="28">
        <f>SUMIFS(Calculations!P2:P1001,Calculations!C2:C1001,A6)</f>
        <v>28500</v>
      </c>
    </row>
    <row r="7" spans="1:9" ht="15" customHeight="1" x14ac:dyDescent="0.25">
      <c r="A7" s="31" t="s">
        <v>1598</v>
      </c>
      <c r="B7" s="31">
        <f>SUM(B4:B6)</f>
        <v>1000</v>
      </c>
      <c r="C7" s="31">
        <f>SUM(C4:C6)</f>
        <v>168</v>
      </c>
      <c r="D7" s="31">
        <f>SUM(D4:D6)</f>
        <v>832</v>
      </c>
      <c r="E7" s="32">
        <f>IFERROR(C7/B7,0)</f>
        <v>0.16800000000000001</v>
      </c>
      <c r="F7" s="33">
        <f>SUM(F4:F6)</f>
        <v>750</v>
      </c>
      <c r="G7" s="33">
        <f ca="1">SUM(G4:G6)</f>
        <v>3827250</v>
      </c>
      <c r="H7" s="34">
        <f ca="1">IFERROR(AVERAGE(H4:H6),0)</f>
        <v>15.40577916539347</v>
      </c>
      <c r="I7" s="33">
        <f>SUM(I4:I6)</f>
        <v>42000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1"/>
  <sheetViews>
    <sheetView showGridLines="0" zoomScaleNormal="100" workbookViewId="0">
      <selection activeCell="G18" sqref="G18"/>
    </sheetView>
  </sheetViews>
  <sheetFormatPr defaultColWidth="8.7109375" defaultRowHeight="15" x14ac:dyDescent="0.25"/>
  <cols>
    <col min="1" max="1" width="12" customWidth="1"/>
    <col min="2" max="2" width="10" customWidth="1"/>
    <col min="3" max="3" width="12" customWidth="1"/>
    <col min="4" max="5" width="14" customWidth="1"/>
    <col min="6" max="6" width="16" customWidth="1"/>
    <col min="7" max="7" width="25" customWidth="1"/>
  </cols>
  <sheetData>
    <row r="1" spans="1:7" ht="17.25" customHeight="1" x14ac:dyDescent="0.25">
      <c r="A1" s="79" t="s">
        <v>1599</v>
      </c>
      <c r="B1" s="79"/>
      <c r="C1" s="79"/>
      <c r="D1" s="79"/>
      <c r="E1" s="79"/>
      <c r="F1" s="79"/>
      <c r="G1" s="79"/>
    </row>
    <row r="3" spans="1:7" ht="15" customHeight="1" x14ac:dyDescent="0.25">
      <c r="A3" s="24" t="s">
        <v>22</v>
      </c>
      <c r="B3" s="24" t="s">
        <v>23</v>
      </c>
      <c r="C3" s="24" t="s">
        <v>1600</v>
      </c>
      <c r="D3" s="24" t="s">
        <v>16</v>
      </c>
      <c r="E3" s="24" t="s">
        <v>1601</v>
      </c>
      <c r="F3" s="24" t="s">
        <v>1602</v>
      </c>
      <c r="G3" s="24" t="s">
        <v>1603</v>
      </c>
    </row>
    <row r="4" spans="1:7" ht="15" customHeight="1" x14ac:dyDescent="0.25">
      <c r="A4" s="35" t="s">
        <v>25</v>
      </c>
      <c r="B4" s="5">
        <f>COUNTIF(Calculations!Q2:Q1001,A4)</f>
        <v>0</v>
      </c>
      <c r="C4" s="17">
        <f>SUMPRODUCT((TEXT(DATEVALUE('Customers Raw data'!B2:B1001),"YYYY-MM")=A4)*1)</f>
        <v>57</v>
      </c>
      <c r="D4" s="7">
        <f>SUMIF(Calculations!Q2:Q1001,A4,Calculations!P2:P1001)</f>
        <v>0</v>
      </c>
      <c r="E4" s="18">
        <f>SUMPRODUCT((TEXT(DATEVALUE('Customers Raw data'!B2:B1001),"YYYY-MM")=A4)*'Customers Raw data'!D2:D1001)</f>
        <v>13650</v>
      </c>
      <c r="F4" s="8">
        <f t="shared" ref="F4:F21" si="0">E4-D4</f>
        <v>13650</v>
      </c>
      <c r="G4" s="36" t="str">
        <f t="shared" ref="G4:G21" si="1">IF(B4&gt;0,REPT("█",MIN(B4,20)),"–")</f>
        <v>–</v>
      </c>
    </row>
    <row r="5" spans="1:7" ht="15" customHeight="1" x14ac:dyDescent="0.25">
      <c r="A5" s="35" t="s">
        <v>26</v>
      </c>
      <c r="B5" s="5">
        <f>COUNTIF(Calculations!Q2:Q1001,A5)</f>
        <v>1</v>
      </c>
      <c r="C5" s="17">
        <f>SUMPRODUCT((TEXT(DATEVALUE('Customers Raw data'!B2:B1001),"YYYY-MM")=A5)*1)</f>
        <v>53</v>
      </c>
      <c r="D5" s="7">
        <f>SUMIF(Calculations!Q2:Q1001,A5,Calculations!P2:P1001)</f>
        <v>50</v>
      </c>
      <c r="E5" s="18">
        <f>SUMPRODUCT((TEXT(DATEVALUE('Customers Raw data'!B2:B1001),"YYYY-MM")=A5)*'Customers Raw data'!D2:D1001)</f>
        <v>14200</v>
      </c>
      <c r="F5" s="8">
        <f t="shared" si="0"/>
        <v>14150</v>
      </c>
      <c r="G5" s="36" t="str">
        <f t="shared" si="1"/>
        <v>█</v>
      </c>
    </row>
    <row r="6" spans="1:7" ht="15" customHeight="1" x14ac:dyDescent="0.25">
      <c r="A6" s="35" t="s">
        <v>27</v>
      </c>
      <c r="B6" s="5">
        <f>COUNTIF(Calculations!Q2:Q1001,A6)</f>
        <v>0</v>
      </c>
      <c r="C6" s="17">
        <f>SUMPRODUCT((TEXT(DATEVALUE('Customers Raw data'!B2:B1001),"YYYY-MM")=A6)*1)</f>
        <v>63</v>
      </c>
      <c r="D6" s="7">
        <f>SUMIF(Calculations!Q2:Q1001,A6,Calculations!P2:P1001)</f>
        <v>0</v>
      </c>
      <c r="E6" s="18">
        <f>SUMPRODUCT((TEXT(DATEVALUE('Customers Raw data'!B2:B1001),"YYYY-MM")=A6)*'Customers Raw data'!D2:D1001)</f>
        <v>16050</v>
      </c>
      <c r="F6" s="8">
        <f t="shared" si="0"/>
        <v>16050</v>
      </c>
      <c r="G6" s="36" t="str">
        <f t="shared" si="1"/>
        <v>–</v>
      </c>
    </row>
    <row r="7" spans="1:7" ht="15" customHeight="1" x14ac:dyDescent="0.25">
      <c r="A7" s="35" t="s">
        <v>28</v>
      </c>
      <c r="B7" s="5">
        <f>COUNTIF(Calculations!Q2:Q1001,A7)</f>
        <v>1</v>
      </c>
      <c r="C7" s="17">
        <f>SUMPRODUCT((TEXT(DATEVALUE('Customers Raw data'!B2:B1001),"YYYY-MM")=A7)*1)</f>
        <v>50</v>
      </c>
      <c r="D7" s="7">
        <f>SUMIF(Calculations!Q2:Q1001,A7,Calculations!P2:P1001)</f>
        <v>500</v>
      </c>
      <c r="E7" s="18">
        <f>SUMPRODUCT((TEXT(DATEVALUE('Customers Raw data'!B2:B1001),"YYYY-MM")=A7)*'Customers Raw data'!D2:D1001)</f>
        <v>10600</v>
      </c>
      <c r="F7" s="8">
        <f t="shared" si="0"/>
        <v>10100</v>
      </c>
      <c r="G7" s="36" t="str">
        <f t="shared" si="1"/>
        <v>█</v>
      </c>
    </row>
    <row r="8" spans="1:7" ht="15" customHeight="1" x14ac:dyDescent="0.25">
      <c r="A8" s="35" t="s">
        <v>29</v>
      </c>
      <c r="B8" s="5">
        <f>COUNTIF(Calculations!Q2:Q1001,A8)</f>
        <v>2</v>
      </c>
      <c r="C8" s="17">
        <f>SUMPRODUCT((TEXT(DATEVALUE('Customers Raw data'!B2:B1001),"YYYY-MM")=A8)*1)</f>
        <v>52</v>
      </c>
      <c r="D8" s="7">
        <f>SUMIF(Calculations!Q2:Q1001,A8,Calculations!P2:P1001)</f>
        <v>700</v>
      </c>
      <c r="E8" s="18">
        <f>SUMPRODUCT((TEXT(DATEVALUE('Customers Raw data'!B2:B1001),"YYYY-MM")=A8)*'Customers Raw data'!D2:D1001)</f>
        <v>11600</v>
      </c>
      <c r="F8" s="8">
        <f t="shared" si="0"/>
        <v>10900</v>
      </c>
      <c r="G8" s="36" t="str">
        <f t="shared" si="1"/>
        <v>██</v>
      </c>
    </row>
    <row r="9" spans="1:7" ht="15" customHeight="1" x14ac:dyDescent="0.25">
      <c r="A9" s="35" t="s">
        <v>30</v>
      </c>
      <c r="B9" s="5">
        <f>COUNTIF(Calculations!Q2:Q1001,A9)</f>
        <v>5</v>
      </c>
      <c r="C9" s="17">
        <f>SUMPRODUCT((TEXT(DATEVALUE('Customers Raw data'!B2:B1001),"YYYY-MM")=A9)*1)</f>
        <v>51</v>
      </c>
      <c r="D9" s="7">
        <f>SUMIF(Calculations!Q2:Q1001,A9,Calculations!P2:P1001)</f>
        <v>1000</v>
      </c>
      <c r="E9" s="18">
        <f>SUMPRODUCT((TEXT(DATEVALUE('Customers Raw data'!B2:B1001),"YYYY-MM")=A9)*'Customers Raw data'!D2:D1001)</f>
        <v>11100</v>
      </c>
      <c r="F9" s="8">
        <f t="shared" si="0"/>
        <v>10100</v>
      </c>
      <c r="G9" s="36" t="str">
        <f t="shared" si="1"/>
        <v>█████</v>
      </c>
    </row>
    <row r="10" spans="1:7" ht="15" customHeight="1" x14ac:dyDescent="0.25">
      <c r="A10" s="35" t="s">
        <v>31</v>
      </c>
      <c r="B10" s="5">
        <f>COUNTIF(Calculations!Q2:Q1001,A10)</f>
        <v>4</v>
      </c>
      <c r="C10" s="17">
        <f>SUMPRODUCT((TEXT(DATEVALUE('Customers Raw data'!B2:B1001),"YYYY-MM")=A10)*1)</f>
        <v>49</v>
      </c>
      <c r="D10" s="7">
        <f>SUMIF(Calculations!Q2:Q1001,A10,Calculations!P2:P1001)</f>
        <v>500</v>
      </c>
      <c r="E10" s="18">
        <f>SUMPRODUCT((TEXT(DATEVALUE('Customers Raw data'!B2:B1001),"YYYY-MM")=A10)*'Customers Raw data'!D2:D1001)</f>
        <v>14600</v>
      </c>
      <c r="F10" s="8">
        <f t="shared" si="0"/>
        <v>14100</v>
      </c>
      <c r="G10" s="36" t="str">
        <f t="shared" si="1"/>
        <v>████</v>
      </c>
    </row>
    <row r="11" spans="1:7" ht="15" customHeight="1" x14ac:dyDescent="0.25">
      <c r="A11" s="35" t="s">
        <v>32</v>
      </c>
      <c r="B11" s="5">
        <f>COUNTIF(Calculations!Q2:Q1001,A11)</f>
        <v>4</v>
      </c>
      <c r="C11" s="17">
        <f>SUMPRODUCT((TEXT(DATEVALUE('Customers Raw data'!B2:B1001),"YYYY-MM")=A11)*1)</f>
        <v>52</v>
      </c>
      <c r="D11" s="7">
        <f>SUMIF(Calculations!Q2:Q1001,A11,Calculations!P2:P1001)</f>
        <v>950</v>
      </c>
      <c r="E11" s="18">
        <f>SUMPRODUCT((TEXT(DATEVALUE('Customers Raw data'!B2:B1001),"YYYY-MM")=A11)*'Customers Raw data'!D2:D1001)</f>
        <v>15800</v>
      </c>
      <c r="F11" s="8">
        <f t="shared" si="0"/>
        <v>14850</v>
      </c>
      <c r="G11" s="36" t="str">
        <f t="shared" si="1"/>
        <v>████</v>
      </c>
    </row>
    <row r="12" spans="1:7" ht="15" customHeight="1" x14ac:dyDescent="0.25">
      <c r="A12" s="35" t="s">
        <v>33</v>
      </c>
      <c r="B12" s="5">
        <f>COUNTIF(Calculations!Q2:Q1001,A12)</f>
        <v>6</v>
      </c>
      <c r="C12" s="17">
        <f>SUMPRODUCT((TEXT(DATEVALUE('Customers Raw data'!B2:B1001),"YYYY-MM")=A12)*1)</f>
        <v>48</v>
      </c>
      <c r="D12" s="7">
        <f>SUMIF(Calculations!Q2:Q1001,A12,Calculations!P2:P1001)</f>
        <v>1950</v>
      </c>
      <c r="E12" s="18">
        <f>SUMPRODUCT((TEXT(DATEVALUE('Customers Raw data'!B2:B1001),"YYYY-MM")=A12)*'Customers Raw data'!D2:D1001)</f>
        <v>11100</v>
      </c>
      <c r="F12" s="8">
        <f t="shared" si="0"/>
        <v>9150</v>
      </c>
      <c r="G12" s="36" t="str">
        <f t="shared" si="1"/>
        <v>██████</v>
      </c>
    </row>
    <row r="13" spans="1:7" ht="15" customHeight="1" x14ac:dyDescent="0.25">
      <c r="A13" s="35" t="s">
        <v>34</v>
      </c>
      <c r="B13" s="5">
        <f>COUNTIF(Calculations!Q2:Q1001,A13)</f>
        <v>6</v>
      </c>
      <c r="C13" s="17">
        <f>SUMPRODUCT((TEXT(DATEVALUE('Customers Raw data'!B2:B1001),"YYYY-MM")=A13)*1)</f>
        <v>59</v>
      </c>
      <c r="D13" s="7">
        <f>SUMIF(Calculations!Q2:Q1001,A13,Calculations!P2:P1001)</f>
        <v>1950</v>
      </c>
      <c r="E13" s="18">
        <f>SUMPRODUCT((TEXT(DATEVALUE('Customers Raw data'!B2:B1001),"YYYY-MM")=A13)*'Customers Raw data'!D2:D1001)</f>
        <v>12700</v>
      </c>
      <c r="F13" s="8">
        <f t="shared" si="0"/>
        <v>10750</v>
      </c>
      <c r="G13" s="36" t="str">
        <f t="shared" si="1"/>
        <v>██████</v>
      </c>
    </row>
    <row r="14" spans="1:7" ht="15" customHeight="1" x14ac:dyDescent="0.25">
      <c r="A14" s="35" t="s">
        <v>35</v>
      </c>
      <c r="B14" s="5">
        <f>COUNTIF(Calculations!Q2:Q1001,A14)</f>
        <v>8</v>
      </c>
      <c r="C14" s="17">
        <f>SUMPRODUCT((TEXT(DATEVALUE('Customers Raw data'!B2:B1001),"YYYY-MM")=A14)*1)</f>
        <v>67</v>
      </c>
      <c r="D14" s="7">
        <f>SUMIF(Calculations!Q2:Q1001,A14,Calculations!P2:P1001)</f>
        <v>2200</v>
      </c>
      <c r="E14" s="18">
        <f>SUMPRODUCT((TEXT(DATEVALUE('Customers Raw data'!B2:B1001),"YYYY-MM")=A14)*'Customers Raw data'!D2:D1001)</f>
        <v>15650</v>
      </c>
      <c r="F14" s="8">
        <f t="shared" si="0"/>
        <v>13450</v>
      </c>
      <c r="G14" s="36" t="str">
        <f t="shared" si="1"/>
        <v>████████</v>
      </c>
    </row>
    <row r="15" spans="1:7" ht="15" customHeight="1" x14ac:dyDescent="0.25">
      <c r="A15" s="35" t="s">
        <v>36</v>
      </c>
      <c r="B15" s="5">
        <f>COUNTIF(Calculations!Q2:Q1001,A15)</f>
        <v>6</v>
      </c>
      <c r="C15" s="17">
        <f>SUMPRODUCT((TEXT(DATEVALUE('Customers Raw data'!B2:B1001),"YYYY-MM")=A15)*1)</f>
        <v>58</v>
      </c>
      <c r="D15" s="7">
        <f>SUMIF(Calculations!Q2:Q1001,A15,Calculations!P2:P1001)</f>
        <v>900</v>
      </c>
      <c r="E15" s="18">
        <f>SUMPRODUCT((TEXT(DATEVALUE('Customers Raw data'!B2:B1001),"YYYY-MM")=A15)*'Customers Raw data'!D2:D1001)</f>
        <v>17150</v>
      </c>
      <c r="F15" s="8">
        <f t="shared" si="0"/>
        <v>16250</v>
      </c>
      <c r="G15" s="36" t="str">
        <f t="shared" si="1"/>
        <v>██████</v>
      </c>
    </row>
    <row r="16" spans="1:7" ht="15" customHeight="1" x14ac:dyDescent="0.25">
      <c r="A16" s="35" t="s">
        <v>37</v>
      </c>
      <c r="B16" s="5">
        <f>COUNTIF(Calculations!Q2:Q1001,A16)</f>
        <v>6</v>
      </c>
      <c r="C16" s="17">
        <f>SUMPRODUCT((TEXT(DATEVALUE('Customers Raw data'!B2:B1001),"YYYY-MM")=A16)*1)</f>
        <v>53</v>
      </c>
      <c r="D16" s="7">
        <f>SUMIF(Calculations!Q2:Q1001,A16,Calculations!P2:P1001)</f>
        <v>2100</v>
      </c>
      <c r="E16" s="18">
        <f>SUMPRODUCT((TEXT(DATEVALUE('Customers Raw data'!B2:B1001),"YYYY-MM")=A16)*'Customers Raw data'!D2:D1001)</f>
        <v>13600</v>
      </c>
      <c r="F16" s="8">
        <f t="shared" si="0"/>
        <v>11500</v>
      </c>
      <c r="G16" s="36" t="str">
        <f t="shared" si="1"/>
        <v>██████</v>
      </c>
    </row>
    <row r="17" spans="1:7" ht="15" customHeight="1" x14ac:dyDescent="0.25">
      <c r="A17" s="35" t="s">
        <v>38</v>
      </c>
      <c r="B17" s="5">
        <f>COUNTIF(Calculations!Q2:Q1001,A17)</f>
        <v>6</v>
      </c>
      <c r="C17" s="17">
        <f>SUMPRODUCT((TEXT(DATEVALUE('Customers Raw data'!B2:B1001),"YYYY-MM")=A17)*1)</f>
        <v>56</v>
      </c>
      <c r="D17" s="7">
        <f>SUMIF(Calculations!Q2:Q1001,A17,Calculations!P2:P1001)</f>
        <v>1800</v>
      </c>
      <c r="E17" s="18">
        <f>SUMPRODUCT((TEXT(DATEVALUE('Customers Raw data'!B2:B1001),"YYYY-MM")=A17)*'Customers Raw data'!D2:D1001)</f>
        <v>14350</v>
      </c>
      <c r="F17" s="8">
        <f t="shared" si="0"/>
        <v>12550</v>
      </c>
      <c r="G17" s="36" t="str">
        <f t="shared" si="1"/>
        <v>██████</v>
      </c>
    </row>
    <row r="18" spans="1:7" ht="15" customHeight="1" x14ac:dyDescent="0.25">
      <c r="A18" s="35" t="s">
        <v>39</v>
      </c>
      <c r="B18" s="5">
        <f>COUNTIF(Calculations!Q2:Q1001,A18)</f>
        <v>26</v>
      </c>
      <c r="C18" s="17">
        <f>SUMPRODUCT((TEXT(DATEVALUE('Customers Raw data'!B2:B1001),"YYYY-MM")=A18)*1)</f>
        <v>65</v>
      </c>
      <c r="D18" s="7">
        <f>SUMIF(Calculations!Q2:Q1001,A18,Calculations!P2:P1001)</f>
        <v>7750</v>
      </c>
      <c r="E18" s="18">
        <f>SUMPRODUCT((TEXT(DATEVALUE('Customers Raw data'!B2:B1001),"YYYY-MM")=A18)*'Customers Raw data'!D2:D1001)</f>
        <v>13300</v>
      </c>
      <c r="F18" s="8">
        <f t="shared" si="0"/>
        <v>5550</v>
      </c>
      <c r="G18" s="36" t="str">
        <f t="shared" si="1"/>
        <v>████████████████████</v>
      </c>
    </row>
    <row r="19" spans="1:7" ht="15" customHeight="1" x14ac:dyDescent="0.25">
      <c r="A19" s="35" t="s">
        <v>40</v>
      </c>
      <c r="B19" s="5">
        <f>COUNTIF(Calculations!Q2:Q1001,A19)</f>
        <v>23</v>
      </c>
      <c r="C19" s="17">
        <f>SUMPRODUCT((TEXT(DATEVALUE('Customers Raw data'!B2:B1001),"YYYY-MM")=A19)*1)</f>
        <v>57</v>
      </c>
      <c r="D19" s="7">
        <f>SUMIF(Calculations!Q2:Q1001,A19,Calculations!P2:P1001)</f>
        <v>4000</v>
      </c>
      <c r="E19" s="18">
        <f>SUMPRODUCT((TEXT(DATEVALUE('Customers Raw data'!B2:B1001),"YYYY-MM")=A19)*'Customers Raw data'!D2:D1001)</f>
        <v>13800</v>
      </c>
      <c r="F19" s="8">
        <f t="shared" si="0"/>
        <v>9800</v>
      </c>
      <c r="G19" s="36" t="str">
        <f t="shared" si="1"/>
        <v>████████████████████</v>
      </c>
    </row>
    <row r="20" spans="1:7" ht="15" customHeight="1" x14ac:dyDescent="0.25">
      <c r="A20" s="35" t="s">
        <v>41</v>
      </c>
      <c r="B20" s="5">
        <f>COUNTIF(Calculations!Q2:Q1001,A20)</f>
        <v>23</v>
      </c>
      <c r="C20" s="17">
        <f>SUMPRODUCT((TEXT(DATEVALUE('Customers Raw data'!B2:B1001),"YYYY-MM")=A20)*1)</f>
        <v>60</v>
      </c>
      <c r="D20" s="7">
        <f>SUMIF(Calculations!Q2:Q1001,A20,Calculations!P2:P1001)</f>
        <v>6250</v>
      </c>
      <c r="E20" s="18">
        <f>SUMPRODUCT((TEXT(DATEVALUE('Customers Raw data'!B2:B1001),"YYYY-MM")=A20)*'Customers Raw data'!D2:D1001)</f>
        <v>17700</v>
      </c>
      <c r="F20" s="8">
        <f t="shared" si="0"/>
        <v>11450</v>
      </c>
      <c r="G20" s="36" t="str">
        <f t="shared" si="1"/>
        <v>████████████████████</v>
      </c>
    </row>
    <row r="21" spans="1:7" ht="15" customHeight="1" x14ac:dyDescent="0.25">
      <c r="A21" s="35" t="s">
        <v>42</v>
      </c>
      <c r="B21" s="5">
        <f>COUNTIF(Calculations!Q2:Q1001,A21)</f>
        <v>41</v>
      </c>
      <c r="C21" s="17">
        <f>SUMPRODUCT((TEXT(DATEVALUE('Customers Raw data'!B2:B1001),"YYYY-MM")=A21)*1)</f>
        <v>50</v>
      </c>
      <c r="D21" s="7">
        <f>SUMIF(Calculations!Q2:Q1001,A21,Calculations!P2:P1001)</f>
        <v>9400</v>
      </c>
      <c r="E21" s="18">
        <f>SUMPRODUCT((TEXT(DATEVALUE('Customers Raw data'!B2:B1001),"YYYY-MM")=A21)*'Customers Raw data'!D2:D1001)</f>
        <v>13000</v>
      </c>
      <c r="F21" s="8">
        <f t="shared" si="0"/>
        <v>3600</v>
      </c>
      <c r="G21" s="36" t="str">
        <f t="shared" si="1"/>
        <v>████████████████████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8"/>
  <sheetViews>
    <sheetView showGridLines="0" zoomScaleNormal="100" workbookViewId="0">
      <selection sqref="A1:E1"/>
    </sheetView>
  </sheetViews>
  <sheetFormatPr defaultColWidth="8.7109375" defaultRowHeight="15" x14ac:dyDescent="0.25"/>
  <cols>
    <col min="1" max="1" width="20" customWidth="1"/>
    <col min="2" max="2" width="45" customWidth="1"/>
    <col min="3" max="3" width="22" customWidth="1"/>
    <col min="4" max="4" width="38" customWidth="1"/>
    <col min="5" max="5" width="12" customWidth="1"/>
  </cols>
  <sheetData>
    <row r="1" spans="1:5" ht="17.25" customHeight="1" x14ac:dyDescent="0.25">
      <c r="A1" s="79" t="s">
        <v>1604</v>
      </c>
      <c r="B1" s="79"/>
      <c r="C1" s="79"/>
      <c r="D1" s="79"/>
      <c r="E1" s="79"/>
    </row>
    <row r="3" spans="1:5" ht="15" customHeight="1" x14ac:dyDescent="0.25">
      <c r="A3" s="24" t="s">
        <v>1605</v>
      </c>
      <c r="B3" s="24" t="s">
        <v>1606</v>
      </c>
      <c r="C3" s="24" t="s">
        <v>1607</v>
      </c>
      <c r="D3" s="24" t="s">
        <v>1608</v>
      </c>
      <c r="E3" s="24" t="s">
        <v>47</v>
      </c>
    </row>
    <row r="4" spans="1:5" ht="15" customHeight="1" x14ac:dyDescent="0.25">
      <c r="A4" s="37" t="s">
        <v>59</v>
      </c>
      <c r="B4" s="38" t="s">
        <v>1609</v>
      </c>
      <c r="C4" s="14">
        <f>CORREL(Calculations!D2:D1001,Calculations!G2:G1001)</f>
        <v>1.2085383143903516E-4</v>
      </c>
      <c r="D4" s="39" t="s">
        <v>1610</v>
      </c>
      <c r="E4" s="5" t="str">
        <f>IF(ABS(C4)&gt;0.5,"Strong",IF(ABS(C4)&gt;0.3,"Moderate","Weak"))</f>
        <v>Weak</v>
      </c>
    </row>
    <row r="5" spans="1:5" ht="15" customHeight="1" x14ac:dyDescent="0.25">
      <c r="A5" s="37" t="s">
        <v>50</v>
      </c>
      <c r="B5" s="38" t="s">
        <v>1611</v>
      </c>
      <c r="C5" s="14">
        <f ca="1">CORREL(Calculations!L2:L1001,Calculations!G2:G1001)</f>
        <v>-0.68160985978018251</v>
      </c>
      <c r="D5" s="39" t="s">
        <v>1612</v>
      </c>
      <c r="E5" s="5" t="str">
        <f ca="1">IF(ABS(C5)&gt;0.5,"Strong",IF(ABS(C5)&gt;0.3,"Moderate","Weak"))</f>
        <v>Strong</v>
      </c>
    </row>
    <row r="6" spans="1:5" ht="15" customHeight="1" x14ac:dyDescent="0.25">
      <c r="A6" s="37" t="s">
        <v>53</v>
      </c>
      <c r="B6" s="38" t="s">
        <v>1613</v>
      </c>
      <c r="C6" s="14">
        <f ca="1">CORREL(Calculations!M2:M1001,Calculations!G2:G1001)</f>
        <v>-0.3288460795887474</v>
      </c>
      <c r="D6" s="39" t="s">
        <v>1614</v>
      </c>
      <c r="E6" s="5" t="str">
        <f ca="1">IF(ABS(C6)&gt;0.5,"Strong",IF(ABS(C6)&gt;0.3,"Moderate","Weak"))</f>
        <v>Moderate</v>
      </c>
    </row>
    <row r="7" spans="1:5" ht="15" customHeight="1" x14ac:dyDescent="0.25">
      <c r="A7" s="37" t="s">
        <v>1615</v>
      </c>
      <c r="B7" s="38" t="s">
        <v>1616</v>
      </c>
      <c r="C7" s="14">
        <f>CORREL(Calculations!N2:N1001,Calculations!G2:G1001)</f>
        <v>-4.9630862448003426E-3</v>
      </c>
      <c r="D7" s="39" t="s">
        <v>1617</v>
      </c>
      <c r="E7" s="5" t="str">
        <f>IF(ABS(C7)&gt;0.5,"Strong",IF(ABS(C7)&gt;0.3,"Moderate","Weak"))</f>
        <v>Weak</v>
      </c>
    </row>
    <row r="8" spans="1:5" ht="15" customHeight="1" x14ac:dyDescent="0.25">
      <c r="A8" s="37" t="s">
        <v>1618</v>
      </c>
      <c r="B8" s="38" t="s">
        <v>1619</v>
      </c>
      <c r="C8" s="14">
        <f>CORREL(Calculations!E2:E1001,Calculations!G2:G1001)</f>
        <v>-2.2577012050148376E-3</v>
      </c>
      <c r="D8" s="39" t="s">
        <v>1620</v>
      </c>
      <c r="E8" s="5" t="str">
        <f>IF(ABS(C8)&gt;0.5,"Strong",IF(ABS(C8)&gt;0.3,"Moderate","Weak"))</f>
        <v>Weak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5"/>
  <sheetViews>
    <sheetView showGridLines="0" topLeftCell="A24" zoomScaleNormal="100" workbookViewId="0">
      <selection sqref="A1:F1"/>
    </sheetView>
  </sheetViews>
  <sheetFormatPr defaultColWidth="8.7109375" defaultRowHeight="15" x14ac:dyDescent="0.25"/>
  <cols>
    <col min="1" max="1" width="28" customWidth="1"/>
    <col min="2" max="2" width="16" customWidth="1"/>
    <col min="3" max="3" width="20" customWidth="1"/>
    <col min="4" max="5" width="18" customWidth="1"/>
    <col min="6" max="6" width="16" customWidth="1"/>
  </cols>
  <sheetData>
    <row r="1" spans="1:6" ht="17.25" customHeight="1" x14ac:dyDescent="0.25">
      <c r="A1" s="79" t="s">
        <v>1621</v>
      </c>
      <c r="B1" s="79"/>
      <c r="C1" s="79"/>
      <c r="D1" s="79"/>
      <c r="E1" s="79"/>
      <c r="F1" s="79"/>
    </row>
    <row r="3" spans="1:6" ht="15" customHeight="1" x14ac:dyDescent="0.25">
      <c r="A3" s="61" t="s">
        <v>1622</v>
      </c>
      <c r="B3" s="61"/>
      <c r="C3" s="61"/>
      <c r="D3" s="61"/>
      <c r="E3" s="61"/>
      <c r="F3" s="61"/>
    </row>
    <row r="5" spans="1:6" ht="15" customHeight="1" x14ac:dyDescent="0.25">
      <c r="A5" s="39" t="s">
        <v>1623</v>
      </c>
      <c r="B5" s="40">
        <v>0.1</v>
      </c>
    </row>
    <row r="6" spans="1:6" ht="15" customHeight="1" x14ac:dyDescent="0.25">
      <c r="A6" s="39" t="s">
        <v>1624</v>
      </c>
      <c r="B6" s="40">
        <v>50</v>
      </c>
    </row>
    <row r="7" spans="1:6" ht="15" customHeight="1" x14ac:dyDescent="0.25">
      <c r="A7" s="39" t="s">
        <v>1625</v>
      </c>
      <c r="B7" s="41">
        <f>AVERAGE(Calculations!D2:D1001)</f>
        <v>249.95</v>
      </c>
    </row>
    <row r="8" spans="1:6" ht="15" customHeight="1" x14ac:dyDescent="0.25">
      <c r="A8" s="39" t="s">
        <v>1626</v>
      </c>
      <c r="B8" s="42">
        <f>SUM(Calculations!G2:G1001)</f>
        <v>168</v>
      </c>
    </row>
    <row r="9" spans="1:6" ht="15" customHeight="1" x14ac:dyDescent="0.25">
      <c r="A9" s="39" t="s">
        <v>1627</v>
      </c>
      <c r="B9" s="41">
        <f>SUM(Calculations!P2:P1001)</f>
        <v>42000</v>
      </c>
    </row>
    <row r="11" spans="1:6" ht="15" customHeight="1" x14ac:dyDescent="0.25">
      <c r="A11" s="61" t="s">
        <v>1628</v>
      </c>
      <c r="B11" s="61"/>
      <c r="C11" s="61"/>
      <c r="D11" s="61"/>
      <c r="E11" s="61"/>
      <c r="F11" s="61"/>
    </row>
    <row r="12" spans="1:6" ht="15" customHeight="1" x14ac:dyDescent="0.25">
      <c r="A12" s="39" t="s">
        <v>1629</v>
      </c>
      <c r="B12" s="43">
        <f>ROUND(B8*B5,0)</f>
        <v>17</v>
      </c>
    </row>
    <row r="13" spans="1:6" ht="15" customHeight="1" x14ac:dyDescent="0.25">
      <c r="A13" s="39" t="s">
        <v>1630</v>
      </c>
      <c r="B13" s="44">
        <f>B12*B7</f>
        <v>4249.1499999999996</v>
      </c>
    </row>
    <row r="14" spans="1:6" ht="15" customHeight="1" x14ac:dyDescent="0.25">
      <c r="A14" s="39" t="s">
        <v>1631</v>
      </c>
      <c r="B14" s="44">
        <f>B13*12</f>
        <v>50989.799999999996</v>
      </c>
    </row>
    <row r="15" spans="1:6" ht="15" customHeight="1" x14ac:dyDescent="0.25">
      <c r="A15" s="39" t="s">
        <v>1632</v>
      </c>
      <c r="B15" s="44">
        <f>B12*B6</f>
        <v>850</v>
      </c>
    </row>
    <row r="16" spans="1:6" ht="15" customHeight="1" x14ac:dyDescent="0.25">
      <c r="A16" s="39" t="s">
        <v>1633</v>
      </c>
      <c r="B16" s="44">
        <f>B14-B15</f>
        <v>50139.799999999996</v>
      </c>
    </row>
    <row r="17" spans="1:6" ht="15" customHeight="1" x14ac:dyDescent="0.25">
      <c r="A17" s="39" t="s">
        <v>1634</v>
      </c>
      <c r="B17" s="45">
        <f>IFERROR((B14-B15)/B15,0)</f>
        <v>58.987999999999992</v>
      </c>
    </row>
    <row r="18" spans="1:6" ht="15" customHeight="1" x14ac:dyDescent="0.25">
      <c r="A18" s="39" t="s">
        <v>1635</v>
      </c>
      <c r="B18" s="43">
        <f>IFERROR(B15/B13,0)</f>
        <v>0.20004000800160035</v>
      </c>
    </row>
    <row r="21" spans="1:6" ht="15" customHeight="1" x14ac:dyDescent="0.25">
      <c r="A21" s="61" t="s">
        <v>1636</v>
      </c>
      <c r="B21" s="61"/>
      <c r="C21" s="61"/>
      <c r="D21" s="61"/>
      <c r="E21" s="61"/>
      <c r="F21" s="61"/>
    </row>
    <row r="22" spans="1:6" ht="15" customHeight="1" x14ac:dyDescent="0.25">
      <c r="A22" s="20" t="s">
        <v>1637</v>
      </c>
      <c r="B22" s="20" t="s">
        <v>1638</v>
      </c>
      <c r="C22" s="20" t="s">
        <v>1639</v>
      </c>
      <c r="D22" s="20" t="s">
        <v>1630</v>
      </c>
      <c r="E22" s="20" t="s">
        <v>1640</v>
      </c>
      <c r="F22" s="20" t="s">
        <v>1641</v>
      </c>
    </row>
    <row r="23" spans="1:6" ht="15" customHeight="1" x14ac:dyDescent="0.25">
      <c r="A23" s="16" t="s">
        <v>1642</v>
      </c>
      <c r="B23" s="46">
        <v>0.1</v>
      </c>
      <c r="C23" s="17">
        <f>ROUND(B8*B23,0)</f>
        <v>17</v>
      </c>
      <c r="D23" s="47">
        <f>C23*B7</f>
        <v>4249.1499999999996</v>
      </c>
      <c r="E23" s="47">
        <f>D23*12</f>
        <v>50989.799999999996</v>
      </c>
      <c r="F23" s="48">
        <f>E23-C23*B6</f>
        <v>50139.799999999996</v>
      </c>
    </row>
    <row r="24" spans="1:6" ht="15" customHeight="1" x14ac:dyDescent="0.25">
      <c r="A24" s="16" t="s">
        <v>1643</v>
      </c>
      <c r="B24" s="46">
        <v>0.2</v>
      </c>
      <c r="C24" s="17">
        <f>ROUND(B8*B24,0)</f>
        <v>34</v>
      </c>
      <c r="D24" s="47">
        <f>C24*B7</f>
        <v>8498.2999999999993</v>
      </c>
      <c r="E24" s="47">
        <f>D24*12</f>
        <v>101979.59999999999</v>
      </c>
      <c r="F24" s="48">
        <f>E24-C24*B6</f>
        <v>100279.59999999999</v>
      </c>
    </row>
    <row r="25" spans="1:6" ht="15" customHeight="1" x14ac:dyDescent="0.25">
      <c r="A25" s="16" t="s">
        <v>1644</v>
      </c>
      <c r="B25" s="46">
        <v>0.3</v>
      </c>
      <c r="C25" s="17">
        <f>ROUND(B8*B25,0)</f>
        <v>50</v>
      </c>
      <c r="D25" s="47">
        <f>C25*B7</f>
        <v>12497.5</v>
      </c>
      <c r="E25" s="47">
        <f>D25*12</f>
        <v>149970</v>
      </c>
      <c r="F25" s="48">
        <f>E25-C25*B6</f>
        <v>147470</v>
      </c>
    </row>
  </sheetData>
  <mergeCells count="4">
    <mergeCell ref="A1:F1"/>
    <mergeCell ref="A3:F3"/>
    <mergeCell ref="A11:F11"/>
    <mergeCell ref="A21:F2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Customers Raw data</vt:lpstr>
      <vt:lpstr>Revenue Raw data</vt:lpstr>
      <vt:lpstr>Calculations</vt:lpstr>
      <vt:lpstr>Descriptive Statistics</vt:lpstr>
      <vt:lpstr>Segmentation</vt:lpstr>
      <vt:lpstr>Trend Analysis</vt:lpstr>
      <vt:lpstr>Correlation_Analysis</vt:lpstr>
      <vt:lpstr>WhatIf_Scenarios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nikita chauhan</cp:lastModifiedBy>
  <cp:revision>0</cp:revision>
  <dcterms:created xsi:type="dcterms:W3CDTF">2026-04-07T13:39:29Z</dcterms:created>
  <dcterms:modified xsi:type="dcterms:W3CDTF">2026-04-07T16:49:17Z</dcterms:modified>
  <dc:language>en-US</dc:language>
</cp:coreProperties>
</file>